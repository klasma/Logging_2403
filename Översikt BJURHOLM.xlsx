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45878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45878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45878</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45878</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45878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45878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45878</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45878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45878</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45878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45878</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64499-2023</t>
        </is>
      </c>
      <c r="B13" s="1" t="n">
        <v>45280</v>
      </c>
      <c r="C13" s="1" t="n">
        <v>45878</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57334-2022</t>
        </is>
      </c>
      <c r="B14" s="1" t="n">
        <v>44896.37280092593</v>
      </c>
      <c r="C14" s="1" t="n">
        <v>45878</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45878</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45878</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45878</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45878</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45878</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45878</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22677-2024</t>
        </is>
      </c>
      <c r="B21" s="1" t="n">
        <v>45447</v>
      </c>
      <c r="C21" s="1" t="n">
        <v>45878</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45878</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45878</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45878</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18046-2025</t>
        </is>
      </c>
      <c r="B25" s="1" t="n">
        <v>45761.4652199074</v>
      </c>
      <c r="C25" s="1" t="n">
        <v>45878</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45878</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55009-2022</t>
        </is>
      </c>
      <c r="B27" s="1" t="n">
        <v>44881</v>
      </c>
      <c r="C27" s="1" t="n">
        <v>45878</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45878</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45878</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45878</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45878</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61585-2020</t>
        </is>
      </c>
      <c r="B32" s="1" t="n">
        <v>44154</v>
      </c>
      <c r="C32" s="1" t="n">
        <v>45878</v>
      </c>
      <c r="D32" t="inlineStr">
        <is>
          <t>VÄSTERBOTTENS LÄN</t>
        </is>
      </c>
      <c r="E32" t="inlineStr">
        <is>
          <t>BJURHOLM</t>
        </is>
      </c>
      <c r="G32" t="n">
        <v>1.1</v>
      </c>
      <c r="H32" t="n">
        <v>2</v>
      </c>
      <c r="I32" t="n">
        <v>0</v>
      </c>
      <c r="J32" t="n">
        <v>1</v>
      </c>
      <c r="K32" t="n">
        <v>0</v>
      </c>
      <c r="L32" t="n">
        <v>0</v>
      </c>
      <c r="M32" t="n">
        <v>0</v>
      </c>
      <c r="N32" t="n">
        <v>0</v>
      </c>
      <c r="O32" t="n">
        <v>1</v>
      </c>
      <c r="P32" t="n">
        <v>0</v>
      </c>
      <c r="Q32" t="n">
        <v>2</v>
      </c>
      <c r="R32" s="2" t="inlineStr">
        <is>
          <t>Nordfladdermus
Vattenfladdermus</t>
        </is>
      </c>
      <c r="S32">
        <f>HYPERLINK("https://klasma.github.io/Logging_2403/artfynd/A 61585-2020 artfynd.xlsx", "A 61585-2020")</f>
        <v/>
      </c>
      <c r="T32">
        <f>HYPERLINK("https://klasma.github.io/Logging_2403/kartor/A 61585-2020 karta.png", "A 61585-2020")</f>
        <v/>
      </c>
      <c r="V32">
        <f>HYPERLINK("https://klasma.github.io/Logging_2403/klagomål/A 61585-2020 FSC-klagomål.docx", "A 61585-2020")</f>
        <v/>
      </c>
      <c r="W32">
        <f>HYPERLINK("https://klasma.github.io/Logging_2403/klagomålsmail/A 61585-2020 FSC-klagomål mail.docx", "A 61585-2020")</f>
        <v/>
      </c>
      <c r="X32">
        <f>HYPERLINK("https://klasma.github.io/Logging_2403/tillsyn/A 61585-2020 tillsynsbegäran.docx", "A 61585-2020")</f>
        <v/>
      </c>
      <c r="Y32">
        <f>HYPERLINK("https://klasma.github.io/Logging_2403/tillsynsmail/A 61585-2020 tillsynsbegäran mail.docx", "A 61585-2020")</f>
        <v/>
      </c>
    </row>
    <row r="33" ht="15" customHeight="1">
      <c r="A33" t="inlineStr">
        <is>
          <t>A 27295-2024</t>
        </is>
      </c>
      <c r="B33" s="1" t="n">
        <v>45471.94290509259</v>
      </c>
      <c r="C33" s="1" t="n">
        <v>45878</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45878</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31206-2023</t>
        </is>
      </c>
      <c r="B35" s="1" t="n">
        <v>45113</v>
      </c>
      <c r="C35" s="1" t="n">
        <v>45878</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14088-2021</t>
        </is>
      </c>
      <c r="B36" s="1" t="n">
        <v>44277</v>
      </c>
      <c r="C36" s="1" t="n">
        <v>45878</v>
      </c>
      <c r="D36" t="inlineStr">
        <is>
          <t>VÄSTERBOTTENS LÄN</t>
        </is>
      </c>
      <c r="E36" t="inlineStr">
        <is>
          <t>BJURHOLM</t>
        </is>
      </c>
      <c r="F36" t="inlineStr">
        <is>
          <t>SCA</t>
        </is>
      </c>
      <c r="G36" t="n">
        <v>7.6</v>
      </c>
      <c r="H36" t="n">
        <v>0</v>
      </c>
      <c r="I36" t="n">
        <v>0</v>
      </c>
      <c r="J36" t="n">
        <v>1</v>
      </c>
      <c r="K36" t="n">
        <v>0</v>
      </c>
      <c r="L36" t="n">
        <v>0</v>
      </c>
      <c r="M36" t="n">
        <v>0</v>
      </c>
      <c r="N36" t="n">
        <v>0</v>
      </c>
      <c r="O36" t="n">
        <v>1</v>
      </c>
      <c r="P36" t="n">
        <v>0</v>
      </c>
      <c r="Q36" t="n">
        <v>1</v>
      </c>
      <c r="R36" s="2" t="inlineStr">
        <is>
          <t>Lunglav</t>
        </is>
      </c>
      <c r="S36">
        <f>HYPERLINK("https://klasma.github.io/Logging_2403/artfynd/A 14088-2021 artfynd.xlsx", "A 14088-2021")</f>
        <v/>
      </c>
      <c r="T36">
        <f>HYPERLINK("https://klasma.github.io/Logging_2403/kartor/A 14088-2021 karta.png", "A 14088-2021")</f>
        <v/>
      </c>
      <c r="V36">
        <f>HYPERLINK("https://klasma.github.io/Logging_2403/klagomål/A 14088-2021 FSC-klagomål.docx", "A 14088-2021")</f>
        <v/>
      </c>
      <c r="W36">
        <f>HYPERLINK("https://klasma.github.io/Logging_2403/klagomålsmail/A 14088-2021 FSC-klagomål mail.docx", "A 14088-2021")</f>
        <v/>
      </c>
      <c r="X36">
        <f>HYPERLINK("https://klasma.github.io/Logging_2403/tillsyn/A 14088-2021 tillsynsbegäran.docx", "A 14088-2021")</f>
        <v/>
      </c>
      <c r="Y36">
        <f>HYPERLINK("https://klasma.github.io/Logging_2403/tillsynsmail/A 14088-2021 tillsynsbegäran mail.docx", "A 14088-2021")</f>
        <v/>
      </c>
    </row>
    <row r="37" ht="15" customHeight="1">
      <c r="A37" t="inlineStr">
        <is>
          <t>A 14083-2021</t>
        </is>
      </c>
      <c r="B37" s="1" t="n">
        <v>44277</v>
      </c>
      <c r="C37" s="1" t="n">
        <v>45878</v>
      </c>
      <c r="D37" t="inlineStr">
        <is>
          <t>VÄSTERBOTTENS LÄN</t>
        </is>
      </c>
      <c r="E37" t="inlineStr">
        <is>
          <t>BJURHOLM</t>
        </is>
      </c>
      <c r="F37" t="inlineStr">
        <is>
          <t>SCA</t>
        </is>
      </c>
      <c r="G37" t="n">
        <v>15.1</v>
      </c>
      <c r="H37" t="n">
        <v>0</v>
      </c>
      <c r="I37" t="n">
        <v>0</v>
      </c>
      <c r="J37" t="n">
        <v>1</v>
      </c>
      <c r="K37" t="n">
        <v>0</v>
      </c>
      <c r="L37" t="n">
        <v>0</v>
      </c>
      <c r="M37" t="n">
        <v>0</v>
      </c>
      <c r="N37" t="n">
        <v>0</v>
      </c>
      <c r="O37" t="n">
        <v>1</v>
      </c>
      <c r="P37" t="n">
        <v>0</v>
      </c>
      <c r="Q37" t="n">
        <v>1</v>
      </c>
      <c r="R37" s="2" t="inlineStr">
        <is>
          <t>Dvärgbägarlav</t>
        </is>
      </c>
      <c r="S37">
        <f>HYPERLINK("https://klasma.github.io/Logging_2403/artfynd/A 14083-2021 artfynd.xlsx", "A 14083-2021")</f>
        <v/>
      </c>
      <c r="T37">
        <f>HYPERLINK("https://klasma.github.io/Logging_2403/kartor/A 14083-2021 karta.png", "A 14083-2021")</f>
        <v/>
      </c>
      <c r="V37">
        <f>HYPERLINK("https://klasma.github.io/Logging_2403/klagomål/A 14083-2021 FSC-klagomål.docx", "A 14083-2021")</f>
        <v/>
      </c>
      <c r="W37">
        <f>HYPERLINK("https://klasma.github.io/Logging_2403/klagomålsmail/A 14083-2021 FSC-klagomål mail.docx", "A 14083-2021")</f>
        <v/>
      </c>
      <c r="X37">
        <f>HYPERLINK("https://klasma.github.io/Logging_2403/tillsyn/A 14083-2021 tillsynsbegäran.docx", "A 14083-2021")</f>
        <v/>
      </c>
      <c r="Y37">
        <f>HYPERLINK("https://klasma.github.io/Logging_2403/tillsynsmail/A 14083-2021 tillsynsbegäran mail.docx", "A 14083-2021")</f>
        <v/>
      </c>
    </row>
    <row r="38" ht="15" customHeight="1">
      <c r="A38" t="inlineStr">
        <is>
          <t>A 21386-2024</t>
        </is>
      </c>
      <c r="B38" s="1" t="n">
        <v>45440</v>
      </c>
      <c r="C38" s="1" t="n">
        <v>45878</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16145-2022</t>
        </is>
      </c>
      <c r="B39" s="1" t="n">
        <v>44665</v>
      </c>
      <c r="C39" s="1" t="n">
        <v>45878</v>
      </c>
      <c r="D39" t="inlineStr">
        <is>
          <t>VÄSTERBOTTENS LÄN</t>
        </is>
      </c>
      <c r="E39" t="inlineStr">
        <is>
          <t>BJURHOLM</t>
        </is>
      </c>
      <c r="F39" t="inlineStr">
        <is>
          <t>SCA</t>
        </is>
      </c>
      <c r="G39" t="n">
        <v>5.9</v>
      </c>
      <c r="H39" t="n">
        <v>0</v>
      </c>
      <c r="I39" t="n">
        <v>1</v>
      </c>
      <c r="J39" t="n">
        <v>0</v>
      </c>
      <c r="K39" t="n">
        <v>0</v>
      </c>
      <c r="L39" t="n">
        <v>0</v>
      </c>
      <c r="M39" t="n">
        <v>0</v>
      </c>
      <c r="N39" t="n">
        <v>0</v>
      </c>
      <c r="O39" t="n">
        <v>0</v>
      </c>
      <c r="P39" t="n">
        <v>0</v>
      </c>
      <c r="Q39" t="n">
        <v>1</v>
      </c>
      <c r="R39" s="2" t="inlineStr">
        <is>
          <t>Stor aspticka</t>
        </is>
      </c>
      <c r="S39">
        <f>HYPERLINK("https://klasma.github.io/Logging_2403/artfynd/A 16145-2022 artfynd.xlsx", "A 16145-2022")</f>
        <v/>
      </c>
      <c r="T39">
        <f>HYPERLINK("https://klasma.github.io/Logging_2403/kartor/A 16145-2022 karta.png", "A 16145-2022")</f>
        <v/>
      </c>
      <c r="V39">
        <f>HYPERLINK("https://klasma.github.io/Logging_2403/klagomål/A 16145-2022 FSC-klagomål.docx", "A 16145-2022")</f>
        <v/>
      </c>
      <c r="W39">
        <f>HYPERLINK("https://klasma.github.io/Logging_2403/klagomålsmail/A 16145-2022 FSC-klagomål mail.docx", "A 16145-2022")</f>
        <v/>
      </c>
      <c r="X39">
        <f>HYPERLINK("https://klasma.github.io/Logging_2403/tillsyn/A 16145-2022 tillsynsbegäran.docx", "A 16145-2022")</f>
        <v/>
      </c>
      <c r="Y39">
        <f>HYPERLINK("https://klasma.github.io/Logging_2403/tillsynsmail/A 16145-2022 tillsynsbegäran mail.docx", "A 16145-2022")</f>
        <v/>
      </c>
    </row>
    <row r="40" ht="15" customHeight="1">
      <c r="A40" t="inlineStr">
        <is>
          <t>A 57653-2022</t>
        </is>
      </c>
      <c r="B40" s="1" t="n">
        <v>44897.43052083333</v>
      </c>
      <c r="C40" s="1" t="n">
        <v>45878</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57865-2021</t>
        </is>
      </c>
      <c r="B41" s="1" t="n">
        <v>44484</v>
      </c>
      <c r="C41" s="1" t="n">
        <v>45878</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15557-2025</t>
        </is>
      </c>
      <c r="B42" s="1" t="n">
        <v>45747.68127314815</v>
      </c>
      <c r="C42" s="1" t="n">
        <v>45878</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45878</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45878</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94-2025</t>
        </is>
      </c>
      <c r="B45" s="1" t="n">
        <v>45659</v>
      </c>
      <c r="C45" s="1" t="n">
        <v>45878</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45878</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45878</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14540-2021</t>
        </is>
      </c>
      <c r="B48" s="1" t="n">
        <v>44279</v>
      </c>
      <c r="C48" s="1" t="n">
        <v>45878</v>
      </c>
      <c r="D48" t="inlineStr">
        <is>
          <t>VÄSTERBOTTENS LÄN</t>
        </is>
      </c>
      <c r="E48" t="inlineStr">
        <is>
          <t>BJURHOLM</t>
        </is>
      </c>
      <c r="G48" t="n">
        <v>2.7</v>
      </c>
      <c r="H48" t="n">
        <v>0</v>
      </c>
      <c r="I48" t="n">
        <v>0</v>
      </c>
      <c r="J48" t="n">
        <v>0</v>
      </c>
      <c r="K48" t="n">
        <v>0</v>
      </c>
      <c r="L48" t="n">
        <v>0</v>
      </c>
      <c r="M48" t="n">
        <v>0</v>
      </c>
      <c r="N48" t="n">
        <v>0</v>
      </c>
      <c r="O48" t="n">
        <v>0</v>
      </c>
      <c r="P48" t="n">
        <v>0</v>
      </c>
      <c r="Q48" t="n">
        <v>0</v>
      </c>
      <c r="R48" s="2" t="inlineStr"/>
    </row>
    <row r="49" ht="15" customHeight="1">
      <c r="A49" t="inlineStr">
        <is>
          <t>A 17551-2022</t>
        </is>
      </c>
      <c r="B49" s="1" t="n">
        <v>44679</v>
      </c>
      <c r="C49" s="1" t="n">
        <v>45878</v>
      </c>
      <c r="D49" t="inlineStr">
        <is>
          <t>VÄSTERBOTTENS LÄN</t>
        </is>
      </c>
      <c r="E49" t="inlineStr">
        <is>
          <t>BJURHOLM</t>
        </is>
      </c>
      <c r="G49" t="n">
        <v>6.1</v>
      </c>
      <c r="H49" t="n">
        <v>0</v>
      </c>
      <c r="I49" t="n">
        <v>0</v>
      </c>
      <c r="J49" t="n">
        <v>0</v>
      </c>
      <c r="K49" t="n">
        <v>0</v>
      </c>
      <c r="L49" t="n">
        <v>0</v>
      </c>
      <c r="M49" t="n">
        <v>0</v>
      </c>
      <c r="N49" t="n">
        <v>0</v>
      </c>
      <c r="O49" t="n">
        <v>0</v>
      </c>
      <c r="P49" t="n">
        <v>0</v>
      </c>
      <c r="Q49" t="n">
        <v>0</v>
      </c>
      <c r="R49" s="2" t="inlineStr"/>
    </row>
    <row r="50" ht="15" customHeight="1">
      <c r="A50" t="inlineStr">
        <is>
          <t>A 67751-2021</t>
        </is>
      </c>
      <c r="B50" s="1" t="n">
        <v>44524</v>
      </c>
      <c r="C50" s="1" t="n">
        <v>45878</v>
      </c>
      <c r="D50" t="inlineStr">
        <is>
          <t>VÄSTERBOTTENS LÄN</t>
        </is>
      </c>
      <c r="E50" t="inlineStr">
        <is>
          <t>BJURHOLM</t>
        </is>
      </c>
      <c r="G50" t="n">
        <v>3.3</v>
      </c>
      <c r="H50" t="n">
        <v>0</v>
      </c>
      <c r="I50" t="n">
        <v>0</v>
      </c>
      <c r="J50" t="n">
        <v>0</v>
      </c>
      <c r="K50" t="n">
        <v>0</v>
      </c>
      <c r="L50" t="n">
        <v>0</v>
      </c>
      <c r="M50" t="n">
        <v>0</v>
      </c>
      <c r="N50" t="n">
        <v>0</v>
      </c>
      <c r="O50" t="n">
        <v>0</v>
      </c>
      <c r="P50" t="n">
        <v>0</v>
      </c>
      <c r="Q50" t="n">
        <v>0</v>
      </c>
      <c r="R50" s="2" t="inlineStr"/>
    </row>
    <row r="51" ht="15" customHeight="1">
      <c r="A51" t="inlineStr">
        <is>
          <t>A 37337-2020</t>
        </is>
      </c>
      <c r="B51" s="1" t="n">
        <v>44055</v>
      </c>
      <c r="C51" s="1" t="n">
        <v>45878</v>
      </c>
      <c r="D51" t="inlineStr">
        <is>
          <t>VÄSTERBOTTENS LÄN</t>
        </is>
      </c>
      <c r="E51" t="inlineStr">
        <is>
          <t>BJURHOLM</t>
        </is>
      </c>
      <c r="F51" t="inlineStr">
        <is>
          <t>Holmen skog AB</t>
        </is>
      </c>
      <c r="G51" t="n">
        <v>2.2</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45878</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45878</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45878</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45878</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45878</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45878</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45878</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45878</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45878</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45878</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45878</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42391-2022</t>
        </is>
      </c>
      <c r="B63" s="1" t="n">
        <v>44831.42108796296</v>
      </c>
      <c r="C63" s="1" t="n">
        <v>45878</v>
      </c>
      <c r="D63" t="inlineStr">
        <is>
          <t>VÄSTERBOTTENS LÄN</t>
        </is>
      </c>
      <c r="E63" t="inlineStr">
        <is>
          <t>BJURHOLM</t>
        </is>
      </c>
      <c r="G63" t="n">
        <v>2.9</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45878</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65799-2020</t>
        </is>
      </c>
      <c r="B65" s="1" t="n">
        <v>44172</v>
      </c>
      <c r="C65" s="1" t="n">
        <v>45878</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45878</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45878</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43068-2020</t>
        </is>
      </c>
      <c r="B68" s="1" t="n">
        <v>44078</v>
      </c>
      <c r="C68" s="1" t="n">
        <v>45878</v>
      </c>
      <c r="D68" t="inlineStr">
        <is>
          <t>VÄSTERBOTTENS LÄN</t>
        </is>
      </c>
      <c r="E68" t="inlineStr">
        <is>
          <t>BJURHOLM</t>
        </is>
      </c>
      <c r="F68" t="inlineStr">
        <is>
          <t>SCA</t>
        </is>
      </c>
      <c r="G68" t="n">
        <v>17.1</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45878</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45878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45878</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45878</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45878</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45878</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43845-2020</t>
        </is>
      </c>
      <c r="B75" s="1" t="n">
        <v>44082</v>
      </c>
      <c r="C75" s="1" t="n">
        <v>45878</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45878</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45878</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45878</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45878</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45878</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45878</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45878</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41388-2022</t>
        </is>
      </c>
      <c r="B83" s="1" t="n">
        <v>44826</v>
      </c>
      <c r="C83" s="1" t="n">
        <v>45878</v>
      </c>
      <c r="D83" t="inlineStr">
        <is>
          <t>VÄSTERBOTTENS LÄN</t>
        </is>
      </c>
      <c r="E83" t="inlineStr">
        <is>
          <t>BJURHOLM</t>
        </is>
      </c>
      <c r="G83" t="n">
        <v>1.6</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45878</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45878</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60114-2020</t>
        </is>
      </c>
      <c r="B86" s="1" t="n">
        <v>44152</v>
      </c>
      <c r="C86" s="1" t="n">
        <v>45878</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45878</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45878</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45878</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59178-2021</t>
        </is>
      </c>
      <c r="B90" s="1" t="n">
        <v>44490</v>
      </c>
      <c r="C90" s="1" t="n">
        <v>45878</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45878</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45878</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45878</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7915-2022</t>
        </is>
      </c>
      <c r="B94" s="1" t="n">
        <v>44608</v>
      </c>
      <c r="C94" s="1" t="n">
        <v>45878</v>
      </c>
      <c r="D94" t="inlineStr">
        <is>
          <t>VÄSTERBOTTENS LÄN</t>
        </is>
      </c>
      <c r="E94" t="inlineStr">
        <is>
          <t>BJURHOLM</t>
        </is>
      </c>
      <c r="G94" t="n">
        <v>8.9</v>
      </c>
      <c r="H94" t="n">
        <v>0</v>
      </c>
      <c r="I94" t="n">
        <v>0</v>
      </c>
      <c r="J94" t="n">
        <v>0</v>
      </c>
      <c r="K94" t="n">
        <v>0</v>
      </c>
      <c r="L94" t="n">
        <v>0</v>
      </c>
      <c r="M94" t="n">
        <v>0</v>
      </c>
      <c r="N94" t="n">
        <v>0</v>
      </c>
      <c r="O94" t="n">
        <v>0</v>
      </c>
      <c r="P94" t="n">
        <v>0</v>
      </c>
      <c r="Q94" t="n">
        <v>0</v>
      </c>
      <c r="R94" s="2" t="inlineStr"/>
    </row>
    <row r="95" ht="15" customHeight="1">
      <c r="A95" t="inlineStr">
        <is>
          <t>A 2706-2022</t>
        </is>
      </c>
      <c r="B95" s="1" t="n">
        <v>44580</v>
      </c>
      <c r="C95" s="1" t="n">
        <v>45878</v>
      </c>
      <c r="D95" t="inlineStr">
        <is>
          <t>VÄSTERBOTTENS LÄN</t>
        </is>
      </c>
      <c r="E95" t="inlineStr">
        <is>
          <t>BJURHOLM</t>
        </is>
      </c>
      <c r="F95" t="inlineStr">
        <is>
          <t>Kommuner</t>
        </is>
      </c>
      <c r="G95" t="n">
        <v>0.5</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45878</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45878</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45878</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45878</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45878</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40002-2020</t>
        </is>
      </c>
      <c r="B101" s="1" t="n">
        <v>44067</v>
      </c>
      <c r="C101" s="1" t="n">
        <v>45878</v>
      </c>
      <c r="D101" t="inlineStr">
        <is>
          <t>VÄSTERBOTTENS LÄN</t>
        </is>
      </c>
      <c r="E101" t="inlineStr">
        <is>
          <t>BJURHOLM</t>
        </is>
      </c>
      <c r="G101" t="n">
        <v>8.6</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45878</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59257-2021</t>
        </is>
      </c>
      <c r="B103" s="1" t="n">
        <v>44490.66326388889</v>
      </c>
      <c r="C103" s="1" t="n">
        <v>45878</v>
      </c>
      <c r="D103" t="inlineStr">
        <is>
          <t>VÄSTERBOTTENS LÄN</t>
        </is>
      </c>
      <c r="E103" t="inlineStr">
        <is>
          <t>BJURHOLM</t>
        </is>
      </c>
      <c r="F103" t="inlineStr">
        <is>
          <t>Holmen skog AB</t>
        </is>
      </c>
      <c r="G103" t="n">
        <v>5.5</v>
      </c>
      <c r="H103" t="n">
        <v>0</v>
      </c>
      <c r="I103" t="n">
        <v>0</v>
      </c>
      <c r="J103" t="n">
        <v>0</v>
      </c>
      <c r="K103" t="n">
        <v>0</v>
      </c>
      <c r="L103" t="n">
        <v>0</v>
      </c>
      <c r="M103" t="n">
        <v>0</v>
      </c>
      <c r="N103" t="n">
        <v>0</v>
      </c>
      <c r="O103" t="n">
        <v>0</v>
      </c>
      <c r="P103" t="n">
        <v>0</v>
      </c>
      <c r="Q103" t="n">
        <v>0</v>
      </c>
      <c r="R103" s="2" t="inlineStr"/>
    </row>
    <row r="104" ht="15" customHeight="1">
      <c r="A104" t="inlineStr">
        <is>
          <t>A 6658-2022</t>
        </is>
      </c>
      <c r="B104" s="1" t="n">
        <v>44602</v>
      </c>
      <c r="C104" s="1" t="n">
        <v>45878</v>
      </c>
      <c r="D104" t="inlineStr">
        <is>
          <t>VÄSTERBOTTENS LÄN</t>
        </is>
      </c>
      <c r="E104" t="inlineStr">
        <is>
          <t>BJURHOLM</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45878</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44488-2023</t>
        </is>
      </c>
      <c r="B106" s="1" t="n">
        <v>45189.44546296296</v>
      </c>
      <c r="C106" s="1" t="n">
        <v>45878</v>
      </c>
      <c r="D106" t="inlineStr">
        <is>
          <t>VÄSTERBOTTENS LÄN</t>
        </is>
      </c>
      <c r="E106" t="inlineStr">
        <is>
          <t>BJURHOLM</t>
        </is>
      </c>
      <c r="F106" t="inlineStr">
        <is>
          <t>Holmen skog AB</t>
        </is>
      </c>
      <c r="G106" t="n">
        <v>3.2</v>
      </c>
      <c r="H106" t="n">
        <v>0</v>
      </c>
      <c r="I106" t="n">
        <v>0</v>
      </c>
      <c r="J106" t="n">
        <v>0</v>
      </c>
      <c r="K106" t="n">
        <v>0</v>
      </c>
      <c r="L106" t="n">
        <v>0</v>
      </c>
      <c r="M106" t="n">
        <v>0</v>
      </c>
      <c r="N106" t="n">
        <v>0</v>
      </c>
      <c r="O106" t="n">
        <v>0</v>
      </c>
      <c r="P106" t="n">
        <v>0</v>
      </c>
      <c r="Q106" t="n">
        <v>0</v>
      </c>
      <c r="R106" s="2" t="inlineStr"/>
    </row>
    <row r="107" ht="15" customHeight="1">
      <c r="A107" t="inlineStr">
        <is>
          <t>A 82-2025</t>
        </is>
      </c>
      <c r="B107" s="1" t="n">
        <v>45659</v>
      </c>
      <c r="C107" s="1" t="n">
        <v>45878</v>
      </c>
      <c r="D107" t="inlineStr">
        <is>
          <t>VÄSTERBOTTENS LÄN</t>
        </is>
      </c>
      <c r="E107" t="inlineStr">
        <is>
          <t>BJURHOLM</t>
        </is>
      </c>
      <c r="G107" t="n">
        <v>1</v>
      </c>
      <c r="H107" t="n">
        <v>0</v>
      </c>
      <c r="I107" t="n">
        <v>0</v>
      </c>
      <c r="J107" t="n">
        <v>0</v>
      </c>
      <c r="K107" t="n">
        <v>0</v>
      </c>
      <c r="L107" t="n">
        <v>0</v>
      </c>
      <c r="M107" t="n">
        <v>0</v>
      </c>
      <c r="N107" t="n">
        <v>0</v>
      </c>
      <c r="O107" t="n">
        <v>0</v>
      </c>
      <c r="P107" t="n">
        <v>0</v>
      </c>
      <c r="Q107" t="n">
        <v>0</v>
      </c>
      <c r="R107" s="2" t="inlineStr"/>
    </row>
    <row r="108" ht="15" customHeight="1">
      <c r="A108" t="inlineStr">
        <is>
          <t>A 17609-2022</t>
        </is>
      </c>
      <c r="B108" s="1" t="n">
        <v>44680</v>
      </c>
      <c r="C108" s="1" t="n">
        <v>45878</v>
      </c>
      <c r="D108" t="inlineStr">
        <is>
          <t>VÄSTERBOTTENS LÄN</t>
        </is>
      </c>
      <c r="E108" t="inlineStr">
        <is>
          <t>BJURHOLM</t>
        </is>
      </c>
      <c r="G108" t="n">
        <v>10.2</v>
      </c>
      <c r="H108" t="n">
        <v>0</v>
      </c>
      <c r="I108" t="n">
        <v>0</v>
      </c>
      <c r="J108" t="n">
        <v>0</v>
      </c>
      <c r="K108" t="n">
        <v>0</v>
      </c>
      <c r="L108" t="n">
        <v>0</v>
      </c>
      <c r="M108" t="n">
        <v>0</v>
      </c>
      <c r="N108" t="n">
        <v>0</v>
      </c>
      <c r="O108" t="n">
        <v>0</v>
      </c>
      <c r="P108" t="n">
        <v>0</v>
      </c>
      <c r="Q108" t="n">
        <v>0</v>
      </c>
      <c r="R108" s="2" t="inlineStr"/>
    </row>
    <row r="109" ht="15" customHeight="1">
      <c r="A109" t="inlineStr">
        <is>
          <t>A 52386-2023</t>
        </is>
      </c>
      <c r="B109" s="1" t="n">
        <v>45224.88442129629</v>
      </c>
      <c r="C109" s="1" t="n">
        <v>45878</v>
      </c>
      <c r="D109" t="inlineStr">
        <is>
          <t>VÄSTERBOTTENS LÄN</t>
        </is>
      </c>
      <c r="E109" t="inlineStr">
        <is>
          <t>BJURHOLM</t>
        </is>
      </c>
      <c r="G109" t="n">
        <v>5.2</v>
      </c>
      <c r="H109" t="n">
        <v>0</v>
      </c>
      <c r="I109" t="n">
        <v>0</v>
      </c>
      <c r="J109" t="n">
        <v>0</v>
      </c>
      <c r="K109" t="n">
        <v>0</v>
      </c>
      <c r="L109" t="n">
        <v>0</v>
      </c>
      <c r="M109" t="n">
        <v>0</v>
      </c>
      <c r="N109" t="n">
        <v>0</v>
      </c>
      <c r="O109" t="n">
        <v>0</v>
      </c>
      <c r="P109" t="n">
        <v>0</v>
      </c>
      <c r="Q109" t="n">
        <v>0</v>
      </c>
      <c r="R109" s="2" t="inlineStr"/>
    </row>
    <row r="110" ht="15" customHeight="1">
      <c r="A110" t="inlineStr">
        <is>
          <t>A 47529-2024</t>
        </is>
      </c>
      <c r="B110" s="1" t="n">
        <v>45587.63913194444</v>
      </c>
      <c r="C110" s="1" t="n">
        <v>45878</v>
      </c>
      <c r="D110" t="inlineStr">
        <is>
          <t>VÄSTERBOTTENS LÄN</t>
        </is>
      </c>
      <c r="E110" t="inlineStr">
        <is>
          <t>BJURHOLM</t>
        </is>
      </c>
      <c r="G110" t="n">
        <v>17.3</v>
      </c>
      <c r="H110" t="n">
        <v>0</v>
      </c>
      <c r="I110" t="n">
        <v>0</v>
      </c>
      <c r="J110" t="n">
        <v>0</v>
      </c>
      <c r="K110" t="n">
        <v>0</v>
      </c>
      <c r="L110" t="n">
        <v>0</v>
      </c>
      <c r="M110" t="n">
        <v>0</v>
      </c>
      <c r="N110" t="n">
        <v>0</v>
      </c>
      <c r="O110" t="n">
        <v>0</v>
      </c>
      <c r="P110" t="n">
        <v>0</v>
      </c>
      <c r="Q110" t="n">
        <v>0</v>
      </c>
      <c r="R110" s="2" t="inlineStr"/>
    </row>
    <row r="111" ht="15" customHeight="1">
      <c r="A111" t="inlineStr">
        <is>
          <t>A 16081-2024</t>
        </is>
      </c>
      <c r="B111" s="1" t="n">
        <v>45406</v>
      </c>
      <c r="C111" s="1" t="n">
        <v>45878</v>
      </c>
      <c r="D111" t="inlineStr">
        <is>
          <t>VÄSTERBOTTENS LÄN</t>
        </is>
      </c>
      <c r="E111" t="inlineStr">
        <is>
          <t>BJURHOLM</t>
        </is>
      </c>
      <c r="G111" t="n">
        <v>1.1</v>
      </c>
      <c r="H111" t="n">
        <v>0</v>
      </c>
      <c r="I111" t="n">
        <v>0</v>
      </c>
      <c r="J111" t="n">
        <v>0</v>
      </c>
      <c r="K111" t="n">
        <v>0</v>
      </c>
      <c r="L111" t="n">
        <v>0</v>
      </c>
      <c r="M111" t="n">
        <v>0</v>
      </c>
      <c r="N111" t="n">
        <v>0</v>
      </c>
      <c r="O111" t="n">
        <v>0</v>
      </c>
      <c r="P111" t="n">
        <v>0</v>
      </c>
      <c r="Q111" t="n">
        <v>0</v>
      </c>
      <c r="R111" s="2" t="inlineStr"/>
    </row>
    <row r="112" ht="15" customHeight="1">
      <c r="A112" t="inlineStr">
        <is>
          <t>A 16148-2025</t>
        </is>
      </c>
      <c r="B112" s="1" t="n">
        <v>45750.46479166667</v>
      </c>
      <c r="C112" s="1" t="n">
        <v>45878</v>
      </c>
      <c r="D112" t="inlineStr">
        <is>
          <t>VÄSTERBOTTENS LÄN</t>
        </is>
      </c>
      <c r="E112" t="inlineStr">
        <is>
          <t>BJURHOLM</t>
        </is>
      </c>
      <c r="F112" t="inlineStr">
        <is>
          <t>Sveaskog</t>
        </is>
      </c>
      <c r="G112" t="n">
        <v>10.6</v>
      </c>
      <c r="H112" t="n">
        <v>0</v>
      </c>
      <c r="I112" t="n">
        <v>0</v>
      </c>
      <c r="J112" t="n">
        <v>0</v>
      </c>
      <c r="K112" t="n">
        <v>0</v>
      </c>
      <c r="L112" t="n">
        <v>0</v>
      </c>
      <c r="M112" t="n">
        <v>0</v>
      </c>
      <c r="N112" t="n">
        <v>0</v>
      </c>
      <c r="O112" t="n">
        <v>0</v>
      </c>
      <c r="P112" t="n">
        <v>0</v>
      </c>
      <c r="Q112" t="n">
        <v>0</v>
      </c>
      <c r="R112" s="2" t="inlineStr"/>
    </row>
    <row r="113" ht="15" customHeight="1">
      <c r="A113" t="inlineStr">
        <is>
          <t>A 36021-2022</t>
        </is>
      </c>
      <c r="B113" s="1" t="n">
        <v>44802.65265046297</v>
      </c>
      <c r="C113" s="1" t="n">
        <v>45878</v>
      </c>
      <c r="D113" t="inlineStr">
        <is>
          <t>VÄSTERBOTTENS LÄN</t>
        </is>
      </c>
      <c r="E113" t="inlineStr">
        <is>
          <t>BJURHOLM</t>
        </is>
      </c>
      <c r="F113" t="inlineStr">
        <is>
          <t>Holmen skog AB</t>
        </is>
      </c>
      <c r="G113" t="n">
        <v>2.8</v>
      </c>
      <c r="H113" t="n">
        <v>0</v>
      </c>
      <c r="I113" t="n">
        <v>0</v>
      </c>
      <c r="J113" t="n">
        <v>0</v>
      </c>
      <c r="K113" t="n">
        <v>0</v>
      </c>
      <c r="L113" t="n">
        <v>0</v>
      </c>
      <c r="M113" t="n">
        <v>0</v>
      </c>
      <c r="N113" t="n">
        <v>0</v>
      </c>
      <c r="O113" t="n">
        <v>0</v>
      </c>
      <c r="P113" t="n">
        <v>0</v>
      </c>
      <c r="Q113" t="n">
        <v>0</v>
      </c>
      <c r="R113" s="2" t="inlineStr"/>
    </row>
    <row r="114" ht="15" customHeight="1">
      <c r="A114" t="inlineStr">
        <is>
          <t>A 44790-2023</t>
        </is>
      </c>
      <c r="B114" s="1" t="n">
        <v>45190.45606481482</v>
      </c>
      <c r="C114" s="1" t="n">
        <v>45878</v>
      </c>
      <c r="D114" t="inlineStr">
        <is>
          <t>VÄSTERBOTTENS LÄN</t>
        </is>
      </c>
      <c r="E114" t="inlineStr">
        <is>
          <t>BJURHOLM</t>
        </is>
      </c>
      <c r="F114" t="inlineStr">
        <is>
          <t>Holmen skog AB</t>
        </is>
      </c>
      <c r="G114" t="n">
        <v>21.7</v>
      </c>
      <c r="H114" t="n">
        <v>0</v>
      </c>
      <c r="I114" t="n">
        <v>0</v>
      </c>
      <c r="J114" t="n">
        <v>0</v>
      </c>
      <c r="K114" t="n">
        <v>0</v>
      </c>
      <c r="L114" t="n">
        <v>0</v>
      </c>
      <c r="M114" t="n">
        <v>0</v>
      </c>
      <c r="N114" t="n">
        <v>0</v>
      </c>
      <c r="O114" t="n">
        <v>0</v>
      </c>
      <c r="P114" t="n">
        <v>0</v>
      </c>
      <c r="Q114" t="n">
        <v>0</v>
      </c>
      <c r="R114" s="2" t="inlineStr"/>
    </row>
    <row r="115" ht="15" customHeight="1">
      <c r="A115" t="inlineStr">
        <is>
          <t>A 28888-2024</t>
        </is>
      </c>
      <c r="B115" s="1" t="n">
        <v>45479</v>
      </c>
      <c r="C115" s="1" t="n">
        <v>45878</v>
      </c>
      <c r="D115" t="inlineStr">
        <is>
          <t>VÄSTERBOTTENS LÄN</t>
        </is>
      </c>
      <c r="E115" t="inlineStr">
        <is>
          <t>BJURHOLM</t>
        </is>
      </c>
      <c r="F115" t="inlineStr">
        <is>
          <t>SCA</t>
        </is>
      </c>
      <c r="G115" t="n">
        <v>19</v>
      </c>
      <c r="H115" t="n">
        <v>0</v>
      </c>
      <c r="I115" t="n">
        <v>0</v>
      </c>
      <c r="J115" t="n">
        <v>0</v>
      </c>
      <c r="K115" t="n">
        <v>0</v>
      </c>
      <c r="L115" t="n">
        <v>0</v>
      </c>
      <c r="M115" t="n">
        <v>0</v>
      </c>
      <c r="N115" t="n">
        <v>0</v>
      </c>
      <c r="O115" t="n">
        <v>0</v>
      </c>
      <c r="P115" t="n">
        <v>0</v>
      </c>
      <c r="Q115" t="n">
        <v>0</v>
      </c>
      <c r="R115" s="2" t="inlineStr"/>
    </row>
    <row r="116" ht="15" customHeight="1">
      <c r="A116" t="inlineStr">
        <is>
          <t>A 3705-2023</t>
        </is>
      </c>
      <c r="B116" s="1" t="n">
        <v>44950.95469907407</v>
      </c>
      <c r="C116" s="1" t="n">
        <v>45878</v>
      </c>
      <c r="D116" t="inlineStr">
        <is>
          <t>VÄSTERBOTTENS LÄN</t>
        </is>
      </c>
      <c r="E116" t="inlineStr">
        <is>
          <t>BJURHOLM</t>
        </is>
      </c>
      <c r="G116" t="n">
        <v>3.7</v>
      </c>
      <c r="H116" t="n">
        <v>0</v>
      </c>
      <c r="I116" t="n">
        <v>0</v>
      </c>
      <c r="J116" t="n">
        <v>0</v>
      </c>
      <c r="K116" t="n">
        <v>0</v>
      </c>
      <c r="L116" t="n">
        <v>0</v>
      </c>
      <c r="M116" t="n">
        <v>0</v>
      </c>
      <c r="N116" t="n">
        <v>0</v>
      </c>
      <c r="O116" t="n">
        <v>0</v>
      </c>
      <c r="P116" t="n">
        <v>0</v>
      </c>
      <c r="Q116" t="n">
        <v>0</v>
      </c>
      <c r="R116" s="2" t="inlineStr"/>
    </row>
    <row r="117" ht="15" customHeight="1">
      <c r="A117" t="inlineStr">
        <is>
          <t>A 59381-2023</t>
        </is>
      </c>
      <c r="B117" s="1" t="n">
        <v>45253.8090162037</v>
      </c>
      <c r="C117" s="1" t="n">
        <v>45878</v>
      </c>
      <c r="D117" t="inlineStr">
        <is>
          <t>VÄSTERBOTTENS LÄN</t>
        </is>
      </c>
      <c r="E117" t="inlineStr">
        <is>
          <t>BJURHOLM</t>
        </is>
      </c>
      <c r="G117" t="n">
        <v>1.5</v>
      </c>
      <c r="H117" t="n">
        <v>0</v>
      </c>
      <c r="I117" t="n">
        <v>0</v>
      </c>
      <c r="J117" t="n">
        <v>0</v>
      </c>
      <c r="K117" t="n">
        <v>0</v>
      </c>
      <c r="L117" t="n">
        <v>0</v>
      </c>
      <c r="M117" t="n">
        <v>0</v>
      </c>
      <c r="N117" t="n">
        <v>0</v>
      </c>
      <c r="O117" t="n">
        <v>0</v>
      </c>
      <c r="P117" t="n">
        <v>0</v>
      </c>
      <c r="Q117" t="n">
        <v>0</v>
      </c>
      <c r="R117" s="2" t="inlineStr"/>
    </row>
    <row r="118" ht="15" customHeight="1">
      <c r="A118" t="inlineStr">
        <is>
          <t>A 55459-2024</t>
        </is>
      </c>
      <c r="B118" s="1" t="n">
        <v>45622.42745370371</v>
      </c>
      <c r="C118" s="1" t="n">
        <v>45878</v>
      </c>
      <c r="D118" t="inlineStr">
        <is>
          <t>VÄSTERBOTTENS LÄN</t>
        </is>
      </c>
      <c r="E118" t="inlineStr">
        <is>
          <t>BJURHOLM</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12391-2025</t>
        </is>
      </c>
      <c r="B119" s="1" t="n">
        <v>45730.39814814815</v>
      </c>
      <c r="C119" s="1" t="n">
        <v>45878</v>
      </c>
      <c r="D119" t="inlineStr">
        <is>
          <t>VÄSTERBOTTENS LÄN</t>
        </is>
      </c>
      <c r="E119" t="inlineStr">
        <is>
          <t>BJURHOLM</t>
        </is>
      </c>
      <c r="G119" t="n">
        <v>2.3</v>
      </c>
      <c r="H119" t="n">
        <v>0</v>
      </c>
      <c r="I119" t="n">
        <v>0</v>
      </c>
      <c r="J119" t="n">
        <v>0</v>
      </c>
      <c r="K119" t="n">
        <v>0</v>
      </c>
      <c r="L119" t="n">
        <v>0</v>
      </c>
      <c r="M119" t="n">
        <v>0</v>
      </c>
      <c r="N119" t="n">
        <v>0</v>
      </c>
      <c r="O119" t="n">
        <v>0</v>
      </c>
      <c r="P119" t="n">
        <v>0</v>
      </c>
      <c r="Q119" t="n">
        <v>0</v>
      </c>
      <c r="R119" s="2" t="inlineStr"/>
    </row>
    <row r="120" ht="15" customHeight="1">
      <c r="A120" t="inlineStr">
        <is>
          <t>A 57877-2023</t>
        </is>
      </c>
      <c r="B120" s="1" t="n">
        <v>45247.46681712963</v>
      </c>
      <c r="C120" s="1" t="n">
        <v>45878</v>
      </c>
      <c r="D120" t="inlineStr">
        <is>
          <t>VÄSTERBOTTENS LÄN</t>
        </is>
      </c>
      <c r="E120" t="inlineStr">
        <is>
          <t>BJURHOLM</t>
        </is>
      </c>
      <c r="G120" t="n">
        <v>0.3</v>
      </c>
      <c r="H120" t="n">
        <v>0</v>
      </c>
      <c r="I120" t="n">
        <v>0</v>
      </c>
      <c r="J120" t="n">
        <v>0</v>
      </c>
      <c r="K120" t="n">
        <v>0</v>
      </c>
      <c r="L120" t="n">
        <v>0</v>
      </c>
      <c r="M120" t="n">
        <v>0</v>
      </c>
      <c r="N120" t="n">
        <v>0</v>
      </c>
      <c r="O120" t="n">
        <v>0</v>
      </c>
      <c r="P120" t="n">
        <v>0</v>
      </c>
      <c r="Q120" t="n">
        <v>0</v>
      </c>
      <c r="R120" s="2" t="inlineStr"/>
    </row>
    <row r="121" ht="15" customHeight="1">
      <c r="A121" t="inlineStr">
        <is>
          <t>A 43311-2024</t>
        </is>
      </c>
      <c r="B121" s="1" t="n">
        <v>45568.44950231481</v>
      </c>
      <c r="C121" s="1" t="n">
        <v>45878</v>
      </c>
      <c r="D121" t="inlineStr">
        <is>
          <t>VÄSTERBOTTENS LÄN</t>
        </is>
      </c>
      <c r="E121" t="inlineStr">
        <is>
          <t>BJURHOLM</t>
        </is>
      </c>
      <c r="G121" t="n">
        <v>0.9</v>
      </c>
      <c r="H121" t="n">
        <v>0</v>
      </c>
      <c r="I121" t="n">
        <v>0</v>
      </c>
      <c r="J121" t="n">
        <v>0</v>
      </c>
      <c r="K121" t="n">
        <v>0</v>
      </c>
      <c r="L121" t="n">
        <v>0</v>
      </c>
      <c r="M121" t="n">
        <v>0</v>
      </c>
      <c r="N121" t="n">
        <v>0</v>
      </c>
      <c r="O121" t="n">
        <v>0</v>
      </c>
      <c r="P121" t="n">
        <v>0</v>
      </c>
      <c r="Q121" t="n">
        <v>0</v>
      </c>
      <c r="R121" s="2" t="inlineStr"/>
    </row>
    <row r="122" ht="15" customHeight="1">
      <c r="A122" t="inlineStr">
        <is>
          <t>A 35614-2024</t>
        </is>
      </c>
      <c r="B122" s="1" t="n">
        <v>45531.69734953704</v>
      </c>
      <c r="C122" s="1" t="n">
        <v>45878</v>
      </c>
      <c r="D122" t="inlineStr">
        <is>
          <t>VÄSTERBOTTENS LÄN</t>
        </is>
      </c>
      <c r="E122" t="inlineStr">
        <is>
          <t>BJURHOLM</t>
        </is>
      </c>
      <c r="G122" t="n">
        <v>6</v>
      </c>
      <c r="H122" t="n">
        <v>0</v>
      </c>
      <c r="I122" t="n">
        <v>0</v>
      </c>
      <c r="J122" t="n">
        <v>0</v>
      </c>
      <c r="K122" t="n">
        <v>0</v>
      </c>
      <c r="L122" t="n">
        <v>0</v>
      </c>
      <c r="M122" t="n">
        <v>0</v>
      </c>
      <c r="N122" t="n">
        <v>0</v>
      </c>
      <c r="O122" t="n">
        <v>0</v>
      </c>
      <c r="P122" t="n">
        <v>0</v>
      </c>
      <c r="Q122" t="n">
        <v>0</v>
      </c>
      <c r="R122" s="2" t="inlineStr"/>
    </row>
    <row r="123" ht="15" customHeight="1">
      <c r="A123" t="inlineStr">
        <is>
          <t>A 59712-2023</t>
        </is>
      </c>
      <c r="B123" s="1" t="n">
        <v>45257</v>
      </c>
      <c r="C123" s="1" t="n">
        <v>45878</v>
      </c>
      <c r="D123" t="inlineStr">
        <is>
          <t>VÄSTERBOTTENS LÄN</t>
        </is>
      </c>
      <c r="E123" t="inlineStr">
        <is>
          <t>BJURHOLM</t>
        </is>
      </c>
      <c r="G123" t="n">
        <v>2.4</v>
      </c>
      <c r="H123" t="n">
        <v>0</v>
      </c>
      <c r="I123" t="n">
        <v>0</v>
      </c>
      <c r="J123" t="n">
        <v>0</v>
      </c>
      <c r="K123" t="n">
        <v>0</v>
      </c>
      <c r="L123" t="n">
        <v>0</v>
      </c>
      <c r="M123" t="n">
        <v>0</v>
      </c>
      <c r="N123" t="n">
        <v>0</v>
      </c>
      <c r="O123" t="n">
        <v>0</v>
      </c>
      <c r="P123" t="n">
        <v>0</v>
      </c>
      <c r="Q123" t="n">
        <v>0</v>
      </c>
      <c r="R123" s="2" t="inlineStr"/>
    </row>
    <row r="124" ht="15" customHeight="1">
      <c r="A124" t="inlineStr">
        <is>
          <t>A 28426-2023</t>
        </is>
      </c>
      <c r="B124" s="1" t="n">
        <v>45102</v>
      </c>
      <c r="C124" s="1" t="n">
        <v>45878</v>
      </c>
      <c r="D124" t="inlineStr">
        <is>
          <t>VÄSTERBOTTENS LÄN</t>
        </is>
      </c>
      <c r="E124" t="inlineStr">
        <is>
          <t>BJURHOLM</t>
        </is>
      </c>
      <c r="F124" t="inlineStr">
        <is>
          <t>Holmen skog AB</t>
        </is>
      </c>
      <c r="G124" t="n">
        <v>3.2</v>
      </c>
      <c r="H124" t="n">
        <v>0</v>
      </c>
      <c r="I124" t="n">
        <v>0</v>
      </c>
      <c r="J124" t="n">
        <v>0</v>
      </c>
      <c r="K124" t="n">
        <v>0</v>
      </c>
      <c r="L124" t="n">
        <v>0</v>
      </c>
      <c r="M124" t="n">
        <v>0</v>
      </c>
      <c r="N124" t="n">
        <v>0</v>
      </c>
      <c r="O124" t="n">
        <v>0</v>
      </c>
      <c r="P124" t="n">
        <v>0</v>
      </c>
      <c r="Q124" t="n">
        <v>0</v>
      </c>
      <c r="R124" s="2" t="inlineStr"/>
    </row>
    <row r="125" ht="15" customHeight="1">
      <c r="A125" t="inlineStr">
        <is>
          <t>A 31782-2022</t>
        </is>
      </c>
      <c r="B125" s="1" t="n">
        <v>44776</v>
      </c>
      <c r="C125" s="1" t="n">
        <v>45878</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34761-2023</t>
        </is>
      </c>
      <c r="B126" s="1" t="n">
        <v>45141.47096064815</v>
      </c>
      <c r="C126" s="1" t="n">
        <v>45878</v>
      </c>
      <c r="D126" t="inlineStr">
        <is>
          <t>VÄSTERBOTTENS LÄN</t>
        </is>
      </c>
      <c r="E126" t="inlineStr">
        <is>
          <t>BJURHOLM</t>
        </is>
      </c>
      <c r="F126" t="inlineStr">
        <is>
          <t>Holmen skog AB</t>
        </is>
      </c>
      <c r="G126" t="n">
        <v>4.1</v>
      </c>
      <c r="H126" t="n">
        <v>0</v>
      </c>
      <c r="I126" t="n">
        <v>0</v>
      </c>
      <c r="J126" t="n">
        <v>0</v>
      </c>
      <c r="K126" t="n">
        <v>0</v>
      </c>
      <c r="L126" t="n">
        <v>0</v>
      </c>
      <c r="M126" t="n">
        <v>0</v>
      </c>
      <c r="N126" t="n">
        <v>0</v>
      </c>
      <c r="O126" t="n">
        <v>0</v>
      </c>
      <c r="P126" t="n">
        <v>0</v>
      </c>
      <c r="Q126" t="n">
        <v>0</v>
      </c>
      <c r="R126" s="2" t="inlineStr"/>
    </row>
    <row r="127" ht="15" customHeight="1">
      <c r="A127" t="inlineStr">
        <is>
          <t>A 50189-2024</t>
        </is>
      </c>
      <c r="B127" s="1" t="n">
        <v>45600.47861111111</v>
      </c>
      <c r="C127" s="1" t="n">
        <v>45878</v>
      </c>
      <c r="D127" t="inlineStr">
        <is>
          <t>VÄSTERBOTTENS LÄN</t>
        </is>
      </c>
      <c r="E127" t="inlineStr">
        <is>
          <t>BJURHOLM</t>
        </is>
      </c>
      <c r="F127" t="inlineStr">
        <is>
          <t>Holmen skog AB</t>
        </is>
      </c>
      <c r="G127" t="n">
        <v>5.9</v>
      </c>
      <c r="H127" t="n">
        <v>0</v>
      </c>
      <c r="I127" t="n">
        <v>0</v>
      </c>
      <c r="J127" t="n">
        <v>0</v>
      </c>
      <c r="K127" t="n">
        <v>0</v>
      </c>
      <c r="L127" t="n">
        <v>0</v>
      </c>
      <c r="M127" t="n">
        <v>0</v>
      </c>
      <c r="N127" t="n">
        <v>0</v>
      </c>
      <c r="O127" t="n">
        <v>0</v>
      </c>
      <c r="P127" t="n">
        <v>0</v>
      </c>
      <c r="Q127" t="n">
        <v>0</v>
      </c>
      <c r="R127" s="2" t="inlineStr"/>
    </row>
    <row r="128" ht="15" customHeight="1">
      <c r="A128" t="inlineStr">
        <is>
          <t>A 3058-2025</t>
        </is>
      </c>
      <c r="B128" s="1" t="n">
        <v>45678.61952546296</v>
      </c>
      <c r="C128" s="1" t="n">
        <v>45878</v>
      </c>
      <c r="D128" t="inlineStr">
        <is>
          <t>VÄSTERBOTTENS LÄN</t>
        </is>
      </c>
      <c r="E128" t="inlineStr">
        <is>
          <t>BJURHOLM</t>
        </is>
      </c>
      <c r="F128" t="inlineStr">
        <is>
          <t>Sveaskog</t>
        </is>
      </c>
      <c r="G128" t="n">
        <v>2.4</v>
      </c>
      <c r="H128" t="n">
        <v>0</v>
      </c>
      <c r="I128" t="n">
        <v>0</v>
      </c>
      <c r="J128" t="n">
        <v>0</v>
      </c>
      <c r="K128" t="n">
        <v>0</v>
      </c>
      <c r="L128" t="n">
        <v>0</v>
      </c>
      <c r="M128" t="n">
        <v>0</v>
      </c>
      <c r="N128" t="n">
        <v>0</v>
      </c>
      <c r="O128" t="n">
        <v>0</v>
      </c>
      <c r="P128" t="n">
        <v>0</v>
      </c>
      <c r="Q128" t="n">
        <v>0</v>
      </c>
      <c r="R128" s="2" t="inlineStr"/>
    </row>
    <row r="129" ht="15" customHeight="1">
      <c r="A129" t="inlineStr">
        <is>
          <t>A 22036-2023</t>
        </is>
      </c>
      <c r="B129" s="1" t="n">
        <v>45069.37450231481</v>
      </c>
      <c r="C129" s="1" t="n">
        <v>45878</v>
      </c>
      <c r="D129" t="inlineStr">
        <is>
          <t>VÄSTERBOTTENS LÄN</t>
        </is>
      </c>
      <c r="E129" t="inlineStr">
        <is>
          <t>BJURHOLM</t>
        </is>
      </c>
      <c r="F129" t="inlineStr">
        <is>
          <t>Holmen skog AB</t>
        </is>
      </c>
      <c r="G129" t="n">
        <v>0.6</v>
      </c>
      <c r="H129" t="n">
        <v>0</v>
      </c>
      <c r="I129" t="n">
        <v>0</v>
      </c>
      <c r="J129" t="n">
        <v>0</v>
      </c>
      <c r="K129" t="n">
        <v>0</v>
      </c>
      <c r="L129" t="n">
        <v>0</v>
      </c>
      <c r="M129" t="n">
        <v>0</v>
      </c>
      <c r="N129" t="n">
        <v>0</v>
      </c>
      <c r="O129" t="n">
        <v>0</v>
      </c>
      <c r="P129" t="n">
        <v>0</v>
      </c>
      <c r="Q129" t="n">
        <v>0</v>
      </c>
      <c r="R129" s="2" t="inlineStr"/>
    </row>
    <row r="130" ht="15" customHeight="1">
      <c r="A130" t="inlineStr">
        <is>
          <t>A 10984-2023</t>
        </is>
      </c>
      <c r="B130" s="1" t="n">
        <v>44985</v>
      </c>
      <c r="C130" s="1" t="n">
        <v>45878</v>
      </c>
      <c r="D130" t="inlineStr">
        <is>
          <t>VÄSTERBOTTENS LÄN</t>
        </is>
      </c>
      <c r="E130" t="inlineStr">
        <is>
          <t>BJURHOLM</t>
        </is>
      </c>
      <c r="G130" t="n">
        <v>4</v>
      </c>
      <c r="H130" t="n">
        <v>0</v>
      </c>
      <c r="I130" t="n">
        <v>0</v>
      </c>
      <c r="J130" t="n">
        <v>0</v>
      </c>
      <c r="K130" t="n">
        <v>0</v>
      </c>
      <c r="L130" t="n">
        <v>0</v>
      </c>
      <c r="M130" t="n">
        <v>0</v>
      </c>
      <c r="N130" t="n">
        <v>0</v>
      </c>
      <c r="O130" t="n">
        <v>0</v>
      </c>
      <c r="P130" t="n">
        <v>0</v>
      </c>
      <c r="Q130" t="n">
        <v>0</v>
      </c>
      <c r="R130" s="2" t="inlineStr"/>
    </row>
    <row r="131" ht="15" customHeight="1">
      <c r="A131" t="inlineStr">
        <is>
          <t>A 6699-2023</t>
        </is>
      </c>
      <c r="B131" s="1" t="n">
        <v>44966.67196759259</v>
      </c>
      <c r="C131" s="1" t="n">
        <v>45878</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60499-2023</t>
        </is>
      </c>
      <c r="B132" s="1" t="n">
        <v>45259</v>
      </c>
      <c r="C132" s="1" t="n">
        <v>45878</v>
      </c>
      <c r="D132" t="inlineStr">
        <is>
          <t>VÄSTERBOTTENS LÄN</t>
        </is>
      </c>
      <c r="E132" t="inlineStr">
        <is>
          <t>BJURHOLM</t>
        </is>
      </c>
      <c r="G132" t="n">
        <v>9.5</v>
      </c>
      <c r="H132" t="n">
        <v>0</v>
      </c>
      <c r="I132" t="n">
        <v>0</v>
      </c>
      <c r="J132" t="n">
        <v>0</v>
      </c>
      <c r="K132" t="n">
        <v>0</v>
      </c>
      <c r="L132" t="n">
        <v>0</v>
      </c>
      <c r="M132" t="n">
        <v>0</v>
      </c>
      <c r="N132" t="n">
        <v>0</v>
      </c>
      <c r="O132" t="n">
        <v>0</v>
      </c>
      <c r="P132" t="n">
        <v>0</v>
      </c>
      <c r="Q132" t="n">
        <v>0</v>
      </c>
      <c r="R132" s="2" t="inlineStr"/>
    </row>
    <row r="133" ht="15" customHeight="1">
      <c r="A133" t="inlineStr">
        <is>
          <t>A 57883-2022</t>
        </is>
      </c>
      <c r="B133" s="1" t="n">
        <v>44899.94689814815</v>
      </c>
      <c r="C133" s="1" t="n">
        <v>45878</v>
      </c>
      <c r="D133" t="inlineStr">
        <is>
          <t>VÄSTERBOTTENS LÄN</t>
        </is>
      </c>
      <c r="E133" t="inlineStr">
        <is>
          <t>BJURHOLM</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56693-2024</t>
        </is>
      </c>
      <c r="B134" s="1" t="n">
        <v>45627.71203703704</v>
      </c>
      <c r="C134" s="1" t="n">
        <v>45878</v>
      </c>
      <c r="D134" t="inlineStr">
        <is>
          <t>VÄSTERBOTTENS LÄN</t>
        </is>
      </c>
      <c r="E134" t="inlineStr">
        <is>
          <t>BJURHOLM</t>
        </is>
      </c>
      <c r="G134" t="n">
        <v>6.8</v>
      </c>
      <c r="H134" t="n">
        <v>0</v>
      </c>
      <c r="I134" t="n">
        <v>0</v>
      </c>
      <c r="J134" t="n">
        <v>0</v>
      </c>
      <c r="K134" t="n">
        <v>0</v>
      </c>
      <c r="L134" t="n">
        <v>0</v>
      </c>
      <c r="M134" t="n">
        <v>0</v>
      </c>
      <c r="N134" t="n">
        <v>0</v>
      </c>
      <c r="O134" t="n">
        <v>0</v>
      </c>
      <c r="P134" t="n">
        <v>0</v>
      </c>
      <c r="Q134" t="n">
        <v>0</v>
      </c>
      <c r="R134" s="2" t="inlineStr"/>
    </row>
    <row r="135" ht="15" customHeight="1">
      <c r="A135" t="inlineStr">
        <is>
          <t>A 40409-2023</t>
        </is>
      </c>
      <c r="B135" s="1" t="n">
        <v>45169.93868055556</v>
      </c>
      <c r="C135" s="1" t="n">
        <v>45878</v>
      </c>
      <c r="D135" t="inlineStr">
        <is>
          <t>VÄSTERBOTTENS LÄN</t>
        </is>
      </c>
      <c r="E135" t="inlineStr">
        <is>
          <t>BJURHOLM</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70740-2021</t>
        </is>
      </c>
      <c r="B136" s="1" t="n">
        <v>44536</v>
      </c>
      <c r="C136" s="1" t="n">
        <v>45878</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6721-2024</t>
        </is>
      </c>
      <c r="B137" s="1" t="n">
        <v>45342</v>
      </c>
      <c r="C137" s="1" t="n">
        <v>45878</v>
      </c>
      <c r="D137" t="inlineStr">
        <is>
          <t>VÄSTERBOTTENS LÄN</t>
        </is>
      </c>
      <c r="E137" t="inlineStr">
        <is>
          <t>BJURHOLM</t>
        </is>
      </c>
      <c r="G137" t="n">
        <v>6.6</v>
      </c>
      <c r="H137" t="n">
        <v>0</v>
      </c>
      <c r="I137" t="n">
        <v>0</v>
      </c>
      <c r="J137" t="n">
        <v>0</v>
      </c>
      <c r="K137" t="n">
        <v>0</v>
      </c>
      <c r="L137" t="n">
        <v>0</v>
      </c>
      <c r="M137" t="n">
        <v>0</v>
      </c>
      <c r="N137" t="n">
        <v>0</v>
      </c>
      <c r="O137" t="n">
        <v>0</v>
      </c>
      <c r="P137" t="n">
        <v>0</v>
      </c>
      <c r="Q137" t="n">
        <v>0</v>
      </c>
      <c r="R137" s="2" t="inlineStr"/>
    </row>
    <row r="138" ht="15" customHeight="1">
      <c r="A138" t="inlineStr">
        <is>
          <t>A 64503-2023</t>
        </is>
      </c>
      <c r="B138" s="1" t="n">
        <v>45280.94380787037</v>
      </c>
      <c r="C138" s="1" t="n">
        <v>45878</v>
      </c>
      <c r="D138" t="inlineStr">
        <is>
          <t>VÄSTERBOTTENS LÄN</t>
        </is>
      </c>
      <c r="E138" t="inlineStr">
        <is>
          <t>BJURHOLM</t>
        </is>
      </c>
      <c r="F138" t="inlineStr">
        <is>
          <t>SCA</t>
        </is>
      </c>
      <c r="G138" t="n">
        <v>2.9</v>
      </c>
      <c r="H138" t="n">
        <v>0</v>
      </c>
      <c r="I138" t="n">
        <v>0</v>
      </c>
      <c r="J138" t="n">
        <v>0</v>
      </c>
      <c r="K138" t="n">
        <v>0</v>
      </c>
      <c r="L138" t="n">
        <v>0</v>
      </c>
      <c r="M138" t="n">
        <v>0</v>
      </c>
      <c r="N138" t="n">
        <v>0</v>
      </c>
      <c r="O138" t="n">
        <v>0</v>
      </c>
      <c r="P138" t="n">
        <v>0</v>
      </c>
      <c r="Q138" t="n">
        <v>0</v>
      </c>
      <c r="R138" s="2" t="inlineStr"/>
    </row>
    <row r="139" ht="15" customHeight="1">
      <c r="A139" t="inlineStr">
        <is>
          <t>A 36991-2022</t>
        </is>
      </c>
      <c r="B139" s="1" t="n">
        <v>44806</v>
      </c>
      <c r="C139" s="1" t="n">
        <v>45878</v>
      </c>
      <c r="D139" t="inlineStr">
        <is>
          <t>VÄSTERBOTTENS LÄN</t>
        </is>
      </c>
      <c r="E139" t="inlineStr">
        <is>
          <t>BJURHOLM</t>
        </is>
      </c>
      <c r="G139" t="n">
        <v>1.8</v>
      </c>
      <c r="H139" t="n">
        <v>0</v>
      </c>
      <c r="I139" t="n">
        <v>0</v>
      </c>
      <c r="J139" t="n">
        <v>0</v>
      </c>
      <c r="K139" t="n">
        <v>0</v>
      </c>
      <c r="L139" t="n">
        <v>0</v>
      </c>
      <c r="M139" t="n">
        <v>0</v>
      </c>
      <c r="N139" t="n">
        <v>0</v>
      </c>
      <c r="O139" t="n">
        <v>0</v>
      </c>
      <c r="P139" t="n">
        <v>0</v>
      </c>
      <c r="Q139" t="n">
        <v>0</v>
      </c>
      <c r="R139" s="2" t="inlineStr"/>
    </row>
    <row r="140" ht="15" customHeight="1">
      <c r="A140" t="inlineStr">
        <is>
          <t>A 57799-2023</t>
        </is>
      </c>
      <c r="B140" s="1" t="n">
        <v>45246.96910879629</v>
      </c>
      <c r="C140" s="1" t="n">
        <v>45878</v>
      </c>
      <c r="D140" t="inlineStr">
        <is>
          <t>VÄSTERBOTTENS LÄN</t>
        </is>
      </c>
      <c r="E140" t="inlineStr">
        <is>
          <t>BJURHOLM</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15581-2023</t>
        </is>
      </c>
      <c r="B141" s="1" t="n">
        <v>45019</v>
      </c>
      <c r="C141" s="1" t="n">
        <v>45878</v>
      </c>
      <c r="D141" t="inlineStr">
        <is>
          <t>VÄSTERBOTTENS LÄN</t>
        </is>
      </c>
      <c r="E141" t="inlineStr">
        <is>
          <t>BJURHOLM</t>
        </is>
      </c>
      <c r="G141" t="n">
        <v>7</v>
      </c>
      <c r="H141" t="n">
        <v>0</v>
      </c>
      <c r="I141" t="n">
        <v>0</v>
      </c>
      <c r="J141" t="n">
        <v>0</v>
      </c>
      <c r="K141" t="n">
        <v>0</v>
      </c>
      <c r="L141" t="n">
        <v>0</v>
      </c>
      <c r="M141" t="n">
        <v>0</v>
      </c>
      <c r="N141" t="n">
        <v>0</v>
      </c>
      <c r="O141" t="n">
        <v>0</v>
      </c>
      <c r="P141" t="n">
        <v>0</v>
      </c>
      <c r="Q141" t="n">
        <v>0</v>
      </c>
      <c r="R141" s="2" t="inlineStr"/>
    </row>
    <row r="142" ht="15" customHeight="1">
      <c r="A142" t="inlineStr">
        <is>
          <t>A 39431-2021</t>
        </is>
      </c>
      <c r="B142" s="1" t="n">
        <v>44414.52152777778</v>
      </c>
      <c r="C142" s="1" t="n">
        <v>45878</v>
      </c>
      <c r="D142" t="inlineStr">
        <is>
          <t>VÄSTERBOTTENS LÄN</t>
        </is>
      </c>
      <c r="E142" t="inlineStr">
        <is>
          <t>BJURHOLM</t>
        </is>
      </c>
      <c r="G142" t="n">
        <v>1</v>
      </c>
      <c r="H142" t="n">
        <v>0</v>
      </c>
      <c r="I142" t="n">
        <v>0</v>
      </c>
      <c r="J142" t="n">
        <v>0</v>
      </c>
      <c r="K142" t="n">
        <v>0</v>
      </c>
      <c r="L142" t="n">
        <v>0</v>
      </c>
      <c r="M142" t="n">
        <v>0</v>
      </c>
      <c r="N142" t="n">
        <v>0</v>
      </c>
      <c r="O142" t="n">
        <v>0</v>
      </c>
      <c r="P142" t="n">
        <v>0</v>
      </c>
      <c r="Q142" t="n">
        <v>0</v>
      </c>
      <c r="R142" s="2" t="inlineStr"/>
    </row>
    <row r="143" ht="15" customHeight="1">
      <c r="A143" t="inlineStr">
        <is>
          <t>A 14888-2024</t>
        </is>
      </c>
      <c r="B143" s="1" t="n">
        <v>45398</v>
      </c>
      <c r="C143" s="1" t="n">
        <v>45878</v>
      </c>
      <c r="D143" t="inlineStr">
        <is>
          <t>VÄSTERBOTTENS LÄN</t>
        </is>
      </c>
      <c r="E143" t="inlineStr">
        <is>
          <t>BJURHOLM</t>
        </is>
      </c>
      <c r="F143" t="inlineStr">
        <is>
          <t>Holmen skog AB</t>
        </is>
      </c>
      <c r="G143" t="n">
        <v>6.3</v>
      </c>
      <c r="H143" t="n">
        <v>0</v>
      </c>
      <c r="I143" t="n">
        <v>0</v>
      </c>
      <c r="J143" t="n">
        <v>0</v>
      </c>
      <c r="K143" t="n">
        <v>0</v>
      </c>
      <c r="L143" t="n">
        <v>0</v>
      </c>
      <c r="M143" t="n">
        <v>0</v>
      </c>
      <c r="N143" t="n">
        <v>0</v>
      </c>
      <c r="O143" t="n">
        <v>0</v>
      </c>
      <c r="P143" t="n">
        <v>0</v>
      </c>
      <c r="Q143" t="n">
        <v>0</v>
      </c>
      <c r="R143" s="2" t="inlineStr"/>
    </row>
    <row r="144" ht="15" customHeight="1">
      <c r="A144" t="inlineStr">
        <is>
          <t>A 55512-2021</t>
        </is>
      </c>
      <c r="B144" s="1" t="n">
        <v>44475.63670138889</v>
      </c>
      <c r="C144" s="1" t="n">
        <v>45878</v>
      </c>
      <c r="D144" t="inlineStr">
        <is>
          <t>VÄSTERBOTTENS LÄN</t>
        </is>
      </c>
      <c r="E144" t="inlineStr">
        <is>
          <t>BJURHOLM</t>
        </is>
      </c>
      <c r="F144" t="inlineStr">
        <is>
          <t>Holmen skog AB</t>
        </is>
      </c>
      <c r="G144" t="n">
        <v>28.3</v>
      </c>
      <c r="H144" t="n">
        <v>0</v>
      </c>
      <c r="I144" t="n">
        <v>0</v>
      </c>
      <c r="J144" t="n">
        <v>0</v>
      </c>
      <c r="K144" t="n">
        <v>0</v>
      </c>
      <c r="L144" t="n">
        <v>0</v>
      </c>
      <c r="M144" t="n">
        <v>0</v>
      </c>
      <c r="N144" t="n">
        <v>0</v>
      </c>
      <c r="O144" t="n">
        <v>0</v>
      </c>
      <c r="P144" t="n">
        <v>0</v>
      </c>
      <c r="Q144" t="n">
        <v>0</v>
      </c>
      <c r="R144" s="2" t="inlineStr"/>
    </row>
    <row r="145" ht="15" customHeight="1">
      <c r="A145" t="inlineStr">
        <is>
          <t>A 57798-2024</t>
        </is>
      </c>
      <c r="B145" s="1" t="n">
        <v>45631.34457175926</v>
      </c>
      <c r="C145" s="1" t="n">
        <v>45878</v>
      </c>
      <c r="D145" t="inlineStr">
        <is>
          <t>VÄSTERBOTTENS LÄN</t>
        </is>
      </c>
      <c r="E145" t="inlineStr">
        <is>
          <t>BJURHOLM</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9158-2024</t>
        </is>
      </c>
      <c r="B146" s="1" t="n">
        <v>45357</v>
      </c>
      <c r="C146" s="1" t="n">
        <v>45878</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33157-2022</t>
        </is>
      </c>
      <c r="B147" s="1" t="n">
        <v>44785</v>
      </c>
      <c r="C147" s="1" t="n">
        <v>45878</v>
      </c>
      <c r="D147" t="inlineStr">
        <is>
          <t>VÄSTERBOTTENS LÄN</t>
        </is>
      </c>
      <c r="E147" t="inlineStr">
        <is>
          <t>BJURHOLM</t>
        </is>
      </c>
      <c r="F147" t="inlineStr">
        <is>
          <t>Holmen skog AB</t>
        </is>
      </c>
      <c r="G147" t="n">
        <v>1.5</v>
      </c>
      <c r="H147" t="n">
        <v>0</v>
      </c>
      <c r="I147" t="n">
        <v>0</v>
      </c>
      <c r="J147" t="n">
        <v>0</v>
      </c>
      <c r="K147" t="n">
        <v>0</v>
      </c>
      <c r="L147" t="n">
        <v>0</v>
      </c>
      <c r="M147" t="n">
        <v>0</v>
      </c>
      <c r="N147" t="n">
        <v>0</v>
      </c>
      <c r="O147" t="n">
        <v>0</v>
      </c>
      <c r="P147" t="n">
        <v>0</v>
      </c>
      <c r="Q147" t="n">
        <v>0</v>
      </c>
      <c r="R147" s="2" t="inlineStr"/>
    </row>
    <row r="148" ht="15" customHeight="1">
      <c r="A148" t="inlineStr">
        <is>
          <t>A 14414-2024</t>
        </is>
      </c>
      <c r="B148" s="1" t="n">
        <v>45393</v>
      </c>
      <c r="C148" s="1" t="n">
        <v>45878</v>
      </c>
      <c r="D148" t="inlineStr">
        <is>
          <t>VÄSTERBOTTENS LÄN</t>
        </is>
      </c>
      <c r="E148" t="inlineStr">
        <is>
          <t>BJURHOLM</t>
        </is>
      </c>
      <c r="G148" t="n">
        <v>7.1</v>
      </c>
      <c r="H148" t="n">
        <v>0</v>
      </c>
      <c r="I148" t="n">
        <v>0</v>
      </c>
      <c r="J148" t="n">
        <v>0</v>
      </c>
      <c r="K148" t="n">
        <v>0</v>
      </c>
      <c r="L148" t="n">
        <v>0</v>
      </c>
      <c r="M148" t="n">
        <v>0</v>
      </c>
      <c r="N148" t="n">
        <v>0</v>
      </c>
      <c r="O148" t="n">
        <v>0</v>
      </c>
      <c r="P148" t="n">
        <v>0</v>
      </c>
      <c r="Q148" t="n">
        <v>0</v>
      </c>
      <c r="R148" s="2" t="inlineStr"/>
    </row>
    <row r="149" ht="15" customHeight="1">
      <c r="A149" t="inlineStr">
        <is>
          <t>A 14438-2024</t>
        </is>
      </c>
      <c r="B149" s="1" t="n">
        <v>45394</v>
      </c>
      <c r="C149" s="1" t="n">
        <v>45878</v>
      </c>
      <c r="D149" t="inlineStr">
        <is>
          <t>VÄSTERBOTTENS LÄN</t>
        </is>
      </c>
      <c r="E149" t="inlineStr">
        <is>
          <t>BJURHOLM</t>
        </is>
      </c>
      <c r="G149" t="n">
        <v>5</v>
      </c>
      <c r="H149" t="n">
        <v>0</v>
      </c>
      <c r="I149" t="n">
        <v>0</v>
      </c>
      <c r="J149" t="n">
        <v>0</v>
      </c>
      <c r="K149" t="n">
        <v>0</v>
      </c>
      <c r="L149" t="n">
        <v>0</v>
      </c>
      <c r="M149" t="n">
        <v>0</v>
      </c>
      <c r="N149" t="n">
        <v>0</v>
      </c>
      <c r="O149" t="n">
        <v>0</v>
      </c>
      <c r="P149" t="n">
        <v>0</v>
      </c>
      <c r="Q149" t="n">
        <v>0</v>
      </c>
      <c r="R149" s="2" t="inlineStr"/>
    </row>
    <row r="150" ht="15" customHeight="1">
      <c r="A150" t="inlineStr">
        <is>
          <t>A 14443-2024</t>
        </is>
      </c>
      <c r="B150" s="1" t="n">
        <v>45394</v>
      </c>
      <c r="C150" s="1" t="n">
        <v>45878</v>
      </c>
      <c r="D150" t="inlineStr">
        <is>
          <t>VÄSTERBOTTENS LÄN</t>
        </is>
      </c>
      <c r="E150" t="inlineStr">
        <is>
          <t>BJURHOLM</t>
        </is>
      </c>
      <c r="G150" t="n">
        <v>4.1</v>
      </c>
      <c r="H150" t="n">
        <v>0</v>
      </c>
      <c r="I150" t="n">
        <v>0</v>
      </c>
      <c r="J150" t="n">
        <v>0</v>
      </c>
      <c r="K150" t="n">
        <v>0</v>
      </c>
      <c r="L150" t="n">
        <v>0</v>
      </c>
      <c r="M150" t="n">
        <v>0</v>
      </c>
      <c r="N150" t="n">
        <v>0</v>
      </c>
      <c r="O150" t="n">
        <v>0</v>
      </c>
      <c r="P150" t="n">
        <v>0</v>
      </c>
      <c r="Q150" t="n">
        <v>0</v>
      </c>
      <c r="R150" s="2" t="inlineStr"/>
    </row>
    <row r="151" ht="15" customHeight="1">
      <c r="A151" t="inlineStr">
        <is>
          <t>A 23184-2024</t>
        </is>
      </c>
      <c r="B151" s="1" t="n">
        <v>45450.94480324074</v>
      </c>
      <c r="C151" s="1" t="n">
        <v>45878</v>
      </c>
      <c r="D151" t="inlineStr">
        <is>
          <t>VÄSTERBOTTENS LÄN</t>
        </is>
      </c>
      <c r="E151" t="inlineStr">
        <is>
          <t>BJURHOLM</t>
        </is>
      </c>
      <c r="F151" t="inlineStr">
        <is>
          <t>SCA</t>
        </is>
      </c>
      <c r="G151" t="n">
        <v>1.8</v>
      </c>
      <c r="H151" t="n">
        <v>0</v>
      </c>
      <c r="I151" t="n">
        <v>0</v>
      </c>
      <c r="J151" t="n">
        <v>0</v>
      </c>
      <c r="K151" t="n">
        <v>0</v>
      </c>
      <c r="L151" t="n">
        <v>0</v>
      </c>
      <c r="M151" t="n">
        <v>0</v>
      </c>
      <c r="N151" t="n">
        <v>0</v>
      </c>
      <c r="O151" t="n">
        <v>0</v>
      </c>
      <c r="P151" t="n">
        <v>0</v>
      </c>
      <c r="Q151" t="n">
        <v>0</v>
      </c>
      <c r="R151" s="2" t="inlineStr"/>
    </row>
    <row r="152" ht="15" customHeight="1">
      <c r="A152" t="inlineStr">
        <is>
          <t>A 60690-2022</t>
        </is>
      </c>
      <c r="B152" s="1" t="n">
        <v>44911</v>
      </c>
      <c r="C152" s="1" t="n">
        <v>45878</v>
      </c>
      <c r="D152" t="inlineStr">
        <is>
          <t>VÄSTERBOTTENS LÄN</t>
        </is>
      </c>
      <c r="E152" t="inlineStr">
        <is>
          <t>BJURHOLM</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16327-2024</t>
        </is>
      </c>
      <c r="B153" s="1" t="n">
        <v>45407.51649305555</v>
      </c>
      <c r="C153" s="1" t="n">
        <v>45878</v>
      </c>
      <c r="D153" t="inlineStr">
        <is>
          <t>VÄSTERBOTTENS LÄN</t>
        </is>
      </c>
      <c r="E153" t="inlineStr">
        <is>
          <t>BJURHOLM</t>
        </is>
      </c>
      <c r="F153" t="inlineStr">
        <is>
          <t>Holmen skog AB</t>
        </is>
      </c>
      <c r="G153" t="n">
        <v>1.2</v>
      </c>
      <c r="H153" t="n">
        <v>0</v>
      </c>
      <c r="I153" t="n">
        <v>0</v>
      </c>
      <c r="J153" t="n">
        <v>0</v>
      </c>
      <c r="K153" t="n">
        <v>0</v>
      </c>
      <c r="L153" t="n">
        <v>0</v>
      </c>
      <c r="M153" t="n">
        <v>0</v>
      </c>
      <c r="N153" t="n">
        <v>0</v>
      </c>
      <c r="O153" t="n">
        <v>0</v>
      </c>
      <c r="P153" t="n">
        <v>0</v>
      </c>
      <c r="Q153" t="n">
        <v>0</v>
      </c>
      <c r="R153" s="2" t="inlineStr"/>
    </row>
    <row r="154" ht="15" customHeight="1">
      <c r="A154" t="inlineStr">
        <is>
          <t>A 53375-2024</t>
        </is>
      </c>
      <c r="B154" s="1" t="n">
        <v>45614</v>
      </c>
      <c r="C154" s="1" t="n">
        <v>45878</v>
      </c>
      <c r="D154" t="inlineStr">
        <is>
          <t>VÄSTERBOTTENS LÄN</t>
        </is>
      </c>
      <c r="E154" t="inlineStr">
        <is>
          <t>BJURHOLM</t>
        </is>
      </c>
      <c r="G154" t="n">
        <v>0.5</v>
      </c>
      <c r="H154" t="n">
        <v>0</v>
      </c>
      <c r="I154" t="n">
        <v>0</v>
      </c>
      <c r="J154" t="n">
        <v>0</v>
      </c>
      <c r="K154" t="n">
        <v>0</v>
      </c>
      <c r="L154" t="n">
        <v>0</v>
      </c>
      <c r="M154" t="n">
        <v>0</v>
      </c>
      <c r="N154" t="n">
        <v>0</v>
      </c>
      <c r="O154" t="n">
        <v>0</v>
      </c>
      <c r="P154" t="n">
        <v>0</v>
      </c>
      <c r="Q154" t="n">
        <v>0</v>
      </c>
      <c r="R154" s="2" t="inlineStr"/>
    </row>
    <row r="155" ht="15" customHeight="1">
      <c r="A155" t="inlineStr">
        <is>
          <t>A 13842-2025</t>
        </is>
      </c>
      <c r="B155" s="1" t="n">
        <v>45737.55802083333</v>
      </c>
      <c r="C155" s="1" t="n">
        <v>45878</v>
      </c>
      <c r="D155" t="inlineStr">
        <is>
          <t>VÄSTERBOTTENS LÄN</t>
        </is>
      </c>
      <c r="E155" t="inlineStr">
        <is>
          <t>BJURHOLM</t>
        </is>
      </c>
      <c r="G155" t="n">
        <v>1.3</v>
      </c>
      <c r="H155" t="n">
        <v>0</v>
      </c>
      <c r="I155" t="n">
        <v>0</v>
      </c>
      <c r="J155" t="n">
        <v>0</v>
      </c>
      <c r="K155" t="n">
        <v>0</v>
      </c>
      <c r="L155" t="n">
        <v>0</v>
      </c>
      <c r="M155" t="n">
        <v>0</v>
      </c>
      <c r="N155" t="n">
        <v>0</v>
      </c>
      <c r="O155" t="n">
        <v>0</v>
      </c>
      <c r="P155" t="n">
        <v>0</v>
      </c>
      <c r="Q155" t="n">
        <v>0</v>
      </c>
      <c r="R155" s="2" t="inlineStr"/>
    </row>
    <row r="156" ht="15" customHeight="1">
      <c r="A156" t="inlineStr">
        <is>
          <t>A 17196-2025</t>
        </is>
      </c>
      <c r="B156" s="1" t="n">
        <v>45756.4102199074</v>
      </c>
      <c r="C156" s="1" t="n">
        <v>45878</v>
      </c>
      <c r="D156" t="inlineStr">
        <is>
          <t>VÄSTERBOTTENS LÄN</t>
        </is>
      </c>
      <c r="E156" t="inlineStr">
        <is>
          <t>BJURHOLM</t>
        </is>
      </c>
      <c r="G156" t="n">
        <v>10.3</v>
      </c>
      <c r="H156" t="n">
        <v>0</v>
      </c>
      <c r="I156" t="n">
        <v>0</v>
      </c>
      <c r="J156" t="n">
        <v>0</v>
      </c>
      <c r="K156" t="n">
        <v>0</v>
      </c>
      <c r="L156" t="n">
        <v>0</v>
      </c>
      <c r="M156" t="n">
        <v>0</v>
      </c>
      <c r="N156" t="n">
        <v>0</v>
      </c>
      <c r="O156" t="n">
        <v>0</v>
      </c>
      <c r="P156" t="n">
        <v>0</v>
      </c>
      <c r="Q156" t="n">
        <v>0</v>
      </c>
      <c r="R156" s="2" t="inlineStr"/>
    </row>
    <row r="157" ht="15" customHeight="1">
      <c r="A157" t="inlineStr">
        <is>
          <t>A 45844-2021</t>
        </is>
      </c>
      <c r="B157" s="1" t="n">
        <v>44441</v>
      </c>
      <c r="C157" s="1" t="n">
        <v>45878</v>
      </c>
      <c r="D157" t="inlineStr">
        <is>
          <t>VÄSTERBOTTENS LÄN</t>
        </is>
      </c>
      <c r="E157" t="inlineStr">
        <is>
          <t>BJURHOLM</t>
        </is>
      </c>
      <c r="G157" t="n">
        <v>0.4</v>
      </c>
      <c r="H157" t="n">
        <v>0</v>
      </c>
      <c r="I157" t="n">
        <v>0</v>
      </c>
      <c r="J157" t="n">
        <v>0</v>
      </c>
      <c r="K157" t="n">
        <v>0</v>
      </c>
      <c r="L157" t="n">
        <v>0</v>
      </c>
      <c r="M157" t="n">
        <v>0</v>
      </c>
      <c r="N157" t="n">
        <v>0</v>
      </c>
      <c r="O157" t="n">
        <v>0</v>
      </c>
      <c r="P157" t="n">
        <v>0</v>
      </c>
      <c r="Q157" t="n">
        <v>0</v>
      </c>
      <c r="R157" s="2" t="inlineStr"/>
    </row>
    <row r="158" ht="15" customHeight="1">
      <c r="A158" t="inlineStr">
        <is>
          <t>A 32989-2022</t>
        </is>
      </c>
      <c r="B158" s="1" t="n">
        <v>44784.94172453704</v>
      </c>
      <c r="C158" s="1" t="n">
        <v>45878</v>
      </c>
      <c r="D158" t="inlineStr">
        <is>
          <t>VÄSTERBOTTENS LÄN</t>
        </is>
      </c>
      <c r="E158" t="inlineStr">
        <is>
          <t>BJURHOLM</t>
        </is>
      </c>
      <c r="F158" t="inlineStr">
        <is>
          <t>SCA</t>
        </is>
      </c>
      <c r="G158" t="n">
        <v>1.4</v>
      </c>
      <c r="H158" t="n">
        <v>0</v>
      </c>
      <c r="I158" t="n">
        <v>0</v>
      </c>
      <c r="J158" t="n">
        <v>0</v>
      </c>
      <c r="K158" t="n">
        <v>0</v>
      </c>
      <c r="L158" t="n">
        <v>0</v>
      </c>
      <c r="M158" t="n">
        <v>0</v>
      </c>
      <c r="N158" t="n">
        <v>0</v>
      </c>
      <c r="O158" t="n">
        <v>0</v>
      </c>
      <c r="P158" t="n">
        <v>0</v>
      </c>
      <c r="Q158" t="n">
        <v>0</v>
      </c>
      <c r="R158" s="2" t="inlineStr"/>
    </row>
    <row r="159" ht="15" customHeight="1">
      <c r="A159" t="inlineStr">
        <is>
          <t>A 31205-2023</t>
        </is>
      </c>
      <c r="B159" s="1" t="n">
        <v>45113</v>
      </c>
      <c r="C159" s="1" t="n">
        <v>45878</v>
      </c>
      <c r="D159" t="inlineStr">
        <is>
          <t>VÄSTERBOTTENS LÄN</t>
        </is>
      </c>
      <c r="E159" t="inlineStr">
        <is>
          <t>BJURHOLM</t>
        </is>
      </c>
      <c r="F159" t="inlineStr">
        <is>
          <t>SCA</t>
        </is>
      </c>
      <c r="G159" t="n">
        <v>2.2</v>
      </c>
      <c r="H159" t="n">
        <v>0</v>
      </c>
      <c r="I159" t="n">
        <v>0</v>
      </c>
      <c r="J159" t="n">
        <v>0</v>
      </c>
      <c r="K159" t="n">
        <v>0</v>
      </c>
      <c r="L159" t="n">
        <v>0</v>
      </c>
      <c r="M159" t="n">
        <v>0</v>
      </c>
      <c r="N159" t="n">
        <v>0</v>
      </c>
      <c r="O159" t="n">
        <v>0</v>
      </c>
      <c r="P159" t="n">
        <v>0</v>
      </c>
      <c r="Q159" t="n">
        <v>0</v>
      </c>
      <c r="R159" s="2" t="inlineStr"/>
    </row>
    <row r="160" ht="15" customHeight="1">
      <c r="A160" t="inlineStr">
        <is>
          <t>A 20011-2024</t>
        </is>
      </c>
      <c r="B160" s="1" t="n">
        <v>45433.94342592593</v>
      </c>
      <c r="C160" s="1" t="n">
        <v>45878</v>
      </c>
      <c r="D160" t="inlineStr">
        <is>
          <t>VÄSTERBOTTENS LÄN</t>
        </is>
      </c>
      <c r="E160" t="inlineStr">
        <is>
          <t>BJURHOLM</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14407-2024</t>
        </is>
      </c>
      <c r="B161" s="1" t="n">
        <v>45394</v>
      </c>
      <c r="C161" s="1" t="n">
        <v>45878</v>
      </c>
      <c r="D161" t="inlineStr">
        <is>
          <t>VÄSTERBOTTENS LÄN</t>
        </is>
      </c>
      <c r="E161" t="inlineStr">
        <is>
          <t>BJURHOLM</t>
        </is>
      </c>
      <c r="G161" t="n">
        <v>4.9</v>
      </c>
      <c r="H161" t="n">
        <v>0</v>
      </c>
      <c r="I161" t="n">
        <v>0</v>
      </c>
      <c r="J161" t="n">
        <v>0</v>
      </c>
      <c r="K161" t="n">
        <v>0</v>
      </c>
      <c r="L161" t="n">
        <v>0</v>
      </c>
      <c r="M161" t="n">
        <v>0</v>
      </c>
      <c r="N161" t="n">
        <v>0</v>
      </c>
      <c r="O161" t="n">
        <v>0</v>
      </c>
      <c r="P161" t="n">
        <v>0</v>
      </c>
      <c r="Q161" t="n">
        <v>0</v>
      </c>
      <c r="R161" s="2" t="inlineStr"/>
    </row>
    <row r="162" ht="15" customHeight="1">
      <c r="A162" t="inlineStr">
        <is>
          <t>A 13601-2025</t>
        </is>
      </c>
      <c r="B162" s="1" t="n">
        <v>45736</v>
      </c>
      <c r="C162" s="1" t="n">
        <v>45878</v>
      </c>
      <c r="D162" t="inlineStr">
        <is>
          <t>VÄSTERBOTTENS LÄN</t>
        </is>
      </c>
      <c r="E162" t="inlineStr">
        <is>
          <t>BJURHOLM</t>
        </is>
      </c>
      <c r="G162" t="n">
        <v>3.5</v>
      </c>
      <c r="H162" t="n">
        <v>0</v>
      </c>
      <c r="I162" t="n">
        <v>0</v>
      </c>
      <c r="J162" t="n">
        <v>0</v>
      </c>
      <c r="K162" t="n">
        <v>0</v>
      </c>
      <c r="L162" t="n">
        <v>0</v>
      </c>
      <c r="M162" t="n">
        <v>0</v>
      </c>
      <c r="N162" t="n">
        <v>0</v>
      </c>
      <c r="O162" t="n">
        <v>0</v>
      </c>
      <c r="P162" t="n">
        <v>0</v>
      </c>
      <c r="Q162" t="n">
        <v>0</v>
      </c>
      <c r="R162" s="2" t="inlineStr"/>
    </row>
    <row r="163" ht="15" customHeight="1">
      <c r="A163" t="inlineStr">
        <is>
          <t>A 7431-2024</t>
        </is>
      </c>
      <c r="B163" s="1" t="n">
        <v>45345</v>
      </c>
      <c r="C163" s="1" t="n">
        <v>45878</v>
      </c>
      <c r="D163" t="inlineStr">
        <is>
          <t>VÄSTERBOTTENS LÄN</t>
        </is>
      </c>
      <c r="E163" t="inlineStr">
        <is>
          <t>BJURHOLM</t>
        </is>
      </c>
      <c r="G163" t="n">
        <v>2.5</v>
      </c>
      <c r="H163" t="n">
        <v>0</v>
      </c>
      <c r="I163" t="n">
        <v>0</v>
      </c>
      <c r="J163" t="n">
        <v>0</v>
      </c>
      <c r="K163" t="n">
        <v>0</v>
      </c>
      <c r="L163" t="n">
        <v>0</v>
      </c>
      <c r="M163" t="n">
        <v>0</v>
      </c>
      <c r="N163" t="n">
        <v>0</v>
      </c>
      <c r="O163" t="n">
        <v>0</v>
      </c>
      <c r="P163" t="n">
        <v>0</v>
      </c>
      <c r="Q163" t="n">
        <v>0</v>
      </c>
      <c r="R163" s="2" t="inlineStr"/>
    </row>
    <row r="164" ht="15" customHeight="1">
      <c r="A164" t="inlineStr">
        <is>
          <t>A 7440-2025</t>
        </is>
      </c>
      <c r="B164" s="1" t="n">
        <v>45705</v>
      </c>
      <c r="C164" s="1" t="n">
        <v>45878</v>
      </c>
      <c r="D164" t="inlineStr">
        <is>
          <t>VÄSTERBOTTENS LÄN</t>
        </is>
      </c>
      <c r="E164" t="inlineStr">
        <is>
          <t>BJURHOLM</t>
        </is>
      </c>
      <c r="G164" t="n">
        <v>4.5</v>
      </c>
      <c r="H164" t="n">
        <v>0</v>
      </c>
      <c r="I164" t="n">
        <v>0</v>
      </c>
      <c r="J164" t="n">
        <v>0</v>
      </c>
      <c r="K164" t="n">
        <v>0</v>
      </c>
      <c r="L164" t="n">
        <v>0</v>
      </c>
      <c r="M164" t="n">
        <v>0</v>
      </c>
      <c r="N164" t="n">
        <v>0</v>
      </c>
      <c r="O164" t="n">
        <v>0</v>
      </c>
      <c r="P164" t="n">
        <v>0</v>
      </c>
      <c r="Q164" t="n">
        <v>0</v>
      </c>
      <c r="R164" s="2" t="inlineStr"/>
    </row>
    <row r="165" ht="15" customHeight="1">
      <c r="A165" t="inlineStr">
        <is>
          <t>A 32289-2024</t>
        </is>
      </c>
      <c r="B165" s="1" t="n">
        <v>45512</v>
      </c>
      <c r="C165" s="1" t="n">
        <v>45878</v>
      </c>
      <c r="D165" t="inlineStr">
        <is>
          <t>VÄSTERBOTTENS LÄN</t>
        </is>
      </c>
      <c r="E165" t="inlineStr">
        <is>
          <t>BJURHOLM</t>
        </is>
      </c>
      <c r="G165" t="n">
        <v>1.7</v>
      </c>
      <c r="H165" t="n">
        <v>0</v>
      </c>
      <c r="I165" t="n">
        <v>0</v>
      </c>
      <c r="J165" t="n">
        <v>0</v>
      </c>
      <c r="K165" t="n">
        <v>0</v>
      </c>
      <c r="L165" t="n">
        <v>0</v>
      </c>
      <c r="M165" t="n">
        <v>0</v>
      </c>
      <c r="N165" t="n">
        <v>0</v>
      </c>
      <c r="O165" t="n">
        <v>0</v>
      </c>
      <c r="P165" t="n">
        <v>0</v>
      </c>
      <c r="Q165" t="n">
        <v>0</v>
      </c>
      <c r="R165" s="2" t="inlineStr"/>
    </row>
    <row r="166" ht="15" customHeight="1">
      <c r="A166" t="inlineStr">
        <is>
          <t>A 29095-2024</t>
        </is>
      </c>
      <c r="B166" s="1" t="n">
        <v>45481</v>
      </c>
      <c r="C166" s="1" t="n">
        <v>45878</v>
      </c>
      <c r="D166" t="inlineStr">
        <is>
          <t>VÄSTERBOTTENS LÄN</t>
        </is>
      </c>
      <c r="E166" t="inlineStr">
        <is>
          <t>BJURHOLM</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40142-2023</t>
        </is>
      </c>
      <c r="B167" s="1" t="n">
        <v>45168</v>
      </c>
      <c r="C167" s="1" t="n">
        <v>45878</v>
      </c>
      <c r="D167" t="inlineStr">
        <is>
          <t>VÄSTERBOTTENS LÄN</t>
        </is>
      </c>
      <c r="E167" t="inlineStr">
        <is>
          <t>BJURHOLM</t>
        </is>
      </c>
      <c r="G167" t="n">
        <v>2.3</v>
      </c>
      <c r="H167" t="n">
        <v>0</v>
      </c>
      <c r="I167" t="n">
        <v>0</v>
      </c>
      <c r="J167" t="n">
        <v>0</v>
      </c>
      <c r="K167" t="n">
        <v>0</v>
      </c>
      <c r="L167" t="n">
        <v>0</v>
      </c>
      <c r="M167" t="n">
        <v>0</v>
      </c>
      <c r="N167" t="n">
        <v>0</v>
      </c>
      <c r="O167" t="n">
        <v>0</v>
      </c>
      <c r="P167" t="n">
        <v>0</v>
      </c>
      <c r="Q167" t="n">
        <v>0</v>
      </c>
      <c r="R167" s="2" t="inlineStr"/>
    </row>
    <row r="168" ht="15" customHeight="1">
      <c r="A168" t="inlineStr">
        <is>
          <t>A 25794-2024</t>
        </is>
      </c>
      <c r="B168" s="1" t="n">
        <v>45467</v>
      </c>
      <c r="C168" s="1" t="n">
        <v>45878</v>
      </c>
      <c r="D168" t="inlineStr">
        <is>
          <t>VÄSTERBOTTENS LÄN</t>
        </is>
      </c>
      <c r="E168" t="inlineStr">
        <is>
          <t>BJURHOLM</t>
        </is>
      </c>
      <c r="F168" t="inlineStr">
        <is>
          <t>Holmen skog AB</t>
        </is>
      </c>
      <c r="G168" t="n">
        <v>9</v>
      </c>
      <c r="H168" t="n">
        <v>0</v>
      </c>
      <c r="I168" t="n">
        <v>0</v>
      </c>
      <c r="J168" t="n">
        <v>0</v>
      </c>
      <c r="K168" t="n">
        <v>0</v>
      </c>
      <c r="L168" t="n">
        <v>0</v>
      </c>
      <c r="M168" t="n">
        <v>0</v>
      </c>
      <c r="N168" t="n">
        <v>0</v>
      </c>
      <c r="O168" t="n">
        <v>0</v>
      </c>
      <c r="P168" t="n">
        <v>0</v>
      </c>
      <c r="Q168" t="n">
        <v>0</v>
      </c>
      <c r="R168" s="2" t="inlineStr"/>
    </row>
    <row r="169" ht="15" customHeight="1">
      <c r="A169" t="inlineStr">
        <is>
          <t>A 8502-2024</t>
        </is>
      </c>
      <c r="B169" s="1" t="n">
        <v>45351</v>
      </c>
      <c r="C169" s="1" t="n">
        <v>45878</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25801-2024</t>
        </is>
      </c>
      <c r="B170" s="1" t="n">
        <v>45467.35814814815</v>
      </c>
      <c r="C170" s="1" t="n">
        <v>45878</v>
      </c>
      <c r="D170" t="inlineStr">
        <is>
          <t>VÄSTERBOTTENS LÄN</t>
        </is>
      </c>
      <c r="E170" t="inlineStr">
        <is>
          <t>BJURHOLM</t>
        </is>
      </c>
      <c r="F170" t="inlineStr">
        <is>
          <t>Holmen skog AB</t>
        </is>
      </c>
      <c r="G170" t="n">
        <v>3</v>
      </c>
      <c r="H170" t="n">
        <v>0</v>
      </c>
      <c r="I170" t="n">
        <v>0</v>
      </c>
      <c r="J170" t="n">
        <v>0</v>
      </c>
      <c r="K170" t="n">
        <v>0</v>
      </c>
      <c r="L170" t="n">
        <v>0</v>
      </c>
      <c r="M170" t="n">
        <v>0</v>
      </c>
      <c r="N170" t="n">
        <v>0</v>
      </c>
      <c r="O170" t="n">
        <v>0</v>
      </c>
      <c r="P170" t="n">
        <v>0</v>
      </c>
      <c r="Q170" t="n">
        <v>0</v>
      </c>
      <c r="R170" s="2" t="inlineStr"/>
    </row>
    <row r="171" ht="15" customHeight="1">
      <c r="A171" t="inlineStr">
        <is>
          <t>A 26646-2024</t>
        </is>
      </c>
      <c r="B171" s="1" t="n">
        <v>45469</v>
      </c>
      <c r="C171" s="1" t="n">
        <v>45878</v>
      </c>
      <c r="D171" t="inlineStr">
        <is>
          <t>VÄSTERBOTTENS LÄN</t>
        </is>
      </c>
      <c r="E171" t="inlineStr">
        <is>
          <t>BJURHOLM</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8860-2023</t>
        </is>
      </c>
      <c r="B172" s="1" t="n">
        <v>44978.92381944445</v>
      </c>
      <c r="C172" s="1" t="n">
        <v>45878</v>
      </c>
      <c r="D172" t="inlineStr">
        <is>
          <t>VÄSTERBOTTENS LÄN</t>
        </is>
      </c>
      <c r="E172" t="inlineStr">
        <is>
          <t>BJURHOLM</t>
        </is>
      </c>
      <c r="G172" t="n">
        <v>3.4</v>
      </c>
      <c r="H172" t="n">
        <v>0</v>
      </c>
      <c r="I172" t="n">
        <v>0</v>
      </c>
      <c r="J172" t="n">
        <v>0</v>
      </c>
      <c r="K172" t="n">
        <v>0</v>
      </c>
      <c r="L172" t="n">
        <v>0</v>
      </c>
      <c r="M172" t="n">
        <v>0</v>
      </c>
      <c r="N172" t="n">
        <v>0</v>
      </c>
      <c r="O172" t="n">
        <v>0</v>
      </c>
      <c r="P172" t="n">
        <v>0</v>
      </c>
      <c r="Q172" t="n">
        <v>0</v>
      </c>
      <c r="R172" s="2" t="inlineStr"/>
    </row>
    <row r="173" ht="15" customHeight="1">
      <c r="A173" t="inlineStr">
        <is>
          <t>A 50727-2024</t>
        </is>
      </c>
      <c r="B173" s="1" t="n">
        <v>45602.38761574074</v>
      </c>
      <c r="C173" s="1" t="n">
        <v>45878</v>
      </c>
      <c r="D173" t="inlineStr">
        <is>
          <t>VÄSTERBOTTENS LÄN</t>
        </is>
      </c>
      <c r="E173" t="inlineStr">
        <is>
          <t>BJURHOLM</t>
        </is>
      </c>
      <c r="G173" t="n">
        <v>0.2</v>
      </c>
      <c r="H173" t="n">
        <v>0</v>
      </c>
      <c r="I173" t="n">
        <v>0</v>
      </c>
      <c r="J173" t="n">
        <v>0</v>
      </c>
      <c r="K173" t="n">
        <v>0</v>
      </c>
      <c r="L173" t="n">
        <v>0</v>
      </c>
      <c r="M173" t="n">
        <v>0</v>
      </c>
      <c r="N173" t="n">
        <v>0</v>
      </c>
      <c r="O173" t="n">
        <v>0</v>
      </c>
      <c r="P173" t="n">
        <v>0</v>
      </c>
      <c r="Q173" t="n">
        <v>0</v>
      </c>
      <c r="R173" s="2" t="inlineStr"/>
    </row>
    <row r="174" ht="15" customHeight="1">
      <c r="A174" t="inlineStr">
        <is>
          <t>A 50729-2024</t>
        </is>
      </c>
      <c r="B174" s="1" t="n">
        <v>45602.38763888889</v>
      </c>
      <c r="C174" s="1" t="n">
        <v>45878</v>
      </c>
      <c r="D174" t="inlineStr">
        <is>
          <t>VÄSTERBOTTENS LÄN</t>
        </is>
      </c>
      <c r="E174" t="inlineStr">
        <is>
          <t>BJURHOLM</t>
        </is>
      </c>
      <c r="G174" t="n">
        <v>2.4</v>
      </c>
      <c r="H174" t="n">
        <v>0</v>
      </c>
      <c r="I174" t="n">
        <v>0</v>
      </c>
      <c r="J174" t="n">
        <v>0</v>
      </c>
      <c r="K174" t="n">
        <v>0</v>
      </c>
      <c r="L174" t="n">
        <v>0</v>
      </c>
      <c r="M174" t="n">
        <v>0</v>
      </c>
      <c r="N174" t="n">
        <v>0</v>
      </c>
      <c r="O174" t="n">
        <v>0</v>
      </c>
      <c r="P174" t="n">
        <v>0</v>
      </c>
      <c r="Q174" t="n">
        <v>0</v>
      </c>
      <c r="R174" s="2" t="inlineStr"/>
    </row>
    <row r="175" ht="15" customHeight="1">
      <c r="A175" t="inlineStr">
        <is>
          <t>A 22408-2024</t>
        </is>
      </c>
      <c r="B175" s="1" t="n">
        <v>45446.6784837963</v>
      </c>
      <c r="C175" s="1" t="n">
        <v>45878</v>
      </c>
      <c r="D175" t="inlineStr">
        <is>
          <t>VÄSTERBOTTENS LÄN</t>
        </is>
      </c>
      <c r="E175" t="inlineStr">
        <is>
          <t>BJURHOLM</t>
        </is>
      </c>
      <c r="G175" t="n">
        <v>1</v>
      </c>
      <c r="H175" t="n">
        <v>0</v>
      </c>
      <c r="I175" t="n">
        <v>0</v>
      </c>
      <c r="J175" t="n">
        <v>0</v>
      </c>
      <c r="K175" t="n">
        <v>0</v>
      </c>
      <c r="L175" t="n">
        <v>0</v>
      </c>
      <c r="M175" t="n">
        <v>0</v>
      </c>
      <c r="N175" t="n">
        <v>0</v>
      </c>
      <c r="O175" t="n">
        <v>0</v>
      </c>
      <c r="P175" t="n">
        <v>0</v>
      </c>
      <c r="Q175" t="n">
        <v>0</v>
      </c>
      <c r="R175" s="2" t="inlineStr"/>
    </row>
    <row r="176" ht="15" customHeight="1">
      <c r="A176" t="inlineStr">
        <is>
          <t>A 16013-2025</t>
        </is>
      </c>
      <c r="B176" s="1" t="n">
        <v>45749.60484953703</v>
      </c>
      <c r="C176" s="1" t="n">
        <v>45878</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3493-2023</t>
        </is>
      </c>
      <c r="B177" s="1" t="n">
        <v>44949</v>
      </c>
      <c r="C177" s="1" t="n">
        <v>45878</v>
      </c>
      <c r="D177" t="inlineStr">
        <is>
          <t>VÄSTERBOTTENS LÄN</t>
        </is>
      </c>
      <c r="E177" t="inlineStr">
        <is>
          <t>BJURHOLM</t>
        </is>
      </c>
      <c r="G177" t="n">
        <v>1.2</v>
      </c>
      <c r="H177" t="n">
        <v>0</v>
      </c>
      <c r="I177" t="n">
        <v>0</v>
      </c>
      <c r="J177" t="n">
        <v>0</v>
      </c>
      <c r="K177" t="n">
        <v>0</v>
      </c>
      <c r="L177" t="n">
        <v>0</v>
      </c>
      <c r="M177" t="n">
        <v>0</v>
      </c>
      <c r="N177" t="n">
        <v>0</v>
      </c>
      <c r="O177" t="n">
        <v>0</v>
      </c>
      <c r="P177" t="n">
        <v>0</v>
      </c>
      <c r="Q177" t="n">
        <v>0</v>
      </c>
      <c r="R177" s="2" t="inlineStr"/>
    </row>
    <row r="178" ht="15" customHeight="1">
      <c r="A178" t="inlineStr">
        <is>
          <t>A 51239-2022</t>
        </is>
      </c>
      <c r="B178" s="1" t="n">
        <v>44866</v>
      </c>
      <c r="C178" s="1" t="n">
        <v>45878</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62088-2022</t>
        </is>
      </c>
      <c r="B179" s="1" t="n">
        <v>44919</v>
      </c>
      <c r="C179" s="1" t="n">
        <v>45878</v>
      </c>
      <c r="D179" t="inlineStr">
        <is>
          <t>VÄSTERBOTTENS LÄN</t>
        </is>
      </c>
      <c r="E179" t="inlineStr">
        <is>
          <t>BJURHOLM</t>
        </is>
      </c>
      <c r="G179" t="n">
        <v>4.8</v>
      </c>
      <c r="H179" t="n">
        <v>0</v>
      </c>
      <c r="I179" t="n">
        <v>0</v>
      </c>
      <c r="J179" t="n">
        <v>0</v>
      </c>
      <c r="K179" t="n">
        <v>0</v>
      </c>
      <c r="L179" t="n">
        <v>0</v>
      </c>
      <c r="M179" t="n">
        <v>0</v>
      </c>
      <c r="N179" t="n">
        <v>0</v>
      </c>
      <c r="O179" t="n">
        <v>0</v>
      </c>
      <c r="P179" t="n">
        <v>0</v>
      </c>
      <c r="Q179" t="n">
        <v>0</v>
      </c>
      <c r="R179" s="2" t="inlineStr"/>
    </row>
    <row r="180" ht="15" customHeight="1">
      <c r="A180" t="inlineStr">
        <is>
          <t>A 36707-2024</t>
        </is>
      </c>
      <c r="B180" s="1" t="n">
        <v>45537</v>
      </c>
      <c r="C180" s="1" t="n">
        <v>45878</v>
      </c>
      <c r="D180" t="inlineStr">
        <is>
          <t>VÄSTERBOTTENS LÄN</t>
        </is>
      </c>
      <c r="E180" t="inlineStr">
        <is>
          <t>BJURHOLM</t>
        </is>
      </c>
      <c r="G180" t="n">
        <v>7.1</v>
      </c>
      <c r="H180" t="n">
        <v>0</v>
      </c>
      <c r="I180" t="n">
        <v>0</v>
      </c>
      <c r="J180" t="n">
        <v>0</v>
      </c>
      <c r="K180" t="n">
        <v>0</v>
      </c>
      <c r="L180" t="n">
        <v>0</v>
      </c>
      <c r="M180" t="n">
        <v>0</v>
      </c>
      <c r="N180" t="n">
        <v>0</v>
      </c>
      <c r="O180" t="n">
        <v>0</v>
      </c>
      <c r="P180" t="n">
        <v>0</v>
      </c>
      <c r="Q180" t="n">
        <v>0</v>
      </c>
      <c r="R180" s="2" t="inlineStr"/>
    </row>
    <row r="181" ht="15" customHeight="1">
      <c r="A181" t="inlineStr">
        <is>
          <t>A 11715-2025</t>
        </is>
      </c>
      <c r="B181" s="1" t="n">
        <v>45727.60585648148</v>
      </c>
      <c r="C181" s="1" t="n">
        <v>45878</v>
      </c>
      <c r="D181" t="inlineStr">
        <is>
          <t>VÄSTERBOTTENS LÄN</t>
        </is>
      </c>
      <c r="E181" t="inlineStr">
        <is>
          <t>BJURHOLM</t>
        </is>
      </c>
      <c r="G181" t="n">
        <v>11.3</v>
      </c>
      <c r="H181" t="n">
        <v>0</v>
      </c>
      <c r="I181" t="n">
        <v>0</v>
      </c>
      <c r="J181" t="n">
        <v>0</v>
      </c>
      <c r="K181" t="n">
        <v>0</v>
      </c>
      <c r="L181" t="n">
        <v>0</v>
      </c>
      <c r="M181" t="n">
        <v>0</v>
      </c>
      <c r="N181" t="n">
        <v>0</v>
      </c>
      <c r="O181" t="n">
        <v>0</v>
      </c>
      <c r="P181" t="n">
        <v>0</v>
      </c>
      <c r="Q181" t="n">
        <v>0</v>
      </c>
      <c r="R181" s="2" t="inlineStr"/>
    </row>
    <row r="182" ht="15" customHeight="1">
      <c r="A182" t="inlineStr">
        <is>
          <t>A 34784-2023</t>
        </is>
      </c>
      <c r="B182" s="1" t="n">
        <v>45141</v>
      </c>
      <c r="C182" s="1" t="n">
        <v>45878</v>
      </c>
      <c r="D182" t="inlineStr">
        <is>
          <t>VÄSTERBOTTENS LÄN</t>
        </is>
      </c>
      <c r="E182" t="inlineStr">
        <is>
          <t>BJURHOLM</t>
        </is>
      </c>
      <c r="F182" t="inlineStr">
        <is>
          <t>Holmen skog AB</t>
        </is>
      </c>
      <c r="G182" t="n">
        <v>1.4</v>
      </c>
      <c r="H182" t="n">
        <v>0</v>
      </c>
      <c r="I182" t="n">
        <v>0</v>
      </c>
      <c r="J182" t="n">
        <v>0</v>
      </c>
      <c r="K182" t="n">
        <v>0</v>
      </c>
      <c r="L182" t="n">
        <v>0</v>
      </c>
      <c r="M182" t="n">
        <v>0</v>
      </c>
      <c r="N182" t="n">
        <v>0</v>
      </c>
      <c r="O182" t="n">
        <v>0</v>
      </c>
      <c r="P182" t="n">
        <v>0</v>
      </c>
      <c r="Q182" t="n">
        <v>0</v>
      </c>
      <c r="R182" s="2" t="inlineStr"/>
    </row>
    <row r="183" ht="15" customHeight="1">
      <c r="A183" t="inlineStr">
        <is>
          <t>A 80-2025</t>
        </is>
      </c>
      <c r="B183" s="1" t="n">
        <v>45659.44478009259</v>
      </c>
      <c r="C183" s="1" t="n">
        <v>45878</v>
      </c>
      <c r="D183" t="inlineStr">
        <is>
          <t>VÄSTERBOTTENS LÄN</t>
        </is>
      </c>
      <c r="E183" t="inlineStr">
        <is>
          <t>BJURHOLM</t>
        </is>
      </c>
      <c r="G183" t="n">
        <v>5.3</v>
      </c>
      <c r="H183" t="n">
        <v>0</v>
      </c>
      <c r="I183" t="n">
        <v>0</v>
      </c>
      <c r="J183" t="n">
        <v>0</v>
      </c>
      <c r="K183" t="n">
        <v>0</v>
      </c>
      <c r="L183" t="n">
        <v>0</v>
      </c>
      <c r="M183" t="n">
        <v>0</v>
      </c>
      <c r="N183" t="n">
        <v>0</v>
      </c>
      <c r="O183" t="n">
        <v>0</v>
      </c>
      <c r="P183" t="n">
        <v>0</v>
      </c>
      <c r="Q183" t="n">
        <v>0</v>
      </c>
      <c r="R183" s="2" t="inlineStr"/>
    </row>
    <row r="184" ht="15" customHeight="1">
      <c r="A184" t="inlineStr">
        <is>
          <t>A 61170-2024</t>
        </is>
      </c>
      <c r="B184" s="1" t="n">
        <v>45645.60092592592</v>
      </c>
      <c r="C184" s="1" t="n">
        <v>45878</v>
      </c>
      <c r="D184" t="inlineStr">
        <is>
          <t>VÄSTERBOTTENS LÄN</t>
        </is>
      </c>
      <c r="E184" t="inlineStr">
        <is>
          <t>BJURHOLM</t>
        </is>
      </c>
      <c r="G184" t="n">
        <v>0.7</v>
      </c>
      <c r="H184" t="n">
        <v>0</v>
      </c>
      <c r="I184" t="n">
        <v>0</v>
      </c>
      <c r="J184" t="n">
        <v>0</v>
      </c>
      <c r="K184" t="n">
        <v>0</v>
      </c>
      <c r="L184" t="n">
        <v>0</v>
      </c>
      <c r="M184" t="n">
        <v>0</v>
      </c>
      <c r="N184" t="n">
        <v>0</v>
      </c>
      <c r="O184" t="n">
        <v>0</v>
      </c>
      <c r="P184" t="n">
        <v>0</v>
      </c>
      <c r="Q184" t="n">
        <v>0</v>
      </c>
      <c r="R184" s="2" t="inlineStr"/>
    </row>
    <row r="185" ht="15" customHeight="1">
      <c r="A185" t="inlineStr">
        <is>
          <t>A 61229-2024</t>
        </is>
      </c>
      <c r="B185" s="1" t="n">
        <v>45645.66908564815</v>
      </c>
      <c r="C185" s="1" t="n">
        <v>45878</v>
      </c>
      <c r="D185" t="inlineStr">
        <is>
          <t>VÄSTERBOTTENS LÄN</t>
        </is>
      </c>
      <c r="E185" t="inlineStr">
        <is>
          <t>BJURHOLM</t>
        </is>
      </c>
      <c r="G185" t="n">
        <v>1.4</v>
      </c>
      <c r="H185" t="n">
        <v>0</v>
      </c>
      <c r="I185" t="n">
        <v>0</v>
      </c>
      <c r="J185" t="n">
        <v>0</v>
      </c>
      <c r="K185" t="n">
        <v>0</v>
      </c>
      <c r="L185" t="n">
        <v>0</v>
      </c>
      <c r="M185" t="n">
        <v>0</v>
      </c>
      <c r="N185" t="n">
        <v>0</v>
      </c>
      <c r="O185" t="n">
        <v>0</v>
      </c>
      <c r="P185" t="n">
        <v>0</v>
      </c>
      <c r="Q185" t="n">
        <v>0</v>
      </c>
      <c r="R185" s="2" t="inlineStr"/>
    </row>
    <row r="186" ht="15" customHeight="1">
      <c r="A186" t="inlineStr">
        <is>
          <t>A 32436-2024</t>
        </is>
      </c>
      <c r="B186" s="1" t="n">
        <v>45512</v>
      </c>
      <c r="C186" s="1" t="n">
        <v>45878</v>
      </c>
      <c r="D186" t="inlineStr">
        <is>
          <t>VÄSTERBOTTENS LÄN</t>
        </is>
      </c>
      <c r="E186" t="inlineStr">
        <is>
          <t>BJURHOLM</t>
        </is>
      </c>
      <c r="G186" t="n">
        <v>2.8</v>
      </c>
      <c r="H186" t="n">
        <v>0</v>
      </c>
      <c r="I186" t="n">
        <v>0</v>
      </c>
      <c r="J186" t="n">
        <v>0</v>
      </c>
      <c r="K186" t="n">
        <v>0</v>
      </c>
      <c r="L186" t="n">
        <v>0</v>
      </c>
      <c r="M186" t="n">
        <v>0</v>
      </c>
      <c r="N186" t="n">
        <v>0</v>
      </c>
      <c r="O186" t="n">
        <v>0</v>
      </c>
      <c r="P186" t="n">
        <v>0</v>
      </c>
      <c r="Q186" t="n">
        <v>0</v>
      </c>
      <c r="R186" s="2" t="inlineStr"/>
    </row>
    <row r="187" ht="15" customHeight="1">
      <c r="A187" t="inlineStr">
        <is>
          <t>A 48314-2024</t>
        </is>
      </c>
      <c r="B187" s="1" t="n">
        <v>45590.48991898148</v>
      </c>
      <c r="C187" s="1" t="n">
        <v>45878</v>
      </c>
      <c r="D187" t="inlineStr">
        <is>
          <t>VÄSTERBOTTENS LÄN</t>
        </is>
      </c>
      <c r="E187" t="inlineStr">
        <is>
          <t>BJURHOLM</t>
        </is>
      </c>
      <c r="G187" t="n">
        <v>3.9</v>
      </c>
      <c r="H187" t="n">
        <v>0</v>
      </c>
      <c r="I187" t="n">
        <v>0</v>
      </c>
      <c r="J187" t="n">
        <v>0</v>
      </c>
      <c r="K187" t="n">
        <v>0</v>
      </c>
      <c r="L187" t="n">
        <v>0</v>
      </c>
      <c r="M187" t="n">
        <v>0</v>
      </c>
      <c r="N187" t="n">
        <v>0</v>
      </c>
      <c r="O187" t="n">
        <v>0</v>
      </c>
      <c r="P187" t="n">
        <v>0</v>
      </c>
      <c r="Q187" t="n">
        <v>0</v>
      </c>
      <c r="R187" s="2" t="inlineStr"/>
    </row>
    <row r="188" ht="15" customHeight="1">
      <c r="A188" t="inlineStr">
        <is>
          <t>A 43992-2020</t>
        </is>
      </c>
      <c r="B188" s="1" t="n">
        <v>44081</v>
      </c>
      <c r="C188" s="1" t="n">
        <v>45878</v>
      </c>
      <c r="D188" t="inlineStr">
        <is>
          <t>VÄSTERBOTTENS LÄN</t>
        </is>
      </c>
      <c r="E188" t="inlineStr">
        <is>
          <t>BJURHOLM</t>
        </is>
      </c>
      <c r="G188" t="n">
        <v>0.6</v>
      </c>
      <c r="H188" t="n">
        <v>0</v>
      </c>
      <c r="I188" t="n">
        <v>0</v>
      </c>
      <c r="J188" t="n">
        <v>0</v>
      </c>
      <c r="K188" t="n">
        <v>0</v>
      </c>
      <c r="L188" t="n">
        <v>0</v>
      </c>
      <c r="M188" t="n">
        <v>0</v>
      </c>
      <c r="N188" t="n">
        <v>0</v>
      </c>
      <c r="O188" t="n">
        <v>0</v>
      </c>
      <c r="P188" t="n">
        <v>0</v>
      </c>
      <c r="Q188" t="n">
        <v>0</v>
      </c>
      <c r="R188" s="2" t="inlineStr"/>
    </row>
    <row r="189" ht="15" customHeight="1">
      <c r="A189" t="inlineStr">
        <is>
          <t>A 61151-2024</t>
        </is>
      </c>
      <c r="B189" s="1" t="n">
        <v>45645.58835648148</v>
      </c>
      <c r="C189" s="1" t="n">
        <v>45878</v>
      </c>
      <c r="D189" t="inlineStr">
        <is>
          <t>VÄSTERBOTTENS LÄN</t>
        </is>
      </c>
      <c r="E189" t="inlineStr">
        <is>
          <t>BJURHOLM</t>
        </is>
      </c>
      <c r="G189" t="n">
        <v>8</v>
      </c>
      <c r="H189" t="n">
        <v>0</v>
      </c>
      <c r="I189" t="n">
        <v>0</v>
      </c>
      <c r="J189" t="n">
        <v>0</v>
      </c>
      <c r="K189" t="n">
        <v>0</v>
      </c>
      <c r="L189" t="n">
        <v>0</v>
      </c>
      <c r="M189" t="n">
        <v>0</v>
      </c>
      <c r="N189" t="n">
        <v>0</v>
      </c>
      <c r="O189" t="n">
        <v>0</v>
      </c>
      <c r="P189" t="n">
        <v>0</v>
      </c>
      <c r="Q189" t="n">
        <v>0</v>
      </c>
      <c r="R189" s="2" t="inlineStr"/>
    </row>
    <row r="190" ht="15" customHeight="1">
      <c r="A190" t="inlineStr">
        <is>
          <t>A 53900-2024</t>
        </is>
      </c>
      <c r="B190" s="1" t="n">
        <v>45615</v>
      </c>
      <c r="C190" s="1" t="n">
        <v>45878</v>
      </c>
      <c r="D190" t="inlineStr">
        <is>
          <t>VÄSTERBOTTENS LÄN</t>
        </is>
      </c>
      <c r="E190" t="inlineStr">
        <is>
          <t>BJURHOLM</t>
        </is>
      </c>
      <c r="G190" t="n">
        <v>7.7</v>
      </c>
      <c r="H190" t="n">
        <v>0</v>
      </c>
      <c r="I190" t="n">
        <v>0</v>
      </c>
      <c r="J190" t="n">
        <v>0</v>
      </c>
      <c r="K190" t="n">
        <v>0</v>
      </c>
      <c r="L190" t="n">
        <v>0</v>
      </c>
      <c r="M190" t="n">
        <v>0</v>
      </c>
      <c r="N190" t="n">
        <v>0</v>
      </c>
      <c r="O190" t="n">
        <v>0</v>
      </c>
      <c r="P190" t="n">
        <v>0</v>
      </c>
      <c r="Q190" t="n">
        <v>0</v>
      </c>
      <c r="R190" s="2" t="inlineStr"/>
    </row>
    <row r="191" ht="15" customHeight="1">
      <c r="A191" t="inlineStr">
        <is>
          <t>A 36978-2024</t>
        </is>
      </c>
      <c r="B191" s="1" t="n">
        <v>45539</v>
      </c>
      <c r="C191" s="1" t="n">
        <v>45878</v>
      </c>
      <c r="D191" t="inlineStr">
        <is>
          <t>VÄSTERBOTTENS LÄN</t>
        </is>
      </c>
      <c r="E191" t="inlineStr">
        <is>
          <t>BJURHOLM</t>
        </is>
      </c>
      <c r="G191" t="n">
        <v>0.4</v>
      </c>
      <c r="H191" t="n">
        <v>0</v>
      </c>
      <c r="I191" t="n">
        <v>0</v>
      </c>
      <c r="J191" t="n">
        <v>0</v>
      </c>
      <c r="K191" t="n">
        <v>0</v>
      </c>
      <c r="L191" t="n">
        <v>0</v>
      </c>
      <c r="M191" t="n">
        <v>0</v>
      </c>
      <c r="N191" t="n">
        <v>0</v>
      </c>
      <c r="O191" t="n">
        <v>0</v>
      </c>
      <c r="P191" t="n">
        <v>0</v>
      </c>
      <c r="Q191" t="n">
        <v>0</v>
      </c>
      <c r="R191" s="2" t="inlineStr"/>
    </row>
    <row r="192" ht="15" customHeight="1">
      <c r="A192" t="inlineStr">
        <is>
          <t>A 16368-2023</t>
        </is>
      </c>
      <c r="B192" s="1" t="n">
        <v>45028.94060185185</v>
      </c>
      <c r="C192" s="1" t="n">
        <v>45878</v>
      </c>
      <c r="D192" t="inlineStr">
        <is>
          <t>VÄSTERBOTTENS LÄN</t>
        </is>
      </c>
      <c r="E192" t="inlineStr">
        <is>
          <t>BJURHOLM</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22502-2024</t>
        </is>
      </c>
      <c r="B193" s="1" t="n">
        <v>45447</v>
      </c>
      <c r="C193" s="1" t="n">
        <v>45878</v>
      </c>
      <c r="D193" t="inlineStr">
        <is>
          <t>VÄSTERBOTTENS LÄN</t>
        </is>
      </c>
      <c r="E193" t="inlineStr">
        <is>
          <t>BJURHOLM</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55542-2022</t>
        </is>
      </c>
      <c r="B194" s="1" t="n">
        <v>44887</v>
      </c>
      <c r="C194" s="1" t="n">
        <v>45878</v>
      </c>
      <c r="D194" t="inlineStr">
        <is>
          <t>VÄSTERBOTTENS LÄN</t>
        </is>
      </c>
      <c r="E194" t="inlineStr">
        <is>
          <t>BJURHOLM</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31575-2024</t>
        </is>
      </c>
      <c r="B195" s="1" t="n">
        <v>45506</v>
      </c>
      <c r="C195" s="1" t="n">
        <v>45878</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31738-2023</t>
        </is>
      </c>
      <c r="B196" s="1" t="n">
        <v>45117.95247685185</v>
      </c>
      <c r="C196" s="1" t="n">
        <v>45878</v>
      </c>
      <c r="D196" t="inlineStr">
        <is>
          <t>VÄSTERBOTTENS LÄN</t>
        </is>
      </c>
      <c r="E196" t="inlineStr">
        <is>
          <t>BJURHOLM</t>
        </is>
      </c>
      <c r="F196" t="inlineStr">
        <is>
          <t>SCA</t>
        </is>
      </c>
      <c r="G196" t="n">
        <v>4.8</v>
      </c>
      <c r="H196" t="n">
        <v>0</v>
      </c>
      <c r="I196" t="n">
        <v>0</v>
      </c>
      <c r="J196" t="n">
        <v>0</v>
      </c>
      <c r="K196" t="n">
        <v>0</v>
      </c>
      <c r="L196" t="n">
        <v>0</v>
      </c>
      <c r="M196" t="n">
        <v>0</v>
      </c>
      <c r="N196" t="n">
        <v>0</v>
      </c>
      <c r="O196" t="n">
        <v>0</v>
      </c>
      <c r="P196" t="n">
        <v>0</v>
      </c>
      <c r="Q196" t="n">
        <v>0</v>
      </c>
      <c r="R196" s="2" t="inlineStr"/>
    </row>
    <row r="197" ht="15" customHeight="1">
      <c r="A197" t="inlineStr">
        <is>
          <t>A 59675-2021</t>
        </is>
      </c>
      <c r="B197" s="1" t="n">
        <v>44494</v>
      </c>
      <c r="C197" s="1" t="n">
        <v>45878</v>
      </c>
      <c r="D197" t="inlineStr">
        <is>
          <t>VÄSTERBOTTENS LÄN</t>
        </is>
      </c>
      <c r="E197" t="inlineStr">
        <is>
          <t>BJURHOLM</t>
        </is>
      </c>
      <c r="G197" t="n">
        <v>0.1</v>
      </c>
      <c r="H197" t="n">
        <v>0</v>
      </c>
      <c r="I197" t="n">
        <v>0</v>
      </c>
      <c r="J197" t="n">
        <v>0</v>
      </c>
      <c r="K197" t="n">
        <v>0</v>
      </c>
      <c r="L197" t="n">
        <v>0</v>
      </c>
      <c r="M197" t="n">
        <v>0</v>
      </c>
      <c r="N197" t="n">
        <v>0</v>
      </c>
      <c r="O197" t="n">
        <v>0</v>
      </c>
      <c r="P197" t="n">
        <v>0</v>
      </c>
      <c r="Q197" t="n">
        <v>0</v>
      </c>
      <c r="R197" s="2" t="inlineStr"/>
    </row>
    <row r="198" ht="15" customHeight="1">
      <c r="A198" t="inlineStr">
        <is>
          <t>A 50441-2024</t>
        </is>
      </c>
      <c r="B198" s="1" t="n">
        <v>45601.41592592592</v>
      </c>
      <c r="C198" s="1" t="n">
        <v>45878</v>
      </c>
      <c r="D198" t="inlineStr">
        <is>
          <t>VÄSTERBOTTENS LÄN</t>
        </is>
      </c>
      <c r="E198" t="inlineStr">
        <is>
          <t>BJURHOLM</t>
        </is>
      </c>
      <c r="F198" t="inlineStr">
        <is>
          <t>Sveaskog</t>
        </is>
      </c>
      <c r="G198" t="n">
        <v>2.7</v>
      </c>
      <c r="H198" t="n">
        <v>0</v>
      </c>
      <c r="I198" t="n">
        <v>0</v>
      </c>
      <c r="J198" t="n">
        <v>0</v>
      </c>
      <c r="K198" t="n">
        <v>0</v>
      </c>
      <c r="L198" t="n">
        <v>0</v>
      </c>
      <c r="M198" t="n">
        <v>0</v>
      </c>
      <c r="N198" t="n">
        <v>0</v>
      </c>
      <c r="O198" t="n">
        <v>0</v>
      </c>
      <c r="P198" t="n">
        <v>0</v>
      </c>
      <c r="Q198" t="n">
        <v>0</v>
      </c>
      <c r="R198" s="2" t="inlineStr"/>
    </row>
    <row r="199" ht="15" customHeight="1">
      <c r="A199" t="inlineStr">
        <is>
          <t>A 58420-2022</t>
        </is>
      </c>
      <c r="B199" s="1" t="n">
        <v>44901.92403935185</v>
      </c>
      <c r="C199" s="1" t="n">
        <v>45878</v>
      </c>
      <c r="D199" t="inlineStr">
        <is>
          <t>VÄSTERBOTTENS LÄN</t>
        </is>
      </c>
      <c r="E199" t="inlineStr">
        <is>
          <t>BJURHOLM</t>
        </is>
      </c>
      <c r="G199" t="n">
        <v>1.2</v>
      </c>
      <c r="H199" t="n">
        <v>0</v>
      </c>
      <c r="I199" t="n">
        <v>0</v>
      </c>
      <c r="J199" t="n">
        <v>0</v>
      </c>
      <c r="K199" t="n">
        <v>0</v>
      </c>
      <c r="L199" t="n">
        <v>0</v>
      </c>
      <c r="M199" t="n">
        <v>0</v>
      </c>
      <c r="N199" t="n">
        <v>0</v>
      </c>
      <c r="O199" t="n">
        <v>0</v>
      </c>
      <c r="P199" t="n">
        <v>0</v>
      </c>
      <c r="Q199" t="n">
        <v>0</v>
      </c>
      <c r="R199" s="2" t="inlineStr"/>
    </row>
    <row r="200" ht="15" customHeight="1">
      <c r="A200" t="inlineStr">
        <is>
          <t>A 27953-2024</t>
        </is>
      </c>
      <c r="B200" s="1" t="n">
        <v>45476</v>
      </c>
      <c r="C200" s="1" t="n">
        <v>45878</v>
      </c>
      <c r="D200" t="inlineStr">
        <is>
          <t>VÄSTERBOTTENS LÄN</t>
        </is>
      </c>
      <c r="E200" t="inlineStr">
        <is>
          <t>BJURHOLM</t>
        </is>
      </c>
      <c r="F200" t="inlineStr">
        <is>
          <t>Holmen skog AB</t>
        </is>
      </c>
      <c r="G200" t="n">
        <v>1.8</v>
      </c>
      <c r="H200" t="n">
        <v>0</v>
      </c>
      <c r="I200" t="n">
        <v>0</v>
      </c>
      <c r="J200" t="n">
        <v>0</v>
      </c>
      <c r="K200" t="n">
        <v>0</v>
      </c>
      <c r="L200" t="n">
        <v>0</v>
      </c>
      <c r="M200" t="n">
        <v>0</v>
      </c>
      <c r="N200" t="n">
        <v>0</v>
      </c>
      <c r="O200" t="n">
        <v>0</v>
      </c>
      <c r="P200" t="n">
        <v>0</v>
      </c>
      <c r="Q200" t="n">
        <v>0</v>
      </c>
      <c r="R200" s="2" t="inlineStr"/>
    </row>
    <row r="201" ht="15" customHeight="1">
      <c r="A201" t="inlineStr">
        <is>
          <t>A 40577-2024</t>
        </is>
      </c>
      <c r="B201" s="1" t="n">
        <v>45555</v>
      </c>
      <c r="C201" s="1" t="n">
        <v>45878</v>
      </c>
      <c r="D201" t="inlineStr">
        <is>
          <t>VÄSTERBOTTENS LÄN</t>
        </is>
      </c>
      <c r="E201" t="inlineStr">
        <is>
          <t>BJURHOLM</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61815-2024</t>
        </is>
      </c>
      <c r="B202" s="1" t="n">
        <v>45649</v>
      </c>
      <c r="C202" s="1" t="n">
        <v>45878</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39101-2024</t>
        </is>
      </c>
      <c r="B203" s="1" t="n">
        <v>45548.56578703703</v>
      </c>
      <c r="C203" s="1" t="n">
        <v>45878</v>
      </c>
      <c r="D203" t="inlineStr">
        <is>
          <t>VÄSTERBOTTENS LÄN</t>
        </is>
      </c>
      <c r="E203" t="inlineStr">
        <is>
          <t>BJURHOLM</t>
        </is>
      </c>
      <c r="G203" t="n">
        <v>5.1</v>
      </c>
      <c r="H203" t="n">
        <v>0</v>
      </c>
      <c r="I203" t="n">
        <v>0</v>
      </c>
      <c r="J203" t="n">
        <v>0</v>
      </c>
      <c r="K203" t="n">
        <v>0</v>
      </c>
      <c r="L203" t="n">
        <v>0</v>
      </c>
      <c r="M203" t="n">
        <v>0</v>
      </c>
      <c r="N203" t="n">
        <v>0</v>
      </c>
      <c r="O203" t="n">
        <v>0</v>
      </c>
      <c r="P203" t="n">
        <v>0</v>
      </c>
      <c r="Q203" t="n">
        <v>0</v>
      </c>
      <c r="R203" s="2" t="inlineStr"/>
    </row>
    <row r="204" ht="15" customHeight="1">
      <c r="A204" t="inlineStr">
        <is>
          <t>A 53899-2024</t>
        </is>
      </c>
      <c r="B204" s="1" t="n">
        <v>45615.7033912037</v>
      </c>
      <c r="C204" s="1" t="n">
        <v>45878</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61730-2024</t>
        </is>
      </c>
      <c r="B205" s="1" t="n">
        <v>45649</v>
      </c>
      <c r="C205" s="1" t="n">
        <v>45878</v>
      </c>
      <c r="D205" t="inlineStr">
        <is>
          <t>VÄSTERBOTTENS LÄN</t>
        </is>
      </c>
      <c r="E205" t="inlineStr">
        <is>
          <t>BJURHOLM</t>
        </is>
      </c>
      <c r="G205" t="n">
        <v>2.2</v>
      </c>
      <c r="H205" t="n">
        <v>0</v>
      </c>
      <c r="I205" t="n">
        <v>0</v>
      </c>
      <c r="J205" t="n">
        <v>0</v>
      </c>
      <c r="K205" t="n">
        <v>0</v>
      </c>
      <c r="L205" t="n">
        <v>0</v>
      </c>
      <c r="M205" t="n">
        <v>0</v>
      </c>
      <c r="N205" t="n">
        <v>0</v>
      </c>
      <c r="O205" t="n">
        <v>0</v>
      </c>
      <c r="P205" t="n">
        <v>0</v>
      </c>
      <c r="Q205" t="n">
        <v>0</v>
      </c>
      <c r="R205" s="2" t="inlineStr"/>
    </row>
    <row r="206" ht="15" customHeight="1">
      <c r="A206" t="inlineStr">
        <is>
          <t>A 61735-2024</t>
        </is>
      </c>
      <c r="B206" s="1" t="n">
        <v>45649.3635300926</v>
      </c>
      <c r="C206" s="1" t="n">
        <v>45878</v>
      </c>
      <c r="D206" t="inlineStr">
        <is>
          <t>VÄSTERBOTTENS LÄN</t>
        </is>
      </c>
      <c r="E206" t="inlineStr">
        <is>
          <t>BJURHOLM</t>
        </is>
      </c>
      <c r="G206" t="n">
        <v>7.8</v>
      </c>
      <c r="H206" t="n">
        <v>0</v>
      </c>
      <c r="I206" t="n">
        <v>0</v>
      </c>
      <c r="J206" t="n">
        <v>0</v>
      </c>
      <c r="K206" t="n">
        <v>0</v>
      </c>
      <c r="L206" t="n">
        <v>0</v>
      </c>
      <c r="M206" t="n">
        <v>0</v>
      </c>
      <c r="N206" t="n">
        <v>0</v>
      </c>
      <c r="O206" t="n">
        <v>0</v>
      </c>
      <c r="P206" t="n">
        <v>0</v>
      </c>
      <c r="Q206" t="n">
        <v>0</v>
      </c>
      <c r="R206" s="2" t="inlineStr"/>
    </row>
    <row r="207" ht="15" customHeight="1">
      <c r="A207" t="inlineStr">
        <is>
          <t>A 52550-2024</t>
        </is>
      </c>
      <c r="B207" s="1" t="n">
        <v>45609.64046296296</v>
      </c>
      <c r="C207" s="1" t="n">
        <v>45878</v>
      </c>
      <c r="D207" t="inlineStr">
        <is>
          <t>VÄSTERBOTTENS LÄN</t>
        </is>
      </c>
      <c r="E207" t="inlineStr">
        <is>
          <t>BJURHOLM</t>
        </is>
      </c>
      <c r="G207" t="n">
        <v>0.3</v>
      </c>
      <c r="H207" t="n">
        <v>0</v>
      </c>
      <c r="I207" t="n">
        <v>0</v>
      </c>
      <c r="J207" t="n">
        <v>0</v>
      </c>
      <c r="K207" t="n">
        <v>0</v>
      </c>
      <c r="L207" t="n">
        <v>0</v>
      </c>
      <c r="M207" t="n">
        <v>0</v>
      </c>
      <c r="N207" t="n">
        <v>0</v>
      </c>
      <c r="O207" t="n">
        <v>0</v>
      </c>
      <c r="P207" t="n">
        <v>0</v>
      </c>
      <c r="Q207" t="n">
        <v>0</v>
      </c>
      <c r="R207" s="2" t="inlineStr"/>
    </row>
    <row r="208" ht="15" customHeight="1">
      <c r="A208" t="inlineStr">
        <is>
          <t>A 35829-2023</t>
        </is>
      </c>
      <c r="B208" s="1" t="n">
        <v>45148.47032407407</v>
      </c>
      <c r="C208" s="1" t="n">
        <v>45878</v>
      </c>
      <c r="D208" t="inlineStr">
        <is>
          <t>VÄSTERBOTTENS LÄN</t>
        </is>
      </c>
      <c r="E208" t="inlineStr">
        <is>
          <t>BJURHOLM</t>
        </is>
      </c>
      <c r="F208" t="inlineStr">
        <is>
          <t>Holmen skog AB</t>
        </is>
      </c>
      <c r="G208" t="n">
        <v>3.6</v>
      </c>
      <c r="H208" t="n">
        <v>0</v>
      </c>
      <c r="I208" t="n">
        <v>0</v>
      </c>
      <c r="J208" t="n">
        <v>0</v>
      </c>
      <c r="K208" t="n">
        <v>0</v>
      </c>
      <c r="L208" t="n">
        <v>0</v>
      </c>
      <c r="M208" t="n">
        <v>0</v>
      </c>
      <c r="N208" t="n">
        <v>0</v>
      </c>
      <c r="O208" t="n">
        <v>0</v>
      </c>
      <c r="P208" t="n">
        <v>0</v>
      </c>
      <c r="Q208" t="n">
        <v>0</v>
      </c>
      <c r="R208" s="2" t="inlineStr"/>
    </row>
    <row r="209" ht="15" customHeight="1">
      <c r="A209" t="inlineStr">
        <is>
          <t>A 35835-2023</t>
        </is>
      </c>
      <c r="B209" s="1" t="n">
        <v>45148</v>
      </c>
      <c r="C209" s="1" t="n">
        <v>45878</v>
      </c>
      <c r="D209" t="inlineStr">
        <is>
          <t>VÄSTERBOTTENS LÄN</t>
        </is>
      </c>
      <c r="E209" t="inlineStr">
        <is>
          <t>BJURHOLM</t>
        </is>
      </c>
      <c r="F209" t="inlineStr">
        <is>
          <t>Holmen skog AB</t>
        </is>
      </c>
      <c r="G209" t="n">
        <v>2.3</v>
      </c>
      <c r="H209" t="n">
        <v>0</v>
      </c>
      <c r="I209" t="n">
        <v>0</v>
      </c>
      <c r="J209" t="n">
        <v>0</v>
      </c>
      <c r="K209" t="n">
        <v>0</v>
      </c>
      <c r="L209" t="n">
        <v>0</v>
      </c>
      <c r="M209" t="n">
        <v>0</v>
      </c>
      <c r="N209" t="n">
        <v>0</v>
      </c>
      <c r="O209" t="n">
        <v>0</v>
      </c>
      <c r="P209" t="n">
        <v>0</v>
      </c>
      <c r="Q209" t="n">
        <v>0</v>
      </c>
      <c r="R209" s="2" t="inlineStr"/>
    </row>
    <row r="210" ht="15" customHeight="1">
      <c r="A210" t="inlineStr">
        <is>
          <t>A 53261-2024</t>
        </is>
      </c>
      <c r="B210" s="1" t="n">
        <v>45614.34428240741</v>
      </c>
      <c r="C210" s="1" t="n">
        <v>45878</v>
      </c>
      <c r="D210" t="inlineStr">
        <is>
          <t>VÄSTERBOTTENS LÄN</t>
        </is>
      </c>
      <c r="E210" t="inlineStr">
        <is>
          <t>BJURHOLM</t>
        </is>
      </c>
      <c r="F210" t="inlineStr">
        <is>
          <t>SCA</t>
        </is>
      </c>
      <c r="G210" t="n">
        <v>7.9</v>
      </c>
      <c r="H210" t="n">
        <v>0</v>
      </c>
      <c r="I210" t="n">
        <v>0</v>
      </c>
      <c r="J210" t="n">
        <v>0</v>
      </c>
      <c r="K210" t="n">
        <v>0</v>
      </c>
      <c r="L210" t="n">
        <v>0</v>
      </c>
      <c r="M210" t="n">
        <v>0</v>
      </c>
      <c r="N210" t="n">
        <v>0</v>
      </c>
      <c r="O210" t="n">
        <v>0</v>
      </c>
      <c r="P210" t="n">
        <v>0</v>
      </c>
      <c r="Q210" t="n">
        <v>0</v>
      </c>
      <c r="R210" s="2" t="inlineStr"/>
    </row>
    <row r="211" ht="15" customHeight="1">
      <c r="A211" t="inlineStr">
        <is>
          <t>A 20777-2024</t>
        </is>
      </c>
      <c r="B211" s="1" t="n">
        <v>45436</v>
      </c>
      <c r="C211" s="1" t="n">
        <v>45878</v>
      </c>
      <c r="D211" t="inlineStr">
        <is>
          <t>VÄSTERBOTTENS LÄN</t>
        </is>
      </c>
      <c r="E211" t="inlineStr">
        <is>
          <t>BJURHOLM</t>
        </is>
      </c>
      <c r="F211" t="inlineStr">
        <is>
          <t>SCA</t>
        </is>
      </c>
      <c r="G211" t="n">
        <v>4.2</v>
      </c>
      <c r="H211" t="n">
        <v>0</v>
      </c>
      <c r="I211" t="n">
        <v>0</v>
      </c>
      <c r="J211" t="n">
        <v>0</v>
      </c>
      <c r="K211" t="n">
        <v>0</v>
      </c>
      <c r="L211" t="n">
        <v>0</v>
      </c>
      <c r="M211" t="n">
        <v>0</v>
      </c>
      <c r="N211" t="n">
        <v>0</v>
      </c>
      <c r="O211" t="n">
        <v>0</v>
      </c>
      <c r="P211" t="n">
        <v>0</v>
      </c>
      <c r="Q211" t="n">
        <v>0</v>
      </c>
      <c r="R211" s="2" t="inlineStr"/>
    </row>
    <row r="212" ht="15" customHeight="1">
      <c r="A212" t="inlineStr">
        <is>
          <t>A 20779-2024</t>
        </is>
      </c>
      <c r="B212" s="1" t="n">
        <v>45436.94708333333</v>
      </c>
      <c r="C212" s="1" t="n">
        <v>45878</v>
      </c>
      <c r="D212" t="inlineStr">
        <is>
          <t>VÄSTERBOTTENS LÄN</t>
        </is>
      </c>
      <c r="E212" t="inlineStr">
        <is>
          <t>BJURHOLM</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20973-2025</t>
        </is>
      </c>
      <c r="B213" s="1" t="n">
        <v>45777.45800925926</v>
      </c>
      <c r="C213" s="1" t="n">
        <v>45878</v>
      </c>
      <c r="D213" t="inlineStr">
        <is>
          <t>VÄSTERBOTTENS LÄN</t>
        </is>
      </c>
      <c r="E213" t="inlineStr">
        <is>
          <t>BJURHOLM</t>
        </is>
      </c>
      <c r="F213" t="inlineStr">
        <is>
          <t>Sveaskog</t>
        </is>
      </c>
      <c r="G213" t="n">
        <v>7.6</v>
      </c>
      <c r="H213" t="n">
        <v>0</v>
      </c>
      <c r="I213" t="n">
        <v>0</v>
      </c>
      <c r="J213" t="n">
        <v>0</v>
      </c>
      <c r="K213" t="n">
        <v>0</v>
      </c>
      <c r="L213" t="n">
        <v>0</v>
      </c>
      <c r="M213" t="n">
        <v>0</v>
      </c>
      <c r="N213" t="n">
        <v>0</v>
      </c>
      <c r="O213" t="n">
        <v>0</v>
      </c>
      <c r="P213" t="n">
        <v>0</v>
      </c>
      <c r="Q213" t="n">
        <v>0</v>
      </c>
      <c r="R213" s="2" t="inlineStr"/>
    </row>
    <row r="214" ht="15" customHeight="1">
      <c r="A214" t="inlineStr">
        <is>
          <t>A 74152-2021</t>
        </is>
      </c>
      <c r="B214" s="1" t="n">
        <v>44557</v>
      </c>
      <c r="C214" s="1" t="n">
        <v>45878</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32502-2024</t>
        </is>
      </c>
      <c r="B215" s="1" t="n">
        <v>45513</v>
      </c>
      <c r="C215" s="1" t="n">
        <v>45878</v>
      </c>
      <c r="D215" t="inlineStr">
        <is>
          <t>VÄSTERBOTTENS LÄN</t>
        </is>
      </c>
      <c r="E215" t="inlineStr">
        <is>
          <t>BJURHOLM</t>
        </is>
      </c>
      <c r="G215" t="n">
        <v>1.5</v>
      </c>
      <c r="H215" t="n">
        <v>0</v>
      </c>
      <c r="I215" t="n">
        <v>0</v>
      </c>
      <c r="J215" t="n">
        <v>0</v>
      </c>
      <c r="K215" t="n">
        <v>0</v>
      </c>
      <c r="L215" t="n">
        <v>0</v>
      </c>
      <c r="M215" t="n">
        <v>0</v>
      </c>
      <c r="N215" t="n">
        <v>0</v>
      </c>
      <c r="O215" t="n">
        <v>0</v>
      </c>
      <c r="P215" t="n">
        <v>0</v>
      </c>
      <c r="Q215" t="n">
        <v>0</v>
      </c>
      <c r="R215" s="2" t="inlineStr"/>
    </row>
    <row r="216" ht="15" customHeight="1">
      <c r="A216" t="inlineStr">
        <is>
          <t>A 26459-2024</t>
        </is>
      </c>
      <c r="B216" s="1" t="n">
        <v>45469</v>
      </c>
      <c r="C216" s="1" t="n">
        <v>45878</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50726-2024</t>
        </is>
      </c>
      <c r="B217" s="1" t="n">
        <v>45602.3874537037</v>
      </c>
      <c r="C217" s="1" t="n">
        <v>45878</v>
      </c>
      <c r="D217" t="inlineStr">
        <is>
          <t>VÄSTERBOTTENS LÄN</t>
        </is>
      </c>
      <c r="E217" t="inlineStr">
        <is>
          <t>BJURHOLM</t>
        </is>
      </c>
      <c r="G217" t="n">
        <v>3.1</v>
      </c>
      <c r="H217" t="n">
        <v>0</v>
      </c>
      <c r="I217" t="n">
        <v>0</v>
      </c>
      <c r="J217" t="n">
        <v>0</v>
      </c>
      <c r="K217" t="n">
        <v>0</v>
      </c>
      <c r="L217" t="n">
        <v>0</v>
      </c>
      <c r="M217" t="n">
        <v>0</v>
      </c>
      <c r="N217" t="n">
        <v>0</v>
      </c>
      <c r="O217" t="n">
        <v>0</v>
      </c>
      <c r="P217" t="n">
        <v>0</v>
      </c>
      <c r="Q217" t="n">
        <v>0</v>
      </c>
      <c r="R217" s="2" t="inlineStr"/>
    </row>
    <row r="218" ht="15" customHeight="1">
      <c r="A218" t="inlineStr">
        <is>
          <t>A 50728-2024</t>
        </is>
      </c>
      <c r="B218" s="1" t="n">
        <v>45602.38762731481</v>
      </c>
      <c r="C218" s="1" t="n">
        <v>45878</v>
      </c>
      <c r="D218" t="inlineStr">
        <is>
          <t>VÄSTERBOTTENS LÄN</t>
        </is>
      </c>
      <c r="E218" t="inlineStr">
        <is>
          <t>BJURHOLM</t>
        </is>
      </c>
      <c r="G218" t="n">
        <v>1.2</v>
      </c>
      <c r="H218" t="n">
        <v>0</v>
      </c>
      <c r="I218" t="n">
        <v>0</v>
      </c>
      <c r="J218" t="n">
        <v>0</v>
      </c>
      <c r="K218" t="n">
        <v>0</v>
      </c>
      <c r="L218" t="n">
        <v>0</v>
      </c>
      <c r="M218" t="n">
        <v>0</v>
      </c>
      <c r="N218" t="n">
        <v>0</v>
      </c>
      <c r="O218" t="n">
        <v>0</v>
      </c>
      <c r="P218" t="n">
        <v>0</v>
      </c>
      <c r="Q218" t="n">
        <v>0</v>
      </c>
      <c r="R218" s="2" t="inlineStr"/>
    </row>
    <row r="219" ht="15" customHeight="1">
      <c r="A219" t="inlineStr">
        <is>
          <t>A 60692-2022</t>
        </is>
      </c>
      <c r="B219" s="1" t="n">
        <v>44911.94085648148</v>
      </c>
      <c r="C219" s="1" t="n">
        <v>45878</v>
      </c>
      <c r="D219" t="inlineStr">
        <is>
          <t>VÄSTERBOTTENS LÄN</t>
        </is>
      </c>
      <c r="E219" t="inlineStr">
        <is>
          <t>BJURHOLM</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19573-2024</t>
        </is>
      </c>
      <c r="B220" s="1" t="n">
        <v>45429</v>
      </c>
      <c r="C220" s="1" t="n">
        <v>45878</v>
      </c>
      <c r="D220" t="inlineStr">
        <is>
          <t>VÄSTERBOTTENS LÄN</t>
        </is>
      </c>
      <c r="E220" t="inlineStr">
        <is>
          <t>BJURHOLM</t>
        </is>
      </c>
      <c r="G220" t="n">
        <v>2.9</v>
      </c>
      <c r="H220" t="n">
        <v>0</v>
      </c>
      <c r="I220" t="n">
        <v>0</v>
      </c>
      <c r="J220" t="n">
        <v>0</v>
      </c>
      <c r="K220" t="n">
        <v>0</v>
      </c>
      <c r="L220" t="n">
        <v>0</v>
      </c>
      <c r="M220" t="n">
        <v>0</v>
      </c>
      <c r="N220" t="n">
        <v>0</v>
      </c>
      <c r="O220" t="n">
        <v>0</v>
      </c>
      <c r="P220" t="n">
        <v>0</v>
      </c>
      <c r="Q220" t="n">
        <v>0</v>
      </c>
      <c r="R220" s="2" t="inlineStr"/>
    </row>
    <row r="221" ht="15" customHeight="1">
      <c r="A221" t="inlineStr">
        <is>
          <t>A 61597-2024</t>
        </is>
      </c>
      <c r="B221" s="1" t="n">
        <v>45646</v>
      </c>
      <c r="C221" s="1" t="n">
        <v>45878</v>
      </c>
      <c r="D221" t="inlineStr">
        <is>
          <t>VÄSTERBOTTENS LÄN</t>
        </is>
      </c>
      <c r="E221" t="inlineStr">
        <is>
          <t>BJURHOLM</t>
        </is>
      </c>
      <c r="G221" t="n">
        <v>2.3</v>
      </c>
      <c r="H221" t="n">
        <v>0</v>
      </c>
      <c r="I221" t="n">
        <v>0</v>
      </c>
      <c r="J221" t="n">
        <v>0</v>
      </c>
      <c r="K221" t="n">
        <v>0</v>
      </c>
      <c r="L221" t="n">
        <v>0</v>
      </c>
      <c r="M221" t="n">
        <v>0</v>
      </c>
      <c r="N221" t="n">
        <v>0</v>
      </c>
      <c r="O221" t="n">
        <v>0</v>
      </c>
      <c r="P221" t="n">
        <v>0</v>
      </c>
      <c r="Q221" t="n">
        <v>0</v>
      </c>
      <c r="R221" s="2" t="inlineStr"/>
    </row>
    <row r="222" ht="15" customHeight="1">
      <c r="A222" t="inlineStr">
        <is>
          <t>A 21887-2025</t>
        </is>
      </c>
      <c r="B222" s="1" t="n">
        <v>45784.42898148148</v>
      </c>
      <c r="C222" s="1" t="n">
        <v>45878</v>
      </c>
      <c r="D222" t="inlineStr">
        <is>
          <t>VÄSTERBOTTENS LÄN</t>
        </is>
      </c>
      <c r="E222" t="inlineStr">
        <is>
          <t>BJURHOLM</t>
        </is>
      </c>
      <c r="G222" t="n">
        <v>1.1</v>
      </c>
      <c r="H222" t="n">
        <v>0</v>
      </c>
      <c r="I222" t="n">
        <v>0</v>
      </c>
      <c r="J222" t="n">
        <v>0</v>
      </c>
      <c r="K222" t="n">
        <v>0</v>
      </c>
      <c r="L222" t="n">
        <v>0</v>
      </c>
      <c r="M222" t="n">
        <v>0</v>
      </c>
      <c r="N222" t="n">
        <v>0</v>
      </c>
      <c r="O222" t="n">
        <v>0</v>
      </c>
      <c r="P222" t="n">
        <v>0</v>
      </c>
      <c r="Q222" t="n">
        <v>0</v>
      </c>
      <c r="R222" s="2" t="inlineStr"/>
    </row>
    <row r="223" ht="15" customHeight="1">
      <c r="A223" t="inlineStr">
        <is>
          <t>A 36484-2024</t>
        </is>
      </c>
      <c r="B223" s="1" t="n">
        <v>45537</v>
      </c>
      <c r="C223" s="1" t="n">
        <v>45878</v>
      </c>
      <c r="D223" t="inlineStr">
        <is>
          <t>VÄSTERBOTTENS LÄN</t>
        </is>
      </c>
      <c r="E223" t="inlineStr">
        <is>
          <t>BJURHOLM</t>
        </is>
      </c>
      <c r="G223" t="n">
        <v>11.2</v>
      </c>
      <c r="H223" t="n">
        <v>0</v>
      </c>
      <c r="I223" t="n">
        <v>0</v>
      </c>
      <c r="J223" t="n">
        <v>0</v>
      </c>
      <c r="K223" t="n">
        <v>0</v>
      </c>
      <c r="L223" t="n">
        <v>0</v>
      </c>
      <c r="M223" t="n">
        <v>0</v>
      </c>
      <c r="N223" t="n">
        <v>0</v>
      </c>
      <c r="O223" t="n">
        <v>0</v>
      </c>
      <c r="P223" t="n">
        <v>0</v>
      </c>
      <c r="Q223" t="n">
        <v>0</v>
      </c>
      <c r="R223" s="2" t="inlineStr"/>
    </row>
    <row r="224" ht="15" customHeight="1">
      <c r="A224" t="inlineStr">
        <is>
          <t>A 22096-2025</t>
        </is>
      </c>
      <c r="B224" s="1" t="n">
        <v>45785.46922453704</v>
      </c>
      <c r="C224" s="1" t="n">
        <v>45878</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22265-2025</t>
        </is>
      </c>
      <c r="B225" s="1" t="n">
        <v>45785.84648148148</v>
      </c>
      <c r="C225" s="1" t="n">
        <v>45878</v>
      </c>
      <c r="D225" t="inlineStr">
        <is>
          <t>VÄSTERBOTTENS LÄN</t>
        </is>
      </c>
      <c r="E225" t="inlineStr">
        <is>
          <t>BJURHOLM</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36448-2024</t>
        </is>
      </c>
      <c r="B226" s="1" t="n">
        <v>45537</v>
      </c>
      <c r="C226" s="1" t="n">
        <v>45878</v>
      </c>
      <c r="D226" t="inlineStr">
        <is>
          <t>VÄSTERBOTTENS LÄN</t>
        </is>
      </c>
      <c r="E226" t="inlineStr">
        <is>
          <t>BJURHOLM</t>
        </is>
      </c>
      <c r="G226" t="n">
        <v>0.4</v>
      </c>
      <c r="H226" t="n">
        <v>0</v>
      </c>
      <c r="I226" t="n">
        <v>0</v>
      </c>
      <c r="J226" t="n">
        <v>0</v>
      </c>
      <c r="K226" t="n">
        <v>0</v>
      </c>
      <c r="L226" t="n">
        <v>0</v>
      </c>
      <c r="M226" t="n">
        <v>0</v>
      </c>
      <c r="N226" t="n">
        <v>0</v>
      </c>
      <c r="O226" t="n">
        <v>0</v>
      </c>
      <c r="P226" t="n">
        <v>0</v>
      </c>
      <c r="Q226" t="n">
        <v>0</v>
      </c>
      <c r="R226" s="2" t="inlineStr"/>
    </row>
    <row r="227" ht="15" customHeight="1">
      <c r="A227" t="inlineStr">
        <is>
          <t>A 8644-2023</t>
        </is>
      </c>
      <c r="B227" s="1" t="n">
        <v>44977</v>
      </c>
      <c r="C227" s="1" t="n">
        <v>45878</v>
      </c>
      <c r="D227" t="inlineStr">
        <is>
          <t>VÄSTERBOTTENS LÄN</t>
        </is>
      </c>
      <c r="E227" t="inlineStr">
        <is>
          <t>BJURHOLM</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7723-2024</t>
        </is>
      </c>
      <c r="B228" s="1" t="n">
        <v>45348</v>
      </c>
      <c r="C228" s="1" t="n">
        <v>45878</v>
      </c>
      <c r="D228" t="inlineStr">
        <is>
          <t>VÄSTERBOTTENS LÄN</t>
        </is>
      </c>
      <c r="E228" t="inlineStr">
        <is>
          <t>BJURHOLM</t>
        </is>
      </c>
      <c r="G228" t="n">
        <v>2.6</v>
      </c>
      <c r="H228" t="n">
        <v>0</v>
      </c>
      <c r="I228" t="n">
        <v>0</v>
      </c>
      <c r="J228" t="n">
        <v>0</v>
      </c>
      <c r="K228" t="n">
        <v>0</v>
      </c>
      <c r="L228" t="n">
        <v>0</v>
      </c>
      <c r="M228" t="n">
        <v>0</v>
      </c>
      <c r="N228" t="n">
        <v>0</v>
      </c>
      <c r="O228" t="n">
        <v>0</v>
      </c>
      <c r="P228" t="n">
        <v>0</v>
      </c>
      <c r="Q228" t="n">
        <v>0</v>
      </c>
      <c r="R228" s="2" t="inlineStr"/>
    </row>
    <row r="229" ht="15" customHeight="1">
      <c r="A229" t="inlineStr">
        <is>
          <t>A 42402-2024</t>
        </is>
      </c>
      <c r="B229" s="1" t="n">
        <v>45565.34449074074</v>
      </c>
      <c r="C229" s="1" t="n">
        <v>45878</v>
      </c>
      <c r="D229" t="inlineStr">
        <is>
          <t>VÄSTERBOTTENS LÄN</t>
        </is>
      </c>
      <c r="E229" t="inlineStr">
        <is>
          <t>BJURHOLM</t>
        </is>
      </c>
      <c r="G229" t="n">
        <v>2.7</v>
      </c>
      <c r="H229" t="n">
        <v>0</v>
      </c>
      <c r="I229" t="n">
        <v>0</v>
      </c>
      <c r="J229" t="n">
        <v>0</v>
      </c>
      <c r="K229" t="n">
        <v>0</v>
      </c>
      <c r="L229" t="n">
        <v>0</v>
      </c>
      <c r="M229" t="n">
        <v>0</v>
      </c>
      <c r="N229" t="n">
        <v>0</v>
      </c>
      <c r="O229" t="n">
        <v>0</v>
      </c>
      <c r="P229" t="n">
        <v>0</v>
      </c>
      <c r="Q229" t="n">
        <v>0</v>
      </c>
      <c r="R229" s="2" t="inlineStr"/>
    </row>
    <row r="230" ht="15" customHeight="1">
      <c r="A230" t="inlineStr">
        <is>
          <t>A 22290-2025</t>
        </is>
      </c>
      <c r="B230" s="1" t="n">
        <v>45786.34450231482</v>
      </c>
      <c r="C230" s="1" t="n">
        <v>45878</v>
      </c>
      <c r="D230" t="inlineStr">
        <is>
          <t>VÄSTERBOTTENS LÄN</t>
        </is>
      </c>
      <c r="E230" t="inlineStr">
        <is>
          <t>BJURHOLM</t>
        </is>
      </c>
      <c r="F230" t="inlineStr">
        <is>
          <t>SCA</t>
        </is>
      </c>
      <c r="G230" t="n">
        <v>3.4</v>
      </c>
      <c r="H230" t="n">
        <v>0</v>
      </c>
      <c r="I230" t="n">
        <v>0</v>
      </c>
      <c r="J230" t="n">
        <v>0</v>
      </c>
      <c r="K230" t="n">
        <v>0</v>
      </c>
      <c r="L230" t="n">
        <v>0</v>
      </c>
      <c r="M230" t="n">
        <v>0</v>
      </c>
      <c r="N230" t="n">
        <v>0</v>
      </c>
      <c r="O230" t="n">
        <v>0</v>
      </c>
      <c r="P230" t="n">
        <v>0</v>
      </c>
      <c r="Q230" t="n">
        <v>0</v>
      </c>
      <c r="R230" s="2" t="inlineStr"/>
    </row>
    <row r="231" ht="15" customHeight="1">
      <c r="A231" t="inlineStr">
        <is>
          <t>A 62581-2022</t>
        </is>
      </c>
      <c r="B231" s="1" t="n">
        <v>44924</v>
      </c>
      <c r="C231" s="1" t="n">
        <v>45878</v>
      </c>
      <c r="D231" t="inlineStr">
        <is>
          <t>VÄSTERBOTTENS LÄN</t>
        </is>
      </c>
      <c r="E231" t="inlineStr">
        <is>
          <t>BJURHOLM</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22266-2025</t>
        </is>
      </c>
      <c r="B232" s="1" t="n">
        <v>45785.84664351852</v>
      </c>
      <c r="C232" s="1" t="n">
        <v>45878</v>
      </c>
      <c r="D232" t="inlineStr">
        <is>
          <t>VÄSTERBOTTENS LÄN</t>
        </is>
      </c>
      <c r="E232" t="inlineStr">
        <is>
          <t>BJURHOLM</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22095-2025</t>
        </is>
      </c>
      <c r="B233" s="1" t="n">
        <v>45785.46921296296</v>
      </c>
      <c r="C233" s="1" t="n">
        <v>45878</v>
      </c>
      <c r="D233" t="inlineStr">
        <is>
          <t>VÄSTERBOTTENS LÄN</t>
        </is>
      </c>
      <c r="E233" t="inlineStr">
        <is>
          <t>BJURHOLM</t>
        </is>
      </c>
      <c r="G233" t="n">
        <v>3.6</v>
      </c>
      <c r="H233" t="n">
        <v>0</v>
      </c>
      <c r="I233" t="n">
        <v>0</v>
      </c>
      <c r="J233" t="n">
        <v>0</v>
      </c>
      <c r="K233" t="n">
        <v>0</v>
      </c>
      <c r="L233" t="n">
        <v>0</v>
      </c>
      <c r="M233" t="n">
        <v>0</v>
      </c>
      <c r="N233" t="n">
        <v>0</v>
      </c>
      <c r="O233" t="n">
        <v>0</v>
      </c>
      <c r="P233" t="n">
        <v>0</v>
      </c>
      <c r="Q233" t="n">
        <v>0</v>
      </c>
      <c r="R233" s="2" t="inlineStr"/>
    </row>
    <row r="234" ht="15" customHeight="1">
      <c r="A234" t="inlineStr">
        <is>
          <t>A 50762-2024</t>
        </is>
      </c>
      <c r="B234" s="1" t="n">
        <v>45602.4377662037</v>
      </c>
      <c r="C234" s="1" t="n">
        <v>45878</v>
      </c>
      <c r="D234" t="inlineStr">
        <is>
          <t>VÄSTERBOTTENS LÄN</t>
        </is>
      </c>
      <c r="E234" t="inlineStr">
        <is>
          <t>BJURHOLM</t>
        </is>
      </c>
      <c r="G234" t="n">
        <v>4.5</v>
      </c>
      <c r="H234" t="n">
        <v>0</v>
      </c>
      <c r="I234" t="n">
        <v>0</v>
      </c>
      <c r="J234" t="n">
        <v>0</v>
      </c>
      <c r="K234" t="n">
        <v>0</v>
      </c>
      <c r="L234" t="n">
        <v>0</v>
      </c>
      <c r="M234" t="n">
        <v>0</v>
      </c>
      <c r="N234" t="n">
        <v>0</v>
      </c>
      <c r="O234" t="n">
        <v>0</v>
      </c>
      <c r="P234" t="n">
        <v>0</v>
      </c>
      <c r="Q234" t="n">
        <v>0</v>
      </c>
      <c r="R234" s="2" t="inlineStr"/>
    </row>
    <row r="235" ht="15" customHeight="1">
      <c r="A235" t="inlineStr">
        <is>
          <t>A 50773-2024</t>
        </is>
      </c>
      <c r="B235" s="1" t="n">
        <v>45602.44862268519</v>
      </c>
      <c r="C235" s="1" t="n">
        <v>45878</v>
      </c>
      <c r="D235" t="inlineStr">
        <is>
          <t>VÄSTERBOTTENS LÄN</t>
        </is>
      </c>
      <c r="E235" t="inlineStr">
        <is>
          <t>BJURHOLM</t>
        </is>
      </c>
      <c r="G235" t="n">
        <v>0.8</v>
      </c>
      <c r="H235" t="n">
        <v>0</v>
      </c>
      <c r="I235" t="n">
        <v>0</v>
      </c>
      <c r="J235" t="n">
        <v>0</v>
      </c>
      <c r="K235" t="n">
        <v>0</v>
      </c>
      <c r="L235" t="n">
        <v>0</v>
      </c>
      <c r="M235" t="n">
        <v>0</v>
      </c>
      <c r="N235" t="n">
        <v>0</v>
      </c>
      <c r="O235" t="n">
        <v>0</v>
      </c>
      <c r="P235" t="n">
        <v>0</v>
      </c>
      <c r="Q235" t="n">
        <v>0</v>
      </c>
      <c r="R235" s="2" t="inlineStr"/>
    </row>
    <row r="236" ht="15" customHeight="1">
      <c r="A236" t="inlineStr">
        <is>
          <t>A 43317-2024</t>
        </is>
      </c>
      <c r="B236" s="1" t="n">
        <v>45568</v>
      </c>
      <c r="C236" s="1" t="n">
        <v>45878</v>
      </c>
      <c r="D236" t="inlineStr">
        <is>
          <t>VÄSTERBOTTENS LÄN</t>
        </is>
      </c>
      <c r="E236" t="inlineStr">
        <is>
          <t>BJURHOLM</t>
        </is>
      </c>
      <c r="G236" t="n">
        <v>4.5</v>
      </c>
      <c r="H236" t="n">
        <v>0</v>
      </c>
      <c r="I236" t="n">
        <v>0</v>
      </c>
      <c r="J236" t="n">
        <v>0</v>
      </c>
      <c r="K236" t="n">
        <v>0</v>
      </c>
      <c r="L236" t="n">
        <v>0</v>
      </c>
      <c r="M236" t="n">
        <v>0</v>
      </c>
      <c r="N236" t="n">
        <v>0</v>
      </c>
      <c r="O236" t="n">
        <v>0</v>
      </c>
      <c r="P236" t="n">
        <v>0</v>
      </c>
      <c r="Q236" t="n">
        <v>0</v>
      </c>
      <c r="R236" s="2" t="inlineStr"/>
    </row>
    <row r="237" ht="15" customHeight="1">
      <c r="A237" t="inlineStr">
        <is>
          <t>A 23074-2025</t>
        </is>
      </c>
      <c r="B237" s="1" t="n">
        <v>45790</v>
      </c>
      <c r="C237" s="1" t="n">
        <v>45878</v>
      </c>
      <c r="D237" t="inlineStr">
        <is>
          <t>VÄSTERBOTTENS LÄN</t>
        </is>
      </c>
      <c r="E237" t="inlineStr">
        <is>
          <t>BJURHOLM</t>
        </is>
      </c>
      <c r="G237" t="n">
        <v>0.7</v>
      </c>
      <c r="H237" t="n">
        <v>0</v>
      </c>
      <c r="I237" t="n">
        <v>0</v>
      </c>
      <c r="J237" t="n">
        <v>0</v>
      </c>
      <c r="K237" t="n">
        <v>0</v>
      </c>
      <c r="L237" t="n">
        <v>0</v>
      </c>
      <c r="M237" t="n">
        <v>0</v>
      </c>
      <c r="N237" t="n">
        <v>0</v>
      </c>
      <c r="O237" t="n">
        <v>0</v>
      </c>
      <c r="P237" t="n">
        <v>0</v>
      </c>
      <c r="Q237" t="n">
        <v>0</v>
      </c>
      <c r="R237" s="2" t="inlineStr"/>
    </row>
    <row r="238" ht="15" customHeight="1">
      <c r="A238" t="inlineStr">
        <is>
          <t>A 46435-2024</t>
        </is>
      </c>
      <c r="B238" s="1" t="n">
        <v>45582.47464120371</v>
      </c>
      <c r="C238" s="1" t="n">
        <v>45878</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29006-2023</t>
        </is>
      </c>
      <c r="B239" s="1" t="n">
        <v>45104.65298611111</v>
      </c>
      <c r="C239" s="1" t="n">
        <v>45878</v>
      </c>
      <c r="D239" t="inlineStr">
        <is>
          <t>VÄSTERBOTTENS LÄN</t>
        </is>
      </c>
      <c r="E239" t="inlineStr">
        <is>
          <t>BJURHOLM</t>
        </is>
      </c>
      <c r="F239" t="inlineStr">
        <is>
          <t>Holmen skog AB</t>
        </is>
      </c>
      <c r="G239" t="n">
        <v>17.2</v>
      </c>
      <c r="H239" t="n">
        <v>0</v>
      </c>
      <c r="I239" t="n">
        <v>0</v>
      </c>
      <c r="J239" t="n">
        <v>0</v>
      </c>
      <c r="K239" t="n">
        <v>0</v>
      </c>
      <c r="L239" t="n">
        <v>0</v>
      </c>
      <c r="M239" t="n">
        <v>0</v>
      </c>
      <c r="N239" t="n">
        <v>0</v>
      </c>
      <c r="O239" t="n">
        <v>0</v>
      </c>
      <c r="P239" t="n">
        <v>0</v>
      </c>
      <c r="Q239" t="n">
        <v>0</v>
      </c>
      <c r="R239" s="2" t="inlineStr"/>
    </row>
    <row r="240" ht="15" customHeight="1">
      <c r="A240" t="inlineStr">
        <is>
          <t>A 42536-2024</t>
        </is>
      </c>
      <c r="B240" s="1" t="n">
        <v>45565.58391203704</v>
      </c>
      <c r="C240" s="1" t="n">
        <v>45878</v>
      </c>
      <c r="D240" t="inlineStr">
        <is>
          <t>VÄSTERBOTTENS LÄN</t>
        </is>
      </c>
      <c r="E240" t="inlineStr">
        <is>
          <t>BJURHOLM</t>
        </is>
      </c>
      <c r="G240" t="n">
        <v>5.5</v>
      </c>
      <c r="H240" t="n">
        <v>0</v>
      </c>
      <c r="I240" t="n">
        <v>0</v>
      </c>
      <c r="J240" t="n">
        <v>0</v>
      </c>
      <c r="K240" t="n">
        <v>0</v>
      </c>
      <c r="L240" t="n">
        <v>0</v>
      </c>
      <c r="M240" t="n">
        <v>0</v>
      </c>
      <c r="N240" t="n">
        <v>0</v>
      </c>
      <c r="O240" t="n">
        <v>0</v>
      </c>
      <c r="P240" t="n">
        <v>0</v>
      </c>
      <c r="Q240" t="n">
        <v>0</v>
      </c>
      <c r="R240" s="2" t="inlineStr"/>
    </row>
    <row r="241" ht="15" customHeight="1">
      <c r="A241" t="inlineStr">
        <is>
          <t>A 46743-2023</t>
        </is>
      </c>
      <c r="B241" s="1" t="n">
        <v>45195</v>
      </c>
      <c r="C241" s="1" t="n">
        <v>45878</v>
      </c>
      <c r="D241" t="inlineStr">
        <is>
          <t>VÄSTERBOTTENS LÄN</t>
        </is>
      </c>
      <c r="E241" t="inlineStr">
        <is>
          <t>BJURHOLM</t>
        </is>
      </c>
      <c r="G241" t="n">
        <v>12.9</v>
      </c>
      <c r="H241" t="n">
        <v>0</v>
      </c>
      <c r="I241" t="n">
        <v>0</v>
      </c>
      <c r="J241" t="n">
        <v>0</v>
      </c>
      <c r="K241" t="n">
        <v>0</v>
      </c>
      <c r="L241" t="n">
        <v>0</v>
      </c>
      <c r="M241" t="n">
        <v>0</v>
      </c>
      <c r="N241" t="n">
        <v>0</v>
      </c>
      <c r="O241" t="n">
        <v>0</v>
      </c>
      <c r="P241" t="n">
        <v>0</v>
      </c>
      <c r="Q241" t="n">
        <v>0</v>
      </c>
      <c r="R241" s="2" t="inlineStr"/>
    </row>
    <row r="242" ht="15" customHeight="1">
      <c r="A242" t="inlineStr">
        <is>
          <t>A 17867-2025</t>
        </is>
      </c>
      <c r="B242" s="1" t="n">
        <v>45758.63064814815</v>
      </c>
      <c r="C242" s="1" t="n">
        <v>45878</v>
      </c>
      <c r="D242" t="inlineStr">
        <is>
          <t>VÄSTERBOTTENS LÄN</t>
        </is>
      </c>
      <c r="E242" t="inlineStr">
        <is>
          <t>BJURHOLM</t>
        </is>
      </c>
      <c r="G242" t="n">
        <v>4.6</v>
      </c>
      <c r="H242" t="n">
        <v>0</v>
      </c>
      <c r="I242" t="n">
        <v>0</v>
      </c>
      <c r="J242" t="n">
        <v>0</v>
      </c>
      <c r="K242" t="n">
        <v>0</v>
      </c>
      <c r="L242" t="n">
        <v>0</v>
      </c>
      <c r="M242" t="n">
        <v>0</v>
      </c>
      <c r="N242" t="n">
        <v>0</v>
      </c>
      <c r="O242" t="n">
        <v>0</v>
      </c>
      <c r="P242" t="n">
        <v>0</v>
      </c>
      <c r="Q242" t="n">
        <v>0</v>
      </c>
      <c r="R242" s="2" t="inlineStr"/>
    </row>
    <row r="243" ht="15" customHeight="1">
      <c r="A243" t="inlineStr">
        <is>
          <t>A 17740-2024</t>
        </is>
      </c>
      <c r="B243" s="1" t="n">
        <v>45418</v>
      </c>
      <c r="C243" s="1" t="n">
        <v>45878</v>
      </c>
      <c r="D243" t="inlineStr">
        <is>
          <t>VÄSTERBOTTENS LÄN</t>
        </is>
      </c>
      <c r="E243" t="inlineStr">
        <is>
          <t>BJURHOLM</t>
        </is>
      </c>
      <c r="F243" t="inlineStr">
        <is>
          <t>Holmen skog AB</t>
        </is>
      </c>
      <c r="G243" t="n">
        <v>3.1</v>
      </c>
      <c r="H243" t="n">
        <v>0</v>
      </c>
      <c r="I243" t="n">
        <v>0</v>
      </c>
      <c r="J243" t="n">
        <v>0</v>
      </c>
      <c r="K243" t="n">
        <v>0</v>
      </c>
      <c r="L243" t="n">
        <v>0</v>
      </c>
      <c r="M243" t="n">
        <v>0</v>
      </c>
      <c r="N243" t="n">
        <v>0</v>
      </c>
      <c r="O243" t="n">
        <v>0</v>
      </c>
      <c r="P243" t="n">
        <v>0</v>
      </c>
      <c r="Q243" t="n">
        <v>0</v>
      </c>
      <c r="R243" s="2" t="inlineStr"/>
    </row>
    <row r="244" ht="15" customHeight="1">
      <c r="A244" t="inlineStr">
        <is>
          <t>A 8499-2024</t>
        </is>
      </c>
      <c r="B244" s="1" t="n">
        <v>45351</v>
      </c>
      <c r="C244" s="1" t="n">
        <v>45878</v>
      </c>
      <c r="D244" t="inlineStr">
        <is>
          <t>VÄSTERBOTTENS LÄN</t>
        </is>
      </c>
      <c r="E244" t="inlineStr">
        <is>
          <t>BJURHOLM</t>
        </is>
      </c>
      <c r="G244" t="n">
        <v>0.2</v>
      </c>
      <c r="H244" t="n">
        <v>0</v>
      </c>
      <c r="I244" t="n">
        <v>0</v>
      </c>
      <c r="J244" t="n">
        <v>0</v>
      </c>
      <c r="K244" t="n">
        <v>0</v>
      </c>
      <c r="L244" t="n">
        <v>0</v>
      </c>
      <c r="M244" t="n">
        <v>0</v>
      </c>
      <c r="N244" t="n">
        <v>0</v>
      </c>
      <c r="O244" t="n">
        <v>0</v>
      </c>
      <c r="P244" t="n">
        <v>0</v>
      </c>
      <c r="Q244" t="n">
        <v>0</v>
      </c>
      <c r="R244" s="2" t="inlineStr"/>
    </row>
    <row r="245" ht="15" customHeight="1">
      <c r="A245" t="inlineStr">
        <is>
          <t>A 15054-2024</t>
        </is>
      </c>
      <c r="B245" s="1" t="n">
        <v>45399</v>
      </c>
      <c r="C245" s="1" t="n">
        <v>45878</v>
      </c>
      <c r="D245" t="inlineStr">
        <is>
          <t>VÄSTERBOTTENS LÄN</t>
        </is>
      </c>
      <c r="E245" t="inlineStr">
        <is>
          <t>BJURHOLM</t>
        </is>
      </c>
      <c r="G245" t="n">
        <v>0.7</v>
      </c>
      <c r="H245" t="n">
        <v>0</v>
      </c>
      <c r="I245" t="n">
        <v>0</v>
      </c>
      <c r="J245" t="n">
        <v>0</v>
      </c>
      <c r="K245" t="n">
        <v>0</v>
      </c>
      <c r="L245" t="n">
        <v>0</v>
      </c>
      <c r="M245" t="n">
        <v>0</v>
      </c>
      <c r="N245" t="n">
        <v>0</v>
      </c>
      <c r="O245" t="n">
        <v>0</v>
      </c>
      <c r="P245" t="n">
        <v>0</v>
      </c>
      <c r="Q245" t="n">
        <v>0</v>
      </c>
      <c r="R245" s="2" t="inlineStr"/>
    </row>
    <row r="246" ht="15" customHeight="1">
      <c r="A246" t="inlineStr">
        <is>
          <t>A 60224-2024</t>
        </is>
      </c>
      <c r="B246" s="1" t="n">
        <v>45642.70561342593</v>
      </c>
      <c r="C246" s="1" t="n">
        <v>45878</v>
      </c>
      <c r="D246" t="inlineStr">
        <is>
          <t>VÄSTERBOTTENS LÄN</t>
        </is>
      </c>
      <c r="E246" t="inlineStr">
        <is>
          <t>BJURHOLM</t>
        </is>
      </c>
      <c r="F246" t="inlineStr">
        <is>
          <t>Sveaskog</t>
        </is>
      </c>
      <c r="G246" t="n">
        <v>9.4</v>
      </c>
      <c r="H246" t="n">
        <v>0</v>
      </c>
      <c r="I246" t="n">
        <v>0</v>
      </c>
      <c r="J246" t="n">
        <v>0</v>
      </c>
      <c r="K246" t="n">
        <v>0</v>
      </c>
      <c r="L246" t="n">
        <v>0</v>
      </c>
      <c r="M246" t="n">
        <v>0</v>
      </c>
      <c r="N246" t="n">
        <v>0</v>
      </c>
      <c r="O246" t="n">
        <v>0</v>
      </c>
      <c r="P246" t="n">
        <v>0</v>
      </c>
      <c r="Q246" t="n">
        <v>0</v>
      </c>
      <c r="R246" s="2" t="inlineStr"/>
    </row>
    <row r="247" ht="15" customHeight="1">
      <c r="A247" t="inlineStr">
        <is>
          <t>A 57697-2024</t>
        </is>
      </c>
      <c r="B247" s="1" t="n">
        <v>45630.66277777778</v>
      </c>
      <c r="C247" s="1" t="n">
        <v>45878</v>
      </c>
      <c r="D247" t="inlineStr">
        <is>
          <t>VÄSTERBOTTENS LÄN</t>
        </is>
      </c>
      <c r="E247" t="inlineStr">
        <is>
          <t>BJURHOLM</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20949-2023</t>
        </is>
      </c>
      <c r="B248" s="1" t="n">
        <v>45056</v>
      </c>
      <c r="C248" s="1" t="n">
        <v>45878</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59553-2024</t>
        </is>
      </c>
      <c r="B249" s="1" t="n">
        <v>45638.63533564815</v>
      </c>
      <c r="C249" s="1" t="n">
        <v>45878</v>
      </c>
      <c r="D249" t="inlineStr">
        <is>
          <t>VÄSTERBOTTENS LÄN</t>
        </is>
      </c>
      <c r="E249" t="inlineStr">
        <is>
          <t>BJURHOLM</t>
        </is>
      </c>
      <c r="G249" t="n">
        <v>3.7</v>
      </c>
      <c r="H249" t="n">
        <v>0</v>
      </c>
      <c r="I249" t="n">
        <v>0</v>
      </c>
      <c r="J249" t="n">
        <v>0</v>
      </c>
      <c r="K249" t="n">
        <v>0</v>
      </c>
      <c r="L249" t="n">
        <v>0</v>
      </c>
      <c r="M249" t="n">
        <v>0</v>
      </c>
      <c r="N249" t="n">
        <v>0</v>
      </c>
      <c r="O249" t="n">
        <v>0</v>
      </c>
      <c r="P249" t="n">
        <v>0</v>
      </c>
      <c r="Q249" t="n">
        <v>0</v>
      </c>
      <c r="R249" s="2" t="inlineStr"/>
    </row>
    <row r="250" ht="15" customHeight="1">
      <c r="A250" t="inlineStr">
        <is>
          <t>A 60111-2020</t>
        </is>
      </c>
      <c r="B250" s="1" t="n">
        <v>44152</v>
      </c>
      <c r="C250" s="1" t="n">
        <v>45878</v>
      </c>
      <c r="D250" t="inlineStr">
        <is>
          <t>VÄSTERBOTTENS LÄN</t>
        </is>
      </c>
      <c r="E250" t="inlineStr">
        <is>
          <t>BJURHOLM</t>
        </is>
      </c>
      <c r="G250" t="n">
        <v>4.9</v>
      </c>
      <c r="H250" t="n">
        <v>0</v>
      </c>
      <c r="I250" t="n">
        <v>0</v>
      </c>
      <c r="J250" t="n">
        <v>0</v>
      </c>
      <c r="K250" t="n">
        <v>0</v>
      </c>
      <c r="L250" t="n">
        <v>0</v>
      </c>
      <c r="M250" t="n">
        <v>0</v>
      </c>
      <c r="N250" t="n">
        <v>0</v>
      </c>
      <c r="O250" t="n">
        <v>0</v>
      </c>
      <c r="P250" t="n">
        <v>0</v>
      </c>
      <c r="Q250" t="n">
        <v>0</v>
      </c>
      <c r="R250" s="2" t="inlineStr"/>
    </row>
    <row r="251" ht="15" customHeight="1">
      <c r="A251" t="inlineStr">
        <is>
          <t>A 61044-2022</t>
        </is>
      </c>
      <c r="B251" s="1" t="n">
        <v>44914.97001157407</v>
      </c>
      <c r="C251" s="1" t="n">
        <v>45878</v>
      </c>
      <c r="D251" t="inlineStr">
        <is>
          <t>VÄSTERBOTTENS LÄN</t>
        </is>
      </c>
      <c r="E251" t="inlineStr">
        <is>
          <t>BJURHOLM</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29641-2024</t>
        </is>
      </c>
      <c r="B252" s="1" t="n">
        <v>45484.71327546296</v>
      </c>
      <c r="C252" s="1" t="n">
        <v>45878</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44629-2023</t>
        </is>
      </c>
      <c r="B253" s="1" t="n">
        <v>45189</v>
      </c>
      <c r="C253" s="1" t="n">
        <v>45878</v>
      </c>
      <c r="D253" t="inlineStr">
        <is>
          <t>VÄSTERBOTTENS LÄN</t>
        </is>
      </c>
      <c r="E253" t="inlineStr">
        <is>
          <t>BJURHOLM</t>
        </is>
      </c>
      <c r="G253" t="n">
        <v>15.6</v>
      </c>
      <c r="H253" t="n">
        <v>0</v>
      </c>
      <c r="I253" t="n">
        <v>0</v>
      </c>
      <c r="J253" t="n">
        <v>0</v>
      </c>
      <c r="K253" t="n">
        <v>0</v>
      </c>
      <c r="L253" t="n">
        <v>0</v>
      </c>
      <c r="M253" t="n">
        <v>0</v>
      </c>
      <c r="N253" t="n">
        <v>0</v>
      </c>
      <c r="O253" t="n">
        <v>0</v>
      </c>
      <c r="P253" t="n">
        <v>0</v>
      </c>
      <c r="Q253" t="n">
        <v>0</v>
      </c>
      <c r="R253" s="2" t="inlineStr"/>
    </row>
    <row r="254" ht="15" customHeight="1">
      <c r="A254" t="inlineStr">
        <is>
          <t>A 43043-2024</t>
        </is>
      </c>
      <c r="B254" s="1" t="n">
        <v>45567</v>
      </c>
      <c r="C254" s="1" t="n">
        <v>45878</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32311-2025</t>
        </is>
      </c>
      <c r="B255" s="1" t="n">
        <v>45835.8281712963</v>
      </c>
      <c r="C255" s="1" t="n">
        <v>45878</v>
      </c>
      <c r="D255" t="inlineStr">
        <is>
          <t>VÄSTERBOTTENS LÄN</t>
        </is>
      </c>
      <c r="E255" t="inlineStr">
        <is>
          <t>BJURHOLM</t>
        </is>
      </c>
      <c r="F255" t="inlineStr">
        <is>
          <t>Holmen skog AB</t>
        </is>
      </c>
      <c r="G255" t="n">
        <v>8.1</v>
      </c>
      <c r="H255" t="n">
        <v>0</v>
      </c>
      <c r="I255" t="n">
        <v>0</v>
      </c>
      <c r="J255" t="n">
        <v>0</v>
      </c>
      <c r="K255" t="n">
        <v>0</v>
      </c>
      <c r="L255" t="n">
        <v>0</v>
      </c>
      <c r="M255" t="n">
        <v>0</v>
      </c>
      <c r="N255" t="n">
        <v>0</v>
      </c>
      <c r="O255" t="n">
        <v>0</v>
      </c>
      <c r="P255" t="n">
        <v>0</v>
      </c>
      <c r="Q255" t="n">
        <v>0</v>
      </c>
      <c r="R255" s="2" t="inlineStr"/>
    </row>
    <row r="256" ht="15" customHeight="1">
      <c r="A256" t="inlineStr">
        <is>
          <t>A 23181-2024</t>
        </is>
      </c>
      <c r="B256" s="1" t="n">
        <v>45450</v>
      </c>
      <c r="C256" s="1" t="n">
        <v>45878</v>
      </c>
      <c r="D256" t="inlineStr">
        <is>
          <t>VÄSTERBOTTENS LÄN</t>
        </is>
      </c>
      <c r="E256" t="inlineStr">
        <is>
          <t>BJURHOLM</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15214-2025</t>
        </is>
      </c>
      <c r="B257" s="1" t="n">
        <v>45744.57880787037</v>
      </c>
      <c r="C257" s="1" t="n">
        <v>45878</v>
      </c>
      <c r="D257" t="inlineStr">
        <is>
          <t>VÄSTERBOTTENS LÄN</t>
        </is>
      </c>
      <c r="E257" t="inlineStr">
        <is>
          <t>BJURHOLM</t>
        </is>
      </c>
      <c r="G257" t="n">
        <v>3.3</v>
      </c>
      <c r="H257" t="n">
        <v>0</v>
      </c>
      <c r="I257" t="n">
        <v>0</v>
      </c>
      <c r="J257" t="n">
        <v>0</v>
      </c>
      <c r="K257" t="n">
        <v>0</v>
      </c>
      <c r="L257" t="n">
        <v>0</v>
      </c>
      <c r="M257" t="n">
        <v>0</v>
      </c>
      <c r="N257" t="n">
        <v>0</v>
      </c>
      <c r="O257" t="n">
        <v>0</v>
      </c>
      <c r="P257" t="n">
        <v>0</v>
      </c>
      <c r="Q257" t="n">
        <v>0</v>
      </c>
      <c r="R257" s="2" t="inlineStr"/>
    </row>
    <row r="258" ht="15" customHeight="1">
      <c r="A258" t="inlineStr">
        <is>
          <t>A 46662-2023</t>
        </is>
      </c>
      <c r="B258" s="1" t="n">
        <v>45198.47061342592</v>
      </c>
      <c r="C258" s="1" t="n">
        <v>45878</v>
      </c>
      <c r="D258" t="inlineStr">
        <is>
          <t>VÄSTERBOTTENS LÄN</t>
        </is>
      </c>
      <c r="E258" t="inlineStr">
        <is>
          <t>BJURHOLM</t>
        </is>
      </c>
      <c r="F258" t="inlineStr">
        <is>
          <t>Holmen skog AB</t>
        </is>
      </c>
      <c r="G258" t="n">
        <v>10.1</v>
      </c>
      <c r="H258" t="n">
        <v>0</v>
      </c>
      <c r="I258" t="n">
        <v>0</v>
      </c>
      <c r="J258" t="n">
        <v>0</v>
      </c>
      <c r="K258" t="n">
        <v>0</v>
      </c>
      <c r="L258" t="n">
        <v>0</v>
      </c>
      <c r="M258" t="n">
        <v>0</v>
      </c>
      <c r="N258" t="n">
        <v>0</v>
      </c>
      <c r="O258" t="n">
        <v>0</v>
      </c>
      <c r="P258" t="n">
        <v>0</v>
      </c>
      <c r="Q258" t="n">
        <v>0</v>
      </c>
      <c r="R258" s="2" t="inlineStr"/>
    </row>
    <row r="259" ht="15" customHeight="1">
      <c r="A259" t="inlineStr">
        <is>
          <t>A 27297-2024</t>
        </is>
      </c>
      <c r="B259" s="1" t="n">
        <v>45471.9431712963</v>
      </c>
      <c r="C259" s="1" t="n">
        <v>45878</v>
      </c>
      <c r="D259" t="inlineStr">
        <is>
          <t>VÄSTERBOTTENS LÄN</t>
        </is>
      </c>
      <c r="E259" t="inlineStr">
        <is>
          <t>BJURHOLM</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47592-2024</t>
        </is>
      </c>
      <c r="B260" s="1" t="n">
        <v>45587.8405324074</v>
      </c>
      <c r="C260" s="1" t="n">
        <v>45878</v>
      </c>
      <c r="D260" t="inlineStr">
        <is>
          <t>VÄSTERBOTTENS LÄN</t>
        </is>
      </c>
      <c r="E260" t="inlineStr">
        <is>
          <t>BJURHOLM</t>
        </is>
      </c>
      <c r="G260" t="n">
        <v>2</v>
      </c>
      <c r="H260" t="n">
        <v>0</v>
      </c>
      <c r="I260" t="n">
        <v>0</v>
      </c>
      <c r="J260" t="n">
        <v>0</v>
      </c>
      <c r="K260" t="n">
        <v>0</v>
      </c>
      <c r="L260" t="n">
        <v>0</v>
      </c>
      <c r="M260" t="n">
        <v>0</v>
      </c>
      <c r="N260" t="n">
        <v>0</v>
      </c>
      <c r="O260" t="n">
        <v>0</v>
      </c>
      <c r="P260" t="n">
        <v>0</v>
      </c>
      <c r="Q260" t="n">
        <v>0</v>
      </c>
      <c r="R260" s="2" t="inlineStr"/>
      <c r="U260">
        <f>HYPERLINK("https://klasma.github.io/Logging_2403/knärot/A 47592-2024 karta knärot.png", "A 47592-2024")</f>
        <v/>
      </c>
      <c r="V260">
        <f>HYPERLINK("https://klasma.github.io/Logging_2403/klagomål/A 47592-2024 FSC-klagomål.docx", "A 47592-2024")</f>
        <v/>
      </c>
      <c r="W260">
        <f>HYPERLINK("https://klasma.github.io/Logging_2403/klagomålsmail/A 47592-2024 FSC-klagomål mail.docx", "A 47592-2024")</f>
        <v/>
      </c>
      <c r="X260">
        <f>HYPERLINK("https://klasma.github.io/Logging_2403/tillsyn/A 47592-2024 tillsynsbegäran.docx", "A 47592-2024")</f>
        <v/>
      </c>
      <c r="Y260">
        <f>HYPERLINK("https://klasma.github.io/Logging_2403/tillsynsmail/A 47592-2024 tillsynsbegäran mail.docx", "A 47592-2024")</f>
        <v/>
      </c>
    </row>
    <row r="261" ht="15" customHeight="1">
      <c r="A261" t="inlineStr">
        <is>
          <t>A 47593-2024</t>
        </is>
      </c>
      <c r="B261" s="1" t="n">
        <v>45587.84275462963</v>
      </c>
      <c r="C261" s="1" t="n">
        <v>45878</v>
      </c>
      <c r="D261" t="inlineStr">
        <is>
          <t>VÄSTERBOTTENS LÄN</t>
        </is>
      </c>
      <c r="E261" t="inlineStr">
        <is>
          <t>BJURHOLM</t>
        </is>
      </c>
      <c r="G261" t="n">
        <v>12.3</v>
      </c>
      <c r="H261" t="n">
        <v>0</v>
      </c>
      <c r="I261" t="n">
        <v>0</v>
      </c>
      <c r="J261" t="n">
        <v>0</v>
      </c>
      <c r="K261" t="n">
        <v>0</v>
      </c>
      <c r="L261" t="n">
        <v>0</v>
      </c>
      <c r="M261" t="n">
        <v>0</v>
      </c>
      <c r="N261" t="n">
        <v>0</v>
      </c>
      <c r="O261" t="n">
        <v>0</v>
      </c>
      <c r="P261" t="n">
        <v>0</v>
      </c>
      <c r="Q261" t="n">
        <v>0</v>
      </c>
      <c r="R261" s="2" t="inlineStr"/>
    </row>
    <row r="262" ht="15" customHeight="1">
      <c r="A262" t="inlineStr">
        <is>
          <t>A 47594-2024</t>
        </is>
      </c>
      <c r="B262" s="1" t="n">
        <v>45587.848125</v>
      </c>
      <c r="C262" s="1" t="n">
        <v>45878</v>
      </c>
      <c r="D262" t="inlineStr">
        <is>
          <t>VÄSTERBOTTENS LÄN</t>
        </is>
      </c>
      <c r="E262" t="inlineStr">
        <is>
          <t>BJURHOLM</t>
        </is>
      </c>
      <c r="G262" t="n">
        <v>5</v>
      </c>
      <c r="H262" t="n">
        <v>0</v>
      </c>
      <c r="I262" t="n">
        <v>0</v>
      </c>
      <c r="J262" t="n">
        <v>0</v>
      </c>
      <c r="K262" t="n">
        <v>0</v>
      </c>
      <c r="L262" t="n">
        <v>0</v>
      </c>
      <c r="M262" t="n">
        <v>0</v>
      </c>
      <c r="N262" t="n">
        <v>0</v>
      </c>
      <c r="O262" t="n">
        <v>0</v>
      </c>
      <c r="P262" t="n">
        <v>0</v>
      </c>
      <c r="Q262" t="n">
        <v>0</v>
      </c>
      <c r="R262" s="2" t="inlineStr"/>
    </row>
    <row r="263" ht="15" customHeight="1">
      <c r="A263" t="inlineStr">
        <is>
          <t>A 57562-2024</t>
        </is>
      </c>
      <c r="B263" s="1" t="n">
        <v>45630</v>
      </c>
      <c r="C263" s="1" t="n">
        <v>45878</v>
      </c>
      <c r="D263" t="inlineStr">
        <is>
          <t>VÄSTERBOTTENS LÄN</t>
        </is>
      </c>
      <c r="E263" t="inlineStr">
        <is>
          <t>BJURHOLM</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32314-2025</t>
        </is>
      </c>
      <c r="B264" s="1" t="n">
        <v>45835.87006944444</v>
      </c>
      <c r="C264" s="1" t="n">
        <v>45878</v>
      </c>
      <c r="D264" t="inlineStr">
        <is>
          <t>VÄSTERBOTTENS LÄN</t>
        </is>
      </c>
      <c r="E264" t="inlineStr">
        <is>
          <t>BJURHOLM</t>
        </is>
      </c>
      <c r="F264" t="inlineStr">
        <is>
          <t>Holmen skog AB</t>
        </is>
      </c>
      <c r="G264" t="n">
        <v>5.4</v>
      </c>
      <c r="H264" t="n">
        <v>0</v>
      </c>
      <c r="I264" t="n">
        <v>0</v>
      </c>
      <c r="J264" t="n">
        <v>0</v>
      </c>
      <c r="K264" t="n">
        <v>0</v>
      </c>
      <c r="L264" t="n">
        <v>0</v>
      </c>
      <c r="M264" t="n">
        <v>0</v>
      </c>
      <c r="N264" t="n">
        <v>0</v>
      </c>
      <c r="O264" t="n">
        <v>0</v>
      </c>
      <c r="P264" t="n">
        <v>0</v>
      </c>
      <c r="Q264" t="n">
        <v>0</v>
      </c>
      <c r="R264" s="2" t="inlineStr"/>
    </row>
    <row r="265" ht="15" customHeight="1">
      <c r="A265" t="inlineStr">
        <is>
          <t>A 32131-2025</t>
        </is>
      </c>
      <c r="B265" s="1" t="n">
        <v>45835.50796296296</v>
      </c>
      <c r="C265" s="1" t="n">
        <v>45878</v>
      </c>
      <c r="D265" t="inlineStr">
        <is>
          <t>VÄSTERBOTTENS LÄN</t>
        </is>
      </c>
      <c r="E265" t="inlineStr">
        <is>
          <t>BJURHOLM</t>
        </is>
      </c>
      <c r="G265" t="n">
        <v>2.5</v>
      </c>
      <c r="H265" t="n">
        <v>0</v>
      </c>
      <c r="I265" t="n">
        <v>0</v>
      </c>
      <c r="J265" t="n">
        <v>0</v>
      </c>
      <c r="K265" t="n">
        <v>0</v>
      </c>
      <c r="L265" t="n">
        <v>0</v>
      </c>
      <c r="M265" t="n">
        <v>0</v>
      </c>
      <c r="N265" t="n">
        <v>0</v>
      </c>
      <c r="O265" t="n">
        <v>0</v>
      </c>
      <c r="P265" t="n">
        <v>0</v>
      </c>
      <c r="Q265" t="n">
        <v>0</v>
      </c>
      <c r="R265" s="2" t="inlineStr"/>
    </row>
    <row r="266" ht="15" customHeight="1">
      <c r="A266" t="inlineStr">
        <is>
          <t>A 54151-2024</t>
        </is>
      </c>
      <c r="B266" s="1" t="n">
        <v>45616</v>
      </c>
      <c r="C266" s="1" t="n">
        <v>45878</v>
      </c>
      <c r="D266" t="inlineStr">
        <is>
          <t>VÄSTERBOTTENS LÄN</t>
        </is>
      </c>
      <c r="E266" t="inlineStr">
        <is>
          <t>BJURHOLM</t>
        </is>
      </c>
      <c r="G266" t="n">
        <v>4.8</v>
      </c>
      <c r="H266" t="n">
        <v>0</v>
      </c>
      <c r="I266" t="n">
        <v>0</v>
      </c>
      <c r="J266" t="n">
        <v>0</v>
      </c>
      <c r="K266" t="n">
        <v>0</v>
      </c>
      <c r="L266" t="n">
        <v>0</v>
      </c>
      <c r="M266" t="n">
        <v>0</v>
      </c>
      <c r="N266" t="n">
        <v>0</v>
      </c>
      <c r="O266" t="n">
        <v>0</v>
      </c>
      <c r="P266" t="n">
        <v>0</v>
      </c>
      <c r="Q266" t="n">
        <v>0</v>
      </c>
      <c r="R266" s="2" t="inlineStr"/>
    </row>
    <row r="267" ht="15" customHeight="1">
      <c r="A267" t="inlineStr">
        <is>
          <t>A 43321-2024</t>
        </is>
      </c>
      <c r="B267" s="1" t="n">
        <v>45568</v>
      </c>
      <c r="C267" s="1" t="n">
        <v>45878</v>
      </c>
      <c r="D267" t="inlineStr">
        <is>
          <t>VÄSTERBOTTENS LÄN</t>
        </is>
      </c>
      <c r="E267" t="inlineStr">
        <is>
          <t>BJURHOLM</t>
        </is>
      </c>
      <c r="G267" t="n">
        <v>1.9</v>
      </c>
      <c r="H267" t="n">
        <v>0</v>
      </c>
      <c r="I267" t="n">
        <v>0</v>
      </c>
      <c r="J267" t="n">
        <v>0</v>
      </c>
      <c r="K267" t="n">
        <v>0</v>
      </c>
      <c r="L267" t="n">
        <v>0</v>
      </c>
      <c r="M267" t="n">
        <v>0</v>
      </c>
      <c r="N267" t="n">
        <v>0</v>
      </c>
      <c r="O267" t="n">
        <v>0</v>
      </c>
      <c r="P267" t="n">
        <v>0</v>
      </c>
      <c r="Q267" t="n">
        <v>0</v>
      </c>
      <c r="R267" s="2" t="inlineStr"/>
    </row>
    <row r="268" ht="15" customHeight="1">
      <c r="A268" t="inlineStr">
        <is>
          <t>A 50680-2024</t>
        </is>
      </c>
      <c r="B268" s="1" t="n">
        <v>45602</v>
      </c>
      <c r="C268" s="1" t="n">
        <v>45878</v>
      </c>
      <c r="D268" t="inlineStr">
        <is>
          <t>VÄSTERBOTTENS LÄN</t>
        </is>
      </c>
      <c r="E268" t="inlineStr">
        <is>
          <t>BJURHOLM</t>
        </is>
      </c>
      <c r="F268" t="inlineStr">
        <is>
          <t>Holmen skog AB</t>
        </is>
      </c>
      <c r="G268" t="n">
        <v>4.8</v>
      </c>
      <c r="H268" t="n">
        <v>0</v>
      </c>
      <c r="I268" t="n">
        <v>0</v>
      </c>
      <c r="J268" t="n">
        <v>0</v>
      </c>
      <c r="K268" t="n">
        <v>0</v>
      </c>
      <c r="L268" t="n">
        <v>0</v>
      </c>
      <c r="M268" t="n">
        <v>0</v>
      </c>
      <c r="N268" t="n">
        <v>0</v>
      </c>
      <c r="O268" t="n">
        <v>0</v>
      </c>
      <c r="P268" t="n">
        <v>0</v>
      </c>
      <c r="Q268" t="n">
        <v>0</v>
      </c>
      <c r="R268" s="2" t="inlineStr"/>
    </row>
    <row r="269" ht="15" customHeight="1">
      <c r="A269" t="inlineStr">
        <is>
          <t>A 29867-2022</t>
        </is>
      </c>
      <c r="B269" s="1" t="n">
        <v>44756</v>
      </c>
      <c r="C269" s="1" t="n">
        <v>45878</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32584-2025</t>
        </is>
      </c>
      <c r="B270" s="1" t="n">
        <v>45838.59995370371</v>
      </c>
      <c r="C270" s="1" t="n">
        <v>45878</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10954-2025</t>
        </is>
      </c>
      <c r="B271" s="1" t="n">
        <v>45723.36034722222</v>
      </c>
      <c r="C271" s="1" t="n">
        <v>45878</v>
      </c>
      <c r="D271" t="inlineStr">
        <is>
          <t>VÄSTERBOTTENS LÄN</t>
        </is>
      </c>
      <c r="E271" t="inlineStr">
        <is>
          <t>BJURHOLM</t>
        </is>
      </c>
      <c r="G271" t="n">
        <v>1.2</v>
      </c>
      <c r="H271" t="n">
        <v>0</v>
      </c>
      <c r="I271" t="n">
        <v>0</v>
      </c>
      <c r="J271" t="n">
        <v>0</v>
      </c>
      <c r="K271" t="n">
        <v>0</v>
      </c>
      <c r="L271" t="n">
        <v>0</v>
      </c>
      <c r="M271" t="n">
        <v>0</v>
      </c>
      <c r="N271" t="n">
        <v>0</v>
      </c>
      <c r="O271" t="n">
        <v>0</v>
      </c>
      <c r="P271" t="n">
        <v>0</v>
      </c>
      <c r="Q271" t="n">
        <v>0</v>
      </c>
      <c r="R271" s="2" t="inlineStr"/>
    </row>
    <row r="272" ht="15" customHeight="1">
      <c r="A272" t="inlineStr">
        <is>
          <t>A 44812-2023</t>
        </is>
      </c>
      <c r="B272" s="1" t="n">
        <v>45190.50340277778</v>
      </c>
      <c r="C272" s="1" t="n">
        <v>45878</v>
      </c>
      <c r="D272" t="inlineStr">
        <is>
          <t>VÄSTERBOTTENS LÄN</t>
        </is>
      </c>
      <c r="E272" t="inlineStr">
        <is>
          <t>BJURHOLM</t>
        </is>
      </c>
      <c r="G272" t="n">
        <v>1.3</v>
      </c>
      <c r="H272" t="n">
        <v>0</v>
      </c>
      <c r="I272" t="n">
        <v>0</v>
      </c>
      <c r="J272" t="n">
        <v>0</v>
      </c>
      <c r="K272" t="n">
        <v>0</v>
      </c>
      <c r="L272" t="n">
        <v>0</v>
      </c>
      <c r="M272" t="n">
        <v>0</v>
      </c>
      <c r="N272" t="n">
        <v>0</v>
      </c>
      <c r="O272" t="n">
        <v>0</v>
      </c>
      <c r="P272" t="n">
        <v>0</v>
      </c>
      <c r="Q272" t="n">
        <v>0</v>
      </c>
      <c r="R272" s="2" t="inlineStr"/>
    </row>
    <row r="273" ht="15" customHeight="1">
      <c r="A273" t="inlineStr">
        <is>
          <t>A 56315-2023</t>
        </is>
      </c>
      <c r="B273" s="1" t="n">
        <v>45236</v>
      </c>
      <c r="C273" s="1" t="n">
        <v>45878</v>
      </c>
      <c r="D273" t="inlineStr">
        <is>
          <t>VÄSTERBOTTENS LÄN</t>
        </is>
      </c>
      <c r="E273" t="inlineStr">
        <is>
          <t>BJURHOLM</t>
        </is>
      </c>
      <c r="G273" t="n">
        <v>2.6</v>
      </c>
      <c r="H273" t="n">
        <v>0</v>
      </c>
      <c r="I273" t="n">
        <v>0</v>
      </c>
      <c r="J273" t="n">
        <v>0</v>
      </c>
      <c r="K273" t="n">
        <v>0</v>
      </c>
      <c r="L273" t="n">
        <v>0</v>
      </c>
      <c r="M273" t="n">
        <v>0</v>
      </c>
      <c r="N273" t="n">
        <v>0</v>
      </c>
      <c r="O273" t="n">
        <v>0</v>
      </c>
      <c r="P273" t="n">
        <v>0</v>
      </c>
      <c r="Q273" t="n">
        <v>0</v>
      </c>
      <c r="R273" s="2" t="inlineStr"/>
    </row>
    <row r="274" ht="15" customHeight="1">
      <c r="A274" t="inlineStr">
        <is>
          <t>A 61806-2024</t>
        </is>
      </c>
      <c r="B274" s="1" t="n">
        <v>45649.57627314814</v>
      </c>
      <c r="C274" s="1" t="n">
        <v>45878</v>
      </c>
      <c r="D274" t="inlineStr">
        <is>
          <t>VÄSTERBOTTENS LÄN</t>
        </is>
      </c>
      <c r="E274" t="inlineStr">
        <is>
          <t>BJURHOLM</t>
        </is>
      </c>
      <c r="G274" t="n">
        <v>2.4</v>
      </c>
      <c r="H274" t="n">
        <v>0</v>
      </c>
      <c r="I274" t="n">
        <v>0</v>
      </c>
      <c r="J274" t="n">
        <v>0</v>
      </c>
      <c r="K274" t="n">
        <v>0</v>
      </c>
      <c r="L274" t="n">
        <v>0</v>
      </c>
      <c r="M274" t="n">
        <v>0</v>
      </c>
      <c r="N274" t="n">
        <v>0</v>
      </c>
      <c r="O274" t="n">
        <v>0</v>
      </c>
      <c r="P274" t="n">
        <v>0</v>
      </c>
      <c r="Q274" t="n">
        <v>0</v>
      </c>
      <c r="R274" s="2" t="inlineStr"/>
    </row>
    <row r="275" ht="15" customHeight="1">
      <c r="A275" t="inlineStr">
        <is>
          <t>A 13828-2025</t>
        </is>
      </c>
      <c r="B275" s="1" t="n">
        <v>45737.54446759259</v>
      </c>
      <c r="C275" s="1" t="n">
        <v>45878</v>
      </c>
      <c r="D275" t="inlineStr">
        <is>
          <t>VÄSTERBOTTENS LÄN</t>
        </is>
      </c>
      <c r="E275" t="inlineStr">
        <is>
          <t>BJURHOLM</t>
        </is>
      </c>
      <c r="G275" t="n">
        <v>1.3</v>
      </c>
      <c r="H275" t="n">
        <v>0</v>
      </c>
      <c r="I275" t="n">
        <v>0</v>
      </c>
      <c r="J275" t="n">
        <v>0</v>
      </c>
      <c r="K275" t="n">
        <v>0</v>
      </c>
      <c r="L275" t="n">
        <v>0</v>
      </c>
      <c r="M275" t="n">
        <v>0</v>
      </c>
      <c r="N275" t="n">
        <v>0</v>
      </c>
      <c r="O275" t="n">
        <v>0</v>
      </c>
      <c r="P275" t="n">
        <v>0</v>
      </c>
      <c r="Q275" t="n">
        <v>0</v>
      </c>
      <c r="R275" s="2" t="inlineStr"/>
    </row>
    <row r="276" ht="15" customHeight="1">
      <c r="A276" t="inlineStr">
        <is>
          <t>A 43992-2023</t>
        </is>
      </c>
      <c r="B276" s="1" t="n">
        <v>45187</v>
      </c>
      <c r="C276" s="1" t="n">
        <v>45878</v>
      </c>
      <c r="D276" t="inlineStr">
        <is>
          <t>VÄSTERBOTTENS LÄN</t>
        </is>
      </c>
      <c r="E276" t="inlineStr">
        <is>
          <t>BJURHOLM</t>
        </is>
      </c>
      <c r="F276" t="inlineStr">
        <is>
          <t>SCA</t>
        </is>
      </c>
      <c r="G276" t="n">
        <v>10.9</v>
      </c>
      <c r="H276" t="n">
        <v>0</v>
      </c>
      <c r="I276" t="n">
        <v>0</v>
      </c>
      <c r="J276" t="n">
        <v>0</v>
      </c>
      <c r="K276" t="n">
        <v>0</v>
      </c>
      <c r="L276" t="n">
        <v>0</v>
      </c>
      <c r="M276" t="n">
        <v>0</v>
      </c>
      <c r="N276" t="n">
        <v>0</v>
      </c>
      <c r="O276" t="n">
        <v>0</v>
      </c>
      <c r="P276" t="n">
        <v>0</v>
      </c>
      <c r="Q276" t="n">
        <v>0</v>
      </c>
      <c r="R276" s="2" t="inlineStr"/>
    </row>
    <row r="277" ht="15" customHeight="1">
      <c r="A277" t="inlineStr">
        <is>
          <t>A 7312-2024</t>
        </is>
      </c>
      <c r="B277" s="1" t="n">
        <v>45345.34260416667</v>
      </c>
      <c r="C277" s="1" t="n">
        <v>45878</v>
      </c>
      <c r="D277" t="inlineStr">
        <is>
          <t>VÄSTERBOTTENS LÄN</t>
        </is>
      </c>
      <c r="E277" t="inlineStr">
        <is>
          <t>BJURHOLM</t>
        </is>
      </c>
      <c r="G277" t="n">
        <v>4.4</v>
      </c>
      <c r="H277" t="n">
        <v>0</v>
      </c>
      <c r="I277" t="n">
        <v>0</v>
      </c>
      <c r="J277" t="n">
        <v>0</v>
      </c>
      <c r="K277" t="n">
        <v>0</v>
      </c>
      <c r="L277" t="n">
        <v>0</v>
      </c>
      <c r="M277" t="n">
        <v>0</v>
      </c>
      <c r="N277" t="n">
        <v>0</v>
      </c>
      <c r="O277" t="n">
        <v>0</v>
      </c>
      <c r="P277" t="n">
        <v>0</v>
      </c>
      <c r="Q277" t="n">
        <v>0</v>
      </c>
      <c r="R277" s="2" t="inlineStr"/>
    </row>
    <row r="278" ht="15" customHeight="1">
      <c r="A278" t="inlineStr">
        <is>
          <t>A 52535-2024</t>
        </is>
      </c>
      <c r="B278" s="1" t="n">
        <v>45609.61846064815</v>
      </c>
      <c r="C278" s="1" t="n">
        <v>45878</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16792-2022</t>
        </is>
      </c>
      <c r="B279" s="1" t="n">
        <v>44673</v>
      </c>
      <c r="C279" s="1" t="n">
        <v>45878</v>
      </c>
      <c r="D279" t="inlineStr">
        <is>
          <t>VÄSTERBOTTENS LÄN</t>
        </is>
      </c>
      <c r="E279" t="inlineStr">
        <is>
          <t>BJURHOLM</t>
        </is>
      </c>
      <c r="G279" t="n">
        <v>3.1</v>
      </c>
      <c r="H279" t="n">
        <v>0</v>
      </c>
      <c r="I279" t="n">
        <v>0</v>
      </c>
      <c r="J279" t="n">
        <v>0</v>
      </c>
      <c r="K279" t="n">
        <v>0</v>
      </c>
      <c r="L279" t="n">
        <v>0</v>
      </c>
      <c r="M279" t="n">
        <v>0</v>
      </c>
      <c r="N279" t="n">
        <v>0</v>
      </c>
      <c r="O279" t="n">
        <v>0</v>
      </c>
      <c r="P279" t="n">
        <v>0</v>
      </c>
      <c r="Q279" t="n">
        <v>0</v>
      </c>
      <c r="R279" s="2" t="inlineStr"/>
    </row>
    <row r="280" ht="15" customHeight="1">
      <c r="A280" t="inlineStr">
        <is>
          <t>A 52671-2024</t>
        </is>
      </c>
      <c r="B280" s="1" t="n">
        <v>45610.38056712963</v>
      </c>
      <c r="C280" s="1" t="n">
        <v>45878</v>
      </c>
      <c r="D280" t="inlineStr">
        <is>
          <t>VÄSTERBOTTENS LÄN</t>
        </is>
      </c>
      <c r="E280" t="inlineStr">
        <is>
          <t>BJURHOLM</t>
        </is>
      </c>
      <c r="F280" t="inlineStr">
        <is>
          <t>Holmen skog AB</t>
        </is>
      </c>
      <c r="G280" t="n">
        <v>4.4</v>
      </c>
      <c r="H280" t="n">
        <v>0</v>
      </c>
      <c r="I280" t="n">
        <v>0</v>
      </c>
      <c r="J280" t="n">
        <v>0</v>
      </c>
      <c r="K280" t="n">
        <v>0</v>
      </c>
      <c r="L280" t="n">
        <v>0</v>
      </c>
      <c r="M280" t="n">
        <v>0</v>
      </c>
      <c r="N280" t="n">
        <v>0</v>
      </c>
      <c r="O280" t="n">
        <v>0</v>
      </c>
      <c r="P280" t="n">
        <v>0</v>
      </c>
      <c r="Q280" t="n">
        <v>0</v>
      </c>
      <c r="R280" s="2" t="inlineStr"/>
    </row>
    <row r="281" ht="15" customHeight="1">
      <c r="A281" t="inlineStr">
        <is>
          <t>A 47591-2024</t>
        </is>
      </c>
      <c r="B281" s="1" t="n">
        <v>45587.83815972223</v>
      </c>
      <c r="C281" s="1" t="n">
        <v>45878</v>
      </c>
      <c r="D281" t="inlineStr">
        <is>
          <t>VÄSTERBOTTENS LÄN</t>
        </is>
      </c>
      <c r="E281" t="inlineStr">
        <is>
          <t>BJURHOLM</t>
        </is>
      </c>
      <c r="G281" t="n">
        <v>5.4</v>
      </c>
      <c r="H281" t="n">
        <v>0</v>
      </c>
      <c r="I281" t="n">
        <v>0</v>
      </c>
      <c r="J281" t="n">
        <v>0</v>
      </c>
      <c r="K281" t="n">
        <v>0</v>
      </c>
      <c r="L281" t="n">
        <v>0</v>
      </c>
      <c r="M281" t="n">
        <v>0</v>
      </c>
      <c r="N281" t="n">
        <v>0</v>
      </c>
      <c r="O281" t="n">
        <v>0</v>
      </c>
      <c r="P281" t="n">
        <v>0</v>
      </c>
      <c r="Q281" t="n">
        <v>0</v>
      </c>
      <c r="R281" s="2" t="inlineStr"/>
    </row>
    <row r="282" ht="15" customHeight="1">
      <c r="A282" t="inlineStr">
        <is>
          <t>A 8663-2025</t>
        </is>
      </c>
      <c r="B282" s="1" t="n">
        <v>45712.39594907407</v>
      </c>
      <c r="C282" s="1" t="n">
        <v>45878</v>
      </c>
      <c r="D282" t="inlineStr">
        <is>
          <t>VÄSTERBOTTENS LÄN</t>
        </is>
      </c>
      <c r="E282" t="inlineStr">
        <is>
          <t>BJURHOLM</t>
        </is>
      </c>
      <c r="F282" t="inlineStr">
        <is>
          <t>Holmen skog AB</t>
        </is>
      </c>
      <c r="G282" t="n">
        <v>5.2</v>
      </c>
      <c r="H282" t="n">
        <v>0</v>
      </c>
      <c r="I282" t="n">
        <v>0</v>
      </c>
      <c r="J282" t="n">
        <v>0</v>
      </c>
      <c r="K282" t="n">
        <v>0</v>
      </c>
      <c r="L282" t="n">
        <v>0</v>
      </c>
      <c r="M282" t="n">
        <v>0</v>
      </c>
      <c r="N282" t="n">
        <v>0</v>
      </c>
      <c r="O282" t="n">
        <v>0</v>
      </c>
      <c r="P282" t="n">
        <v>0</v>
      </c>
      <c r="Q282" t="n">
        <v>0</v>
      </c>
      <c r="R282" s="2" t="inlineStr"/>
    </row>
    <row r="283" ht="15" customHeight="1">
      <c r="A283" t="inlineStr">
        <is>
          <t>A 25944-2023</t>
        </is>
      </c>
      <c r="B283" s="1" t="n">
        <v>45090.70563657407</v>
      </c>
      <c r="C283" s="1" t="n">
        <v>45878</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8510-2024</t>
        </is>
      </c>
      <c r="B284" s="1" t="n">
        <v>45351</v>
      </c>
      <c r="C284" s="1" t="n">
        <v>45878</v>
      </c>
      <c r="D284" t="inlineStr">
        <is>
          <t>VÄSTERBOTTENS LÄN</t>
        </is>
      </c>
      <c r="E284" t="inlineStr">
        <is>
          <t>BJURHOLM</t>
        </is>
      </c>
      <c r="G284" t="n">
        <v>0.4</v>
      </c>
      <c r="H284" t="n">
        <v>0</v>
      </c>
      <c r="I284" t="n">
        <v>0</v>
      </c>
      <c r="J284" t="n">
        <v>0</v>
      </c>
      <c r="K284" t="n">
        <v>0</v>
      </c>
      <c r="L284" t="n">
        <v>0</v>
      </c>
      <c r="M284" t="n">
        <v>0</v>
      </c>
      <c r="N284" t="n">
        <v>0</v>
      </c>
      <c r="O284" t="n">
        <v>0</v>
      </c>
      <c r="P284" t="n">
        <v>0</v>
      </c>
      <c r="Q284" t="n">
        <v>0</v>
      </c>
      <c r="R284" s="2" t="inlineStr"/>
    </row>
    <row r="285" ht="15" customHeight="1">
      <c r="A285" t="inlineStr">
        <is>
          <t>A 25405-2025</t>
        </is>
      </c>
      <c r="B285" s="1" t="n">
        <v>45800.65744212963</v>
      </c>
      <c r="C285" s="1" t="n">
        <v>45878</v>
      </c>
      <c r="D285" t="inlineStr">
        <is>
          <t>VÄSTERBOTTENS LÄN</t>
        </is>
      </c>
      <c r="E285" t="inlineStr">
        <is>
          <t>BJURHOLM</t>
        </is>
      </c>
      <c r="G285" t="n">
        <v>3.6</v>
      </c>
      <c r="H285" t="n">
        <v>0</v>
      </c>
      <c r="I285" t="n">
        <v>0</v>
      </c>
      <c r="J285" t="n">
        <v>0</v>
      </c>
      <c r="K285" t="n">
        <v>0</v>
      </c>
      <c r="L285" t="n">
        <v>0</v>
      </c>
      <c r="M285" t="n">
        <v>0</v>
      </c>
      <c r="N285" t="n">
        <v>0</v>
      </c>
      <c r="O285" t="n">
        <v>0</v>
      </c>
      <c r="P285" t="n">
        <v>0</v>
      </c>
      <c r="Q285" t="n">
        <v>0</v>
      </c>
      <c r="R285" s="2" t="inlineStr"/>
    </row>
    <row r="286" ht="15" customHeight="1">
      <c r="A286" t="inlineStr">
        <is>
          <t>A 12197-2023</t>
        </is>
      </c>
      <c r="B286" s="1" t="n">
        <v>44998</v>
      </c>
      <c r="C286" s="1" t="n">
        <v>45878</v>
      </c>
      <c r="D286" t="inlineStr">
        <is>
          <t>VÄSTERBOTTENS LÄN</t>
        </is>
      </c>
      <c r="E286" t="inlineStr">
        <is>
          <t>BJURHOLM</t>
        </is>
      </c>
      <c r="G286" t="n">
        <v>1.9</v>
      </c>
      <c r="H286" t="n">
        <v>0</v>
      </c>
      <c r="I286" t="n">
        <v>0</v>
      </c>
      <c r="J286" t="n">
        <v>0</v>
      </c>
      <c r="K286" t="n">
        <v>0</v>
      </c>
      <c r="L286" t="n">
        <v>0</v>
      </c>
      <c r="M286" t="n">
        <v>0</v>
      </c>
      <c r="N286" t="n">
        <v>0</v>
      </c>
      <c r="O286" t="n">
        <v>0</v>
      </c>
      <c r="P286" t="n">
        <v>0</v>
      </c>
      <c r="Q286" t="n">
        <v>0</v>
      </c>
      <c r="R286" s="2" t="inlineStr"/>
    </row>
    <row r="287" ht="15" customHeight="1">
      <c r="A287" t="inlineStr">
        <is>
          <t>A 19578-2024</t>
        </is>
      </c>
      <c r="B287" s="1" t="n">
        <v>45429.92396990741</v>
      </c>
      <c r="C287" s="1" t="n">
        <v>45878</v>
      </c>
      <c r="D287" t="inlineStr">
        <is>
          <t>VÄSTERBOTTENS LÄN</t>
        </is>
      </c>
      <c r="E287" t="inlineStr">
        <is>
          <t>BJURHOLM</t>
        </is>
      </c>
      <c r="G287" t="n">
        <v>0.8</v>
      </c>
      <c r="H287" t="n">
        <v>0</v>
      </c>
      <c r="I287" t="n">
        <v>0</v>
      </c>
      <c r="J287" t="n">
        <v>0</v>
      </c>
      <c r="K287" t="n">
        <v>0</v>
      </c>
      <c r="L287" t="n">
        <v>0</v>
      </c>
      <c r="M287" t="n">
        <v>0</v>
      </c>
      <c r="N287" t="n">
        <v>0</v>
      </c>
      <c r="O287" t="n">
        <v>0</v>
      </c>
      <c r="P287" t="n">
        <v>0</v>
      </c>
      <c r="Q287" t="n">
        <v>0</v>
      </c>
      <c r="R287" s="2" t="inlineStr"/>
    </row>
    <row r="288" ht="15" customHeight="1">
      <c r="A288" t="inlineStr">
        <is>
          <t>A 52549-2024</t>
        </is>
      </c>
      <c r="B288" s="1" t="n">
        <v>45609.64043981482</v>
      </c>
      <c r="C288" s="1" t="n">
        <v>45878</v>
      </c>
      <c r="D288" t="inlineStr">
        <is>
          <t>VÄSTERBOTTENS LÄN</t>
        </is>
      </c>
      <c r="E288" t="inlineStr">
        <is>
          <t>BJURHOLM</t>
        </is>
      </c>
      <c r="G288" t="n">
        <v>1.4</v>
      </c>
      <c r="H288" t="n">
        <v>0</v>
      </c>
      <c r="I288" t="n">
        <v>0</v>
      </c>
      <c r="J288" t="n">
        <v>0</v>
      </c>
      <c r="K288" t="n">
        <v>0</v>
      </c>
      <c r="L288" t="n">
        <v>0</v>
      </c>
      <c r="M288" t="n">
        <v>0</v>
      </c>
      <c r="N288" t="n">
        <v>0</v>
      </c>
      <c r="O288" t="n">
        <v>0</v>
      </c>
      <c r="P288" t="n">
        <v>0</v>
      </c>
      <c r="Q288" t="n">
        <v>0</v>
      </c>
      <c r="R288" s="2" t="inlineStr"/>
    </row>
    <row r="289" ht="15" customHeight="1">
      <c r="A289" t="inlineStr">
        <is>
          <t>A 25100-2025</t>
        </is>
      </c>
      <c r="B289" s="1" t="n">
        <v>45800.34435185185</v>
      </c>
      <c r="C289" s="1" t="n">
        <v>45878</v>
      </c>
      <c r="D289" t="inlineStr">
        <is>
          <t>VÄSTERBOTTENS LÄN</t>
        </is>
      </c>
      <c r="E289" t="inlineStr">
        <is>
          <t>BJURHOLM</t>
        </is>
      </c>
      <c r="F289" t="inlineStr">
        <is>
          <t>SCA</t>
        </is>
      </c>
      <c r="G289" t="n">
        <v>7.7</v>
      </c>
      <c r="H289" t="n">
        <v>0</v>
      </c>
      <c r="I289" t="n">
        <v>0</v>
      </c>
      <c r="J289" t="n">
        <v>0</v>
      </c>
      <c r="K289" t="n">
        <v>0</v>
      </c>
      <c r="L289" t="n">
        <v>0</v>
      </c>
      <c r="M289" t="n">
        <v>0</v>
      </c>
      <c r="N289" t="n">
        <v>0</v>
      </c>
      <c r="O289" t="n">
        <v>0</v>
      </c>
      <c r="P289" t="n">
        <v>0</v>
      </c>
      <c r="Q289" t="n">
        <v>0</v>
      </c>
      <c r="R289" s="2" t="inlineStr"/>
    </row>
    <row r="290" ht="15" customHeight="1">
      <c r="A290" t="inlineStr">
        <is>
          <t>A 56151-2024</t>
        </is>
      </c>
      <c r="B290" s="1" t="n">
        <v>45623</v>
      </c>
      <c r="C290" s="1" t="n">
        <v>45878</v>
      </c>
      <c r="D290" t="inlineStr">
        <is>
          <t>VÄSTERBOTTENS LÄN</t>
        </is>
      </c>
      <c r="E290" t="inlineStr">
        <is>
          <t>BJURHOLM</t>
        </is>
      </c>
      <c r="G290" t="n">
        <v>2.4</v>
      </c>
      <c r="H290" t="n">
        <v>0</v>
      </c>
      <c r="I290" t="n">
        <v>0</v>
      </c>
      <c r="J290" t="n">
        <v>0</v>
      </c>
      <c r="K290" t="n">
        <v>0</v>
      </c>
      <c r="L290" t="n">
        <v>0</v>
      </c>
      <c r="M290" t="n">
        <v>0</v>
      </c>
      <c r="N290" t="n">
        <v>0</v>
      </c>
      <c r="O290" t="n">
        <v>0</v>
      </c>
      <c r="P290" t="n">
        <v>0</v>
      </c>
      <c r="Q290" t="n">
        <v>0</v>
      </c>
      <c r="R290" s="2" t="inlineStr"/>
    </row>
    <row r="291" ht="15" customHeight="1">
      <c r="A291" t="inlineStr">
        <is>
          <t>A 34446-2025</t>
        </is>
      </c>
      <c r="B291" s="1" t="n">
        <v>45845</v>
      </c>
      <c r="C291" s="1" t="n">
        <v>45878</v>
      </c>
      <c r="D291" t="inlineStr">
        <is>
          <t>VÄSTERBOTTENS LÄN</t>
        </is>
      </c>
      <c r="E291" t="inlineStr">
        <is>
          <t>BJURHOLM</t>
        </is>
      </c>
      <c r="G291" t="n">
        <v>4.1</v>
      </c>
      <c r="H291" t="n">
        <v>0</v>
      </c>
      <c r="I291" t="n">
        <v>0</v>
      </c>
      <c r="J291" t="n">
        <v>0</v>
      </c>
      <c r="K291" t="n">
        <v>0</v>
      </c>
      <c r="L291" t="n">
        <v>0</v>
      </c>
      <c r="M291" t="n">
        <v>0</v>
      </c>
      <c r="N291" t="n">
        <v>0</v>
      </c>
      <c r="O291" t="n">
        <v>0</v>
      </c>
      <c r="P291" t="n">
        <v>0</v>
      </c>
      <c r="Q291" t="n">
        <v>0</v>
      </c>
      <c r="R291" s="2" t="inlineStr"/>
    </row>
    <row r="292" ht="15" customHeight="1">
      <c r="A292" t="inlineStr">
        <is>
          <t>A 34333-2025</t>
        </is>
      </c>
      <c r="B292" s="1" t="n">
        <v>45846.45019675926</v>
      </c>
      <c r="C292" s="1" t="n">
        <v>45878</v>
      </c>
      <c r="D292" t="inlineStr">
        <is>
          <t>VÄSTERBOTTENS LÄN</t>
        </is>
      </c>
      <c r="E292" t="inlineStr">
        <is>
          <t>BJURHOLM</t>
        </is>
      </c>
      <c r="G292" t="n">
        <v>2.9</v>
      </c>
      <c r="H292" t="n">
        <v>0</v>
      </c>
      <c r="I292" t="n">
        <v>0</v>
      </c>
      <c r="J292" t="n">
        <v>0</v>
      </c>
      <c r="K292" t="n">
        <v>0</v>
      </c>
      <c r="L292" t="n">
        <v>0</v>
      </c>
      <c r="M292" t="n">
        <v>0</v>
      </c>
      <c r="N292" t="n">
        <v>0</v>
      </c>
      <c r="O292" t="n">
        <v>0</v>
      </c>
      <c r="P292" t="n">
        <v>0</v>
      </c>
      <c r="Q292" t="n">
        <v>0</v>
      </c>
      <c r="R292" s="2" t="inlineStr"/>
    </row>
    <row r="293" ht="15" customHeight="1">
      <c r="A293" t="inlineStr">
        <is>
          <t>A 46614-2023</t>
        </is>
      </c>
      <c r="B293" s="1" t="n">
        <v>45198.40074074074</v>
      </c>
      <c r="C293" s="1" t="n">
        <v>45878</v>
      </c>
      <c r="D293" t="inlineStr">
        <is>
          <t>VÄSTERBOTTENS LÄN</t>
        </is>
      </c>
      <c r="E293" t="inlineStr">
        <is>
          <t>BJURHOLM</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34336-2025</t>
        </is>
      </c>
      <c r="B294" s="1" t="n">
        <v>45846.45319444445</v>
      </c>
      <c r="C294" s="1" t="n">
        <v>45878</v>
      </c>
      <c r="D294" t="inlineStr">
        <is>
          <t>VÄSTERBOTTENS LÄN</t>
        </is>
      </c>
      <c r="E294" t="inlineStr">
        <is>
          <t>BJURHOLM</t>
        </is>
      </c>
      <c r="G294" t="n">
        <v>0.4</v>
      </c>
      <c r="H294" t="n">
        <v>0</v>
      </c>
      <c r="I294" t="n">
        <v>0</v>
      </c>
      <c r="J294" t="n">
        <v>0</v>
      </c>
      <c r="K294" t="n">
        <v>0</v>
      </c>
      <c r="L294" t="n">
        <v>0</v>
      </c>
      <c r="M294" t="n">
        <v>0</v>
      </c>
      <c r="N294" t="n">
        <v>0</v>
      </c>
      <c r="O294" t="n">
        <v>0</v>
      </c>
      <c r="P294" t="n">
        <v>0</v>
      </c>
      <c r="Q294" t="n">
        <v>0</v>
      </c>
      <c r="R294" s="2" t="inlineStr"/>
    </row>
    <row r="295" ht="15" customHeight="1">
      <c r="A295" t="inlineStr">
        <is>
          <t>A 50098-2024</t>
        </is>
      </c>
      <c r="B295" s="1" t="n">
        <v>45600.39903935185</v>
      </c>
      <c r="C295" s="1" t="n">
        <v>45878</v>
      </c>
      <c r="D295" t="inlineStr">
        <is>
          <t>VÄSTERBOTTENS LÄN</t>
        </is>
      </c>
      <c r="E295" t="inlineStr">
        <is>
          <t>BJURHOLM</t>
        </is>
      </c>
      <c r="G295" t="n">
        <v>6.9</v>
      </c>
      <c r="H295" t="n">
        <v>0</v>
      </c>
      <c r="I295" t="n">
        <v>0</v>
      </c>
      <c r="J295" t="n">
        <v>0</v>
      </c>
      <c r="K295" t="n">
        <v>0</v>
      </c>
      <c r="L295" t="n">
        <v>0</v>
      </c>
      <c r="M295" t="n">
        <v>0</v>
      </c>
      <c r="N295" t="n">
        <v>0</v>
      </c>
      <c r="O295" t="n">
        <v>0</v>
      </c>
      <c r="P295" t="n">
        <v>0</v>
      </c>
      <c r="Q295" t="n">
        <v>0</v>
      </c>
      <c r="R295" s="2" t="inlineStr"/>
    </row>
    <row r="296" ht="15" customHeight="1">
      <c r="A296" t="inlineStr">
        <is>
          <t>A 56114-2024</t>
        </is>
      </c>
      <c r="B296" s="1" t="n">
        <v>45623</v>
      </c>
      <c r="C296" s="1" t="n">
        <v>45878</v>
      </c>
      <c r="D296" t="inlineStr">
        <is>
          <t>VÄSTERBOTTENS LÄN</t>
        </is>
      </c>
      <c r="E296" t="inlineStr">
        <is>
          <t>BJURHOLM</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58489-2023</t>
        </is>
      </c>
      <c r="B297" s="1" t="n">
        <v>45251.33342592593</v>
      </c>
      <c r="C297" s="1" t="n">
        <v>45878</v>
      </c>
      <c r="D297" t="inlineStr">
        <is>
          <t>VÄSTERBOTTENS LÄN</t>
        </is>
      </c>
      <c r="E297" t="inlineStr">
        <is>
          <t>BJURHOLM</t>
        </is>
      </c>
      <c r="G297" t="n">
        <v>3.1</v>
      </c>
      <c r="H297" t="n">
        <v>0</v>
      </c>
      <c r="I297" t="n">
        <v>0</v>
      </c>
      <c r="J297" t="n">
        <v>0</v>
      </c>
      <c r="K297" t="n">
        <v>0</v>
      </c>
      <c r="L297" t="n">
        <v>0</v>
      </c>
      <c r="M297" t="n">
        <v>0</v>
      </c>
      <c r="N297" t="n">
        <v>0</v>
      </c>
      <c r="O297" t="n">
        <v>0</v>
      </c>
      <c r="P297" t="n">
        <v>0</v>
      </c>
      <c r="Q297" t="n">
        <v>0</v>
      </c>
      <c r="R297" s="2" t="inlineStr"/>
    </row>
    <row r="298" ht="15" customHeight="1">
      <c r="A298" t="inlineStr">
        <is>
          <t>A 53374-2024</t>
        </is>
      </c>
      <c r="B298" s="1" t="n">
        <v>45614</v>
      </c>
      <c r="C298" s="1" t="n">
        <v>45878</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44777-2023</t>
        </is>
      </c>
      <c r="B299" s="1" t="n">
        <v>45190</v>
      </c>
      <c r="C299" s="1" t="n">
        <v>45878</v>
      </c>
      <c r="D299" t="inlineStr">
        <is>
          <t>VÄSTERBOTTENS LÄN</t>
        </is>
      </c>
      <c r="E299" t="inlineStr">
        <is>
          <t>BJURHOLM</t>
        </is>
      </c>
      <c r="F299" t="inlineStr">
        <is>
          <t>Holmen skog AB</t>
        </is>
      </c>
      <c r="G299" t="n">
        <v>10.7</v>
      </c>
      <c r="H299" t="n">
        <v>0</v>
      </c>
      <c r="I299" t="n">
        <v>0</v>
      </c>
      <c r="J299" t="n">
        <v>0</v>
      </c>
      <c r="K299" t="n">
        <v>0</v>
      </c>
      <c r="L299" t="n">
        <v>0</v>
      </c>
      <c r="M299" t="n">
        <v>0</v>
      </c>
      <c r="N299" t="n">
        <v>0</v>
      </c>
      <c r="O299" t="n">
        <v>0</v>
      </c>
      <c r="P299" t="n">
        <v>0</v>
      </c>
      <c r="Q299" t="n">
        <v>0</v>
      </c>
      <c r="R299" s="2" t="inlineStr"/>
    </row>
    <row r="300" ht="15" customHeight="1">
      <c r="A300" t="inlineStr">
        <is>
          <t>A 44880-2023</t>
        </is>
      </c>
      <c r="B300" s="1" t="n">
        <v>45190.60920138889</v>
      </c>
      <c r="C300" s="1" t="n">
        <v>45878</v>
      </c>
      <c r="D300" t="inlineStr">
        <is>
          <t>VÄSTERBOTTENS LÄN</t>
        </is>
      </c>
      <c r="E300" t="inlineStr">
        <is>
          <t>BJURHOLM</t>
        </is>
      </c>
      <c r="F300" t="inlineStr">
        <is>
          <t>Holmen skog AB</t>
        </is>
      </c>
      <c r="G300" t="n">
        <v>10.5</v>
      </c>
      <c r="H300" t="n">
        <v>0</v>
      </c>
      <c r="I300" t="n">
        <v>0</v>
      </c>
      <c r="J300" t="n">
        <v>0</v>
      </c>
      <c r="K300" t="n">
        <v>0</v>
      </c>
      <c r="L300" t="n">
        <v>0</v>
      </c>
      <c r="M300" t="n">
        <v>0</v>
      </c>
      <c r="N300" t="n">
        <v>0</v>
      </c>
      <c r="O300" t="n">
        <v>0</v>
      </c>
      <c r="P300" t="n">
        <v>0</v>
      </c>
      <c r="Q300" t="n">
        <v>0</v>
      </c>
      <c r="R300" s="2" t="inlineStr"/>
    </row>
    <row r="301" ht="15" customHeight="1">
      <c r="A301" t="inlineStr">
        <is>
          <t>A 10527-2025</t>
        </is>
      </c>
      <c r="B301" s="1" t="n">
        <v>45721.445625</v>
      </c>
      <c r="C301" s="1" t="n">
        <v>45878</v>
      </c>
      <c r="D301" t="inlineStr">
        <is>
          <t>VÄSTERBOTTENS LÄN</t>
        </is>
      </c>
      <c r="E301" t="inlineStr">
        <is>
          <t>BJURHOLM</t>
        </is>
      </c>
      <c r="G301" t="n">
        <v>1.9</v>
      </c>
      <c r="H301" t="n">
        <v>0</v>
      </c>
      <c r="I301" t="n">
        <v>0</v>
      </c>
      <c r="J301" t="n">
        <v>0</v>
      </c>
      <c r="K301" t="n">
        <v>0</v>
      </c>
      <c r="L301" t="n">
        <v>0</v>
      </c>
      <c r="M301" t="n">
        <v>0</v>
      </c>
      <c r="N301" t="n">
        <v>0</v>
      </c>
      <c r="O301" t="n">
        <v>0</v>
      </c>
      <c r="P301" t="n">
        <v>0</v>
      </c>
      <c r="Q301" t="n">
        <v>0</v>
      </c>
      <c r="R301" s="2" t="inlineStr"/>
    </row>
    <row r="302" ht="15" customHeight="1">
      <c r="A302" t="inlineStr">
        <is>
          <t>A 60606-2023</t>
        </is>
      </c>
      <c r="B302" s="1" t="n">
        <v>45260.34408564815</v>
      </c>
      <c r="C302" s="1" t="n">
        <v>45878</v>
      </c>
      <c r="D302" t="inlineStr">
        <is>
          <t>VÄSTERBOTTENS LÄN</t>
        </is>
      </c>
      <c r="E302" t="inlineStr">
        <is>
          <t>BJURHOLM</t>
        </is>
      </c>
      <c r="G302" t="n">
        <v>7.5</v>
      </c>
      <c r="H302" t="n">
        <v>0</v>
      </c>
      <c r="I302" t="n">
        <v>0</v>
      </c>
      <c r="J302" t="n">
        <v>0</v>
      </c>
      <c r="K302" t="n">
        <v>0</v>
      </c>
      <c r="L302" t="n">
        <v>0</v>
      </c>
      <c r="M302" t="n">
        <v>0</v>
      </c>
      <c r="N302" t="n">
        <v>0</v>
      </c>
      <c r="O302" t="n">
        <v>0</v>
      </c>
      <c r="P302" t="n">
        <v>0</v>
      </c>
      <c r="Q302" t="n">
        <v>0</v>
      </c>
      <c r="R302" s="2" t="inlineStr"/>
    </row>
    <row r="303" ht="15" customHeight="1">
      <c r="A303" t="inlineStr">
        <is>
          <t>A 20594-2023</t>
        </is>
      </c>
      <c r="B303" s="1" t="n">
        <v>45057.9408912037</v>
      </c>
      <c r="C303" s="1" t="n">
        <v>45878</v>
      </c>
      <c r="D303" t="inlineStr">
        <is>
          <t>VÄSTERBOTTENS LÄN</t>
        </is>
      </c>
      <c r="E303" t="inlineStr">
        <is>
          <t>BJURHOLM</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23325-2023</t>
        </is>
      </c>
      <c r="B304" s="1" t="n">
        <v>45076</v>
      </c>
      <c r="C304" s="1" t="n">
        <v>45878</v>
      </c>
      <c r="D304" t="inlineStr">
        <is>
          <t>VÄSTERBOTTENS LÄN</t>
        </is>
      </c>
      <c r="E304" t="inlineStr">
        <is>
          <t>BJURHOLM</t>
        </is>
      </c>
      <c r="G304" t="n">
        <v>3.3</v>
      </c>
      <c r="H304" t="n">
        <v>0</v>
      </c>
      <c r="I304" t="n">
        <v>0</v>
      </c>
      <c r="J304" t="n">
        <v>0</v>
      </c>
      <c r="K304" t="n">
        <v>0</v>
      </c>
      <c r="L304" t="n">
        <v>0</v>
      </c>
      <c r="M304" t="n">
        <v>0</v>
      </c>
      <c r="N304" t="n">
        <v>0</v>
      </c>
      <c r="O304" t="n">
        <v>0</v>
      </c>
      <c r="P304" t="n">
        <v>0</v>
      </c>
      <c r="Q304" t="n">
        <v>0</v>
      </c>
      <c r="R304" s="2" t="inlineStr"/>
    </row>
    <row r="305" ht="15" customHeight="1">
      <c r="A305" t="inlineStr">
        <is>
          <t>A 53127-2024</t>
        </is>
      </c>
      <c r="B305" s="1" t="n">
        <v>45611</v>
      </c>
      <c r="C305" s="1" t="n">
        <v>45878</v>
      </c>
      <c r="D305" t="inlineStr">
        <is>
          <t>VÄSTERBOTTENS LÄN</t>
        </is>
      </c>
      <c r="E305" t="inlineStr">
        <is>
          <t>BJURHOLM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5582-2025</t>
        </is>
      </c>
      <c r="B306" s="1" t="n">
        <v>45693.55229166667</v>
      </c>
      <c r="C306" s="1" t="n">
        <v>45878</v>
      </c>
      <c r="D306" t="inlineStr">
        <is>
          <t>VÄSTERBOTTENS LÄN</t>
        </is>
      </c>
      <c r="E306" t="inlineStr">
        <is>
          <t>BJURHOLM</t>
        </is>
      </c>
      <c r="G306" t="n">
        <v>2.1</v>
      </c>
      <c r="H306" t="n">
        <v>0</v>
      </c>
      <c r="I306" t="n">
        <v>0</v>
      </c>
      <c r="J306" t="n">
        <v>0</v>
      </c>
      <c r="K306" t="n">
        <v>0</v>
      </c>
      <c r="L306" t="n">
        <v>0</v>
      </c>
      <c r="M306" t="n">
        <v>0</v>
      </c>
      <c r="N306" t="n">
        <v>0</v>
      </c>
      <c r="O306" t="n">
        <v>0</v>
      </c>
      <c r="P306" t="n">
        <v>0</v>
      </c>
      <c r="Q306" t="n">
        <v>0</v>
      </c>
      <c r="R306" s="2" t="inlineStr"/>
    </row>
    <row r="307" ht="15" customHeight="1">
      <c r="A307" t="inlineStr">
        <is>
          <t>A 32129-2024</t>
        </is>
      </c>
      <c r="B307" s="1" t="n">
        <v>45511</v>
      </c>
      <c r="C307" s="1" t="n">
        <v>45878</v>
      </c>
      <c r="D307" t="inlineStr">
        <is>
          <t>VÄSTERBOTTENS LÄN</t>
        </is>
      </c>
      <c r="E307" t="inlineStr">
        <is>
          <t>BJURHOLM</t>
        </is>
      </c>
      <c r="G307" t="n">
        <v>1.6</v>
      </c>
      <c r="H307" t="n">
        <v>0</v>
      </c>
      <c r="I307" t="n">
        <v>0</v>
      </c>
      <c r="J307" t="n">
        <v>0</v>
      </c>
      <c r="K307" t="n">
        <v>0</v>
      </c>
      <c r="L307" t="n">
        <v>0</v>
      </c>
      <c r="M307" t="n">
        <v>0</v>
      </c>
      <c r="N307" t="n">
        <v>0</v>
      </c>
      <c r="O307" t="n">
        <v>0</v>
      </c>
      <c r="P307" t="n">
        <v>0</v>
      </c>
      <c r="Q307" t="n">
        <v>0</v>
      </c>
      <c r="R307" s="2" t="inlineStr"/>
    </row>
    <row r="308" ht="15" customHeight="1">
      <c r="A308" t="inlineStr">
        <is>
          <t>A 38077-2023</t>
        </is>
      </c>
      <c r="B308" s="1" t="n">
        <v>45160.86949074074</v>
      </c>
      <c r="C308" s="1" t="n">
        <v>45878</v>
      </c>
      <c r="D308" t="inlineStr">
        <is>
          <t>VÄSTERBOTTENS LÄN</t>
        </is>
      </c>
      <c r="E308" t="inlineStr">
        <is>
          <t>BJURHOLM</t>
        </is>
      </c>
      <c r="F308" t="inlineStr">
        <is>
          <t>Holmen skog AB</t>
        </is>
      </c>
      <c r="G308" t="n">
        <v>2.9</v>
      </c>
      <c r="H308" t="n">
        <v>0</v>
      </c>
      <c r="I308" t="n">
        <v>0</v>
      </c>
      <c r="J308" t="n">
        <v>0</v>
      </c>
      <c r="K308" t="n">
        <v>0</v>
      </c>
      <c r="L308" t="n">
        <v>0</v>
      </c>
      <c r="M308" t="n">
        <v>0</v>
      </c>
      <c r="N308" t="n">
        <v>0</v>
      </c>
      <c r="O308" t="n">
        <v>0</v>
      </c>
      <c r="P308" t="n">
        <v>0</v>
      </c>
      <c r="Q308" t="n">
        <v>0</v>
      </c>
      <c r="R308" s="2" t="inlineStr"/>
    </row>
    <row r="309" ht="15" customHeight="1">
      <c r="A309" t="inlineStr">
        <is>
          <t>A 56-2025</t>
        </is>
      </c>
      <c r="B309" s="1" t="n">
        <v>45659.39510416667</v>
      </c>
      <c r="C309" s="1" t="n">
        <v>45878</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42557-2023</t>
        </is>
      </c>
      <c r="B310" s="1" t="n">
        <v>45181.38291666667</v>
      </c>
      <c r="C310" s="1" t="n">
        <v>45878</v>
      </c>
      <c r="D310" t="inlineStr">
        <is>
          <t>VÄSTERBOTTENS LÄN</t>
        </is>
      </c>
      <c r="E310" t="inlineStr">
        <is>
          <t>BJURHOLM</t>
        </is>
      </c>
      <c r="F310" t="inlineStr">
        <is>
          <t>Holmen skog AB</t>
        </is>
      </c>
      <c r="G310" t="n">
        <v>1.9</v>
      </c>
      <c r="H310" t="n">
        <v>0</v>
      </c>
      <c r="I310" t="n">
        <v>0</v>
      </c>
      <c r="J310" t="n">
        <v>0</v>
      </c>
      <c r="K310" t="n">
        <v>0</v>
      </c>
      <c r="L310" t="n">
        <v>0</v>
      </c>
      <c r="M310" t="n">
        <v>0</v>
      </c>
      <c r="N310" t="n">
        <v>0</v>
      </c>
      <c r="O310" t="n">
        <v>0</v>
      </c>
      <c r="P310" t="n">
        <v>0</v>
      </c>
      <c r="Q310" t="n">
        <v>0</v>
      </c>
      <c r="R310" s="2" t="inlineStr"/>
    </row>
    <row r="311" ht="15" customHeight="1">
      <c r="A311" t="inlineStr">
        <is>
          <t>A 46498-2024</t>
        </is>
      </c>
      <c r="B311" s="1" t="n">
        <v>45582</v>
      </c>
      <c r="C311" s="1" t="n">
        <v>45878</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35249-2023</t>
        </is>
      </c>
      <c r="B312" s="1" t="n">
        <v>45145.92299768519</v>
      </c>
      <c r="C312" s="1" t="n">
        <v>45878</v>
      </c>
      <c r="D312" t="inlineStr">
        <is>
          <t>VÄSTERBOTTENS LÄN</t>
        </is>
      </c>
      <c r="E312" t="inlineStr">
        <is>
          <t>BJURHOLM</t>
        </is>
      </c>
      <c r="G312" t="n">
        <v>0.9</v>
      </c>
      <c r="H312" t="n">
        <v>0</v>
      </c>
      <c r="I312" t="n">
        <v>0</v>
      </c>
      <c r="J312" t="n">
        <v>0</v>
      </c>
      <c r="K312" t="n">
        <v>0</v>
      </c>
      <c r="L312" t="n">
        <v>0</v>
      </c>
      <c r="M312" t="n">
        <v>0</v>
      </c>
      <c r="N312" t="n">
        <v>0</v>
      </c>
      <c r="O312" t="n">
        <v>0</v>
      </c>
      <c r="P312" t="n">
        <v>0</v>
      </c>
      <c r="Q312" t="n">
        <v>0</v>
      </c>
      <c r="R312" s="2" t="inlineStr"/>
    </row>
    <row r="313" ht="15" customHeight="1">
      <c r="A313" t="inlineStr">
        <is>
          <t>A 35251-2023</t>
        </is>
      </c>
      <c r="B313" s="1" t="n">
        <v>45145.92325231482</v>
      </c>
      <c r="C313" s="1" t="n">
        <v>45878</v>
      </c>
      <c r="D313" t="inlineStr">
        <is>
          <t>VÄSTERBOTTENS LÄN</t>
        </is>
      </c>
      <c r="E313" t="inlineStr">
        <is>
          <t>BJURHOLM</t>
        </is>
      </c>
      <c r="G313" t="n">
        <v>0.5</v>
      </c>
      <c r="H313" t="n">
        <v>0</v>
      </c>
      <c r="I313" t="n">
        <v>0</v>
      </c>
      <c r="J313" t="n">
        <v>0</v>
      </c>
      <c r="K313" t="n">
        <v>0</v>
      </c>
      <c r="L313" t="n">
        <v>0</v>
      </c>
      <c r="M313" t="n">
        <v>0</v>
      </c>
      <c r="N313" t="n">
        <v>0</v>
      </c>
      <c r="O313" t="n">
        <v>0</v>
      </c>
      <c r="P313" t="n">
        <v>0</v>
      </c>
      <c r="Q313" t="n">
        <v>0</v>
      </c>
      <c r="R313" s="2" t="inlineStr"/>
    </row>
    <row r="314" ht="15" customHeight="1">
      <c r="A314" t="inlineStr">
        <is>
          <t>A 52451-2023</t>
        </is>
      </c>
      <c r="B314" s="1" t="n">
        <v>45225</v>
      </c>
      <c r="C314" s="1" t="n">
        <v>45878</v>
      </c>
      <c r="D314" t="inlineStr">
        <is>
          <t>VÄSTERBOTTENS LÄN</t>
        </is>
      </c>
      <c r="E314" t="inlineStr">
        <is>
          <t>BJURHOLM</t>
        </is>
      </c>
      <c r="F314" t="inlineStr">
        <is>
          <t>Sveaskog</t>
        </is>
      </c>
      <c r="G314" t="n">
        <v>37.6</v>
      </c>
      <c r="H314" t="n">
        <v>0</v>
      </c>
      <c r="I314" t="n">
        <v>0</v>
      </c>
      <c r="J314" t="n">
        <v>0</v>
      </c>
      <c r="K314" t="n">
        <v>0</v>
      </c>
      <c r="L314" t="n">
        <v>0</v>
      </c>
      <c r="M314" t="n">
        <v>0</v>
      </c>
      <c r="N314" t="n">
        <v>0</v>
      </c>
      <c r="O314" t="n">
        <v>0</v>
      </c>
      <c r="P314" t="n">
        <v>0</v>
      </c>
      <c r="Q314" t="n">
        <v>0</v>
      </c>
      <c r="R314" s="2" t="inlineStr"/>
    </row>
    <row r="315" ht="15" customHeight="1">
      <c r="A315" t="inlineStr">
        <is>
          <t>A 3181-2025</t>
        </is>
      </c>
      <c r="B315" s="1" t="n">
        <v>45679.39748842592</v>
      </c>
      <c r="C315" s="1" t="n">
        <v>45878</v>
      </c>
      <c r="D315" t="inlineStr">
        <is>
          <t>VÄSTERBOTTENS LÄN</t>
        </is>
      </c>
      <c r="E315" t="inlineStr">
        <is>
          <t>BJURHOLM</t>
        </is>
      </c>
      <c r="G315" t="n">
        <v>2.7</v>
      </c>
      <c r="H315" t="n">
        <v>0</v>
      </c>
      <c r="I315" t="n">
        <v>0</v>
      </c>
      <c r="J315" t="n">
        <v>0</v>
      </c>
      <c r="K315" t="n">
        <v>0</v>
      </c>
      <c r="L315" t="n">
        <v>0</v>
      </c>
      <c r="M315" t="n">
        <v>0</v>
      </c>
      <c r="N315" t="n">
        <v>0</v>
      </c>
      <c r="O315" t="n">
        <v>0</v>
      </c>
      <c r="P315" t="n">
        <v>0</v>
      </c>
      <c r="Q315" t="n">
        <v>0</v>
      </c>
      <c r="R315" s="2" t="inlineStr"/>
    </row>
    <row r="316" ht="15" customHeight="1">
      <c r="A316" t="inlineStr">
        <is>
          <t>A 3497-2025</t>
        </is>
      </c>
      <c r="B316" s="1" t="n">
        <v>45680.56597222222</v>
      </c>
      <c r="C316" s="1" t="n">
        <v>45878</v>
      </c>
      <c r="D316" t="inlineStr">
        <is>
          <t>VÄSTERBOTTENS LÄN</t>
        </is>
      </c>
      <c r="E316" t="inlineStr">
        <is>
          <t>BJURHOLM</t>
        </is>
      </c>
      <c r="G316" t="n">
        <v>0.9</v>
      </c>
      <c r="H316" t="n">
        <v>0</v>
      </c>
      <c r="I316" t="n">
        <v>0</v>
      </c>
      <c r="J316" t="n">
        <v>0</v>
      </c>
      <c r="K316" t="n">
        <v>0</v>
      </c>
      <c r="L316" t="n">
        <v>0</v>
      </c>
      <c r="M316" t="n">
        <v>0</v>
      </c>
      <c r="N316" t="n">
        <v>0</v>
      </c>
      <c r="O316" t="n">
        <v>0</v>
      </c>
      <c r="P316" t="n">
        <v>0</v>
      </c>
      <c r="Q316" t="n">
        <v>0</v>
      </c>
      <c r="R316" s="2" t="inlineStr"/>
    </row>
    <row r="317" ht="15" customHeight="1">
      <c r="A317" t="inlineStr">
        <is>
          <t>A 44274-2023</t>
        </is>
      </c>
      <c r="B317" s="1" t="n">
        <v>45188.61318287037</v>
      </c>
      <c r="C317" s="1" t="n">
        <v>45878</v>
      </c>
      <c r="D317" t="inlineStr">
        <is>
          <t>VÄSTERBOTTENS LÄN</t>
        </is>
      </c>
      <c r="E317" t="inlineStr">
        <is>
          <t>BJURHOLM</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20836-2022</t>
        </is>
      </c>
      <c r="B318" s="1" t="n">
        <v>44701</v>
      </c>
      <c r="C318" s="1" t="n">
        <v>45878</v>
      </c>
      <c r="D318" t="inlineStr">
        <is>
          <t>VÄSTERBOTTENS LÄN</t>
        </is>
      </c>
      <c r="E318" t="inlineStr">
        <is>
          <t>BJURHOLM</t>
        </is>
      </c>
      <c r="G318" t="n">
        <v>2.8</v>
      </c>
      <c r="H318" t="n">
        <v>0</v>
      </c>
      <c r="I318" t="n">
        <v>0</v>
      </c>
      <c r="J318" t="n">
        <v>0</v>
      </c>
      <c r="K318" t="n">
        <v>0</v>
      </c>
      <c r="L318" t="n">
        <v>0</v>
      </c>
      <c r="M318" t="n">
        <v>0</v>
      </c>
      <c r="N318" t="n">
        <v>0</v>
      </c>
      <c r="O318" t="n">
        <v>0</v>
      </c>
      <c r="P318" t="n">
        <v>0</v>
      </c>
      <c r="Q318" t="n">
        <v>0</v>
      </c>
      <c r="R318" s="2" t="inlineStr"/>
    </row>
    <row r="319" ht="15" customHeight="1">
      <c r="A319" t="inlineStr">
        <is>
          <t>A 38906-2024</t>
        </is>
      </c>
      <c r="B319" s="1" t="n">
        <v>45547</v>
      </c>
      <c r="C319" s="1" t="n">
        <v>45878</v>
      </c>
      <c r="D319" t="inlineStr">
        <is>
          <t>VÄSTERBOTTENS LÄN</t>
        </is>
      </c>
      <c r="E319" t="inlineStr">
        <is>
          <t>BJURHOLM</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55512-2023</t>
        </is>
      </c>
      <c r="B320" s="1" t="n">
        <v>45232</v>
      </c>
      <c r="C320" s="1" t="n">
        <v>45878</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50238-2024</t>
        </is>
      </c>
      <c r="B321" s="1" t="n">
        <v>45600.55559027778</v>
      </c>
      <c r="C321" s="1" t="n">
        <v>45878</v>
      </c>
      <c r="D321" t="inlineStr">
        <is>
          <t>VÄSTERBOTTENS LÄN</t>
        </is>
      </c>
      <c r="E321" t="inlineStr">
        <is>
          <t>BJURHOLM</t>
        </is>
      </c>
      <c r="F321" t="inlineStr">
        <is>
          <t>Holmen skog AB</t>
        </is>
      </c>
      <c r="G321" t="n">
        <v>5.7</v>
      </c>
      <c r="H321" t="n">
        <v>0</v>
      </c>
      <c r="I321" t="n">
        <v>0</v>
      </c>
      <c r="J321" t="n">
        <v>0</v>
      </c>
      <c r="K321" t="n">
        <v>0</v>
      </c>
      <c r="L321" t="n">
        <v>0</v>
      </c>
      <c r="M321" t="n">
        <v>0</v>
      </c>
      <c r="N321" t="n">
        <v>0</v>
      </c>
      <c r="O321" t="n">
        <v>0</v>
      </c>
      <c r="P321" t="n">
        <v>0</v>
      </c>
      <c r="Q321" t="n">
        <v>0</v>
      </c>
      <c r="R321" s="2" t="inlineStr"/>
    </row>
    <row r="322" ht="15" customHeight="1">
      <c r="A322" t="inlineStr">
        <is>
          <t>A 33395-2023</t>
        </is>
      </c>
      <c r="B322" s="1" t="n">
        <v>45128.62215277777</v>
      </c>
      <c r="C322" s="1" t="n">
        <v>45878</v>
      </c>
      <c r="D322" t="inlineStr">
        <is>
          <t>VÄSTERBOTTENS LÄN</t>
        </is>
      </c>
      <c r="E322" t="inlineStr">
        <is>
          <t>BJURHOLM</t>
        </is>
      </c>
      <c r="F322" t="inlineStr">
        <is>
          <t>Holmen skog AB</t>
        </is>
      </c>
      <c r="G322" t="n">
        <v>5.8</v>
      </c>
      <c r="H322" t="n">
        <v>0</v>
      </c>
      <c r="I322" t="n">
        <v>0</v>
      </c>
      <c r="J322" t="n">
        <v>0</v>
      </c>
      <c r="K322" t="n">
        <v>0</v>
      </c>
      <c r="L322" t="n">
        <v>0</v>
      </c>
      <c r="M322" t="n">
        <v>0</v>
      </c>
      <c r="N322" t="n">
        <v>0</v>
      </c>
      <c r="O322" t="n">
        <v>0</v>
      </c>
      <c r="P322" t="n">
        <v>0</v>
      </c>
      <c r="Q322" t="n">
        <v>0</v>
      </c>
      <c r="R322" s="2" t="inlineStr"/>
    </row>
    <row r="323" ht="15" customHeight="1">
      <c r="A323" t="inlineStr">
        <is>
          <t>A 52375-2023</t>
        </is>
      </c>
      <c r="B323" s="1" t="n">
        <v>45224.75395833333</v>
      </c>
      <c r="C323" s="1" t="n">
        <v>45878</v>
      </c>
      <c r="D323" t="inlineStr">
        <is>
          <t>VÄSTERBOTTENS LÄN</t>
        </is>
      </c>
      <c r="E323" t="inlineStr">
        <is>
          <t>BJURHOLM</t>
        </is>
      </c>
      <c r="G323" t="n">
        <v>4.5</v>
      </c>
      <c r="H323" t="n">
        <v>0</v>
      </c>
      <c r="I323" t="n">
        <v>0</v>
      </c>
      <c r="J323" t="n">
        <v>0</v>
      </c>
      <c r="K323" t="n">
        <v>0</v>
      </c>
      <c r="L323" t="n">
        <v>0</v>
      </c>
      <c r="M323" t="n">
        <v>0</v>
      </c>
      <c r="N323" t="n">
        <v>0</v>
      </c>
      <c r="O323" t="n">
        <v>0</v>
      </c>
      <c r="P323" t="n">
        <v>0</v>
      </c>
      <c r="Q323" t="n">
        <v>0</v>
      </c>
      <c r="R323" s="2" t="inlineStr"/>
    </row>
    <row r="324" ht="15" customHeight="1">
      <c r="A324" t="inlineStr">
        <is>
          <t>A 1877-2024</t>
        </is>
      </c>
      <c r="B324" s="1" t="n">
        <v>45307</v>
      </c>
      <c r="C324" s="1" t="n">
        <v>45878</v>
      </c>
      <c r="D324" t="inlineStr">
        <is>
          <t>VÄSTERBOTTENS LÄN</t>
        </is>
      </c>
      <c r="E324" t="inlineStr">
        <is>
          <t>BJURHOLM</t>
        </is>
      </c>
      <c r="G324" t="n">
        <v>7.9</v>
      </c>
      <c r="H324" t="n">
        <v>0</v>
      </c>
      <c r="I324" t="n">
        <v>0</v>
      </c>
      <c r="J324" t="n">
        <v>0</v>
      </c>
      <c r="K324" t="n">
        <v>0</v>
      </c>
      <c r="L324" t="n">
        <v>0</v>
      </c>
      <c r="M324" t="n">
        <v>0</v>
      </c>
      <c r="N324" t="n">
        <v>0</v>
      </c>
      <c r="O324" t="n">
        <v>0</v>
      </c>
      <c r="P324" t="n">
        <v>0</v>
      </c>
      <c r="Q324" t="n">
        <v>0</v>
      </c>
      <c r="R324" s="2" t="inlineStr"/>
    </row>
    <row r="325" ht="15" customHeight="1">
      <c r="A325" t="inlineStr">
        <is>
          <t>A 57609-2024</t>
        </is>
      </c>
      <c r="B325" s="1" t="n">
        <v>45630</v>
      </c>
      <c r="C325" s="1" t="n">
        <v>45878</v>
      </c>
      <c r="D325" t="inlineStr">
        <is>
          <t>VÄSTERBOTTENS LÄN</t>
        </is>
      </c>
      <c r="E325" t="inlineStr">
        <is>
          <t>BJURHOLM</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26883-2025</t>
        </is>
      </c>
      <c r="B326" s="1" t="n">
        <v>45810.8708912037</v>
      </c>
      <c r="C326" s="1" t="n">
        <v>45878</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27256-2025</t>
        </is>
      </c>
      <c r="B327" s="1" t="n">
        <v>45812.47314814815</v>
      </c>
      <c r="C327" s="1" t="n">
        <v>45878</v>
      </c>
      <c r="D327" t="inlineStr">
        <is>
          <t>VÄSTERBOTTENS LÄN</t>
        </is>
      </c>
      <c r="E327" t="inlineStr">
        <is>
          <t>BJURHOLM</t>
        </is>
      </c>
      <c r="G327" t="n">
        <v>48.1</v>
      </c>
      <c r="H327" t="n">
        <v>0</v>
      </c>
      <c r="I327" t="n">
        <v>0</v>
      </c>
      <c r="J327" t="n">
        <v>0</v>
      </c>
      <c r="K327" t="n">
        <v>0</v>
      </c>
      <c r="L327" t="n">
        <v>0</v>
      </c>
      <c r="M327" t="n">
        <v>0</v>
      </c>
      <c r="N327" t="n">
        <v>0</v>
      </c>
      <c r="O327" t="n">
        <v>0</v>
      </c>
      <c r="P327" t="n">
        <v>0</v>
      </c>
      <c r="Q327" t="n">
        <v>0</v>
      </c>
      <c r="R327" s="2" t="inlineStr"/>
    </row>
    <row r="328" ht="15" customHeight="1">
      <c r="A328" t="inlineStr">
        <is>
          <t>A 27597-2025</t>
        </is>
      </c>
      <c r="B328" s="1" t="n">
        <v>45813.52341435185</v>
      </c>
      <c r="C328" s="1" t="n">
        <v>45878</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27612-2025</t>
        </is>
      </c>
      <c r="B329" s="1" t="n">
        <v>45813.53979166667</v>
      </c>
      <c r="C329" s="1" t="n">
        <v>45878</v>
      </c>
      <c r="D329" t="inlineStr">
        <is>
          <t>VÄSTERBOTTENS LÄN</t>
        </is>
      </c>
      <c r="E329" t="inlineStr">
        <is>
          <t>BJURHOLM</t>
        </is>
      </c>
      <c r="G329" t="n">
        <v>3.9</v>
      </c>
      <c r="H329" t="n">
        <v>0</v>
      </c>
      <c r="I329" t="n">
        <v>0</v>
      </c>
      <c r="J329" t="n">
        <v>0</v>
      </c>
      <c r="K329" t="n">
        <v>0</v>
      </c>
      <c r="L329" t="n">
        <v>0</v>
      </c>
      <c r="M329" t="n">
        <v>0</v>
      </c>
      <c r="N329" t="n">
        <v>0</v>
      </c>
      <c r="O329" t="n">
        <v>0</v>
      </c>
      <c r="P329" t="n">
        <v>0</v>
      </c>
      <c r="Q329" t="n">
        <v>0</v>
      </c>
      <c r="R329" s="2" t="inlineStr"/>
    </row>
    <row r="330" ht="15" customHeight="1">
      <c r="A330" t="inlineStr">
        <is>
          <t>A 23974-2022</t>
        </is>
      </c>
      <c r="B330" s="1" t="n">
        <v>44722</v>
      </c>
      <c r="C330" s="1" t="n">
        <v>45878</v>
      </c>
      <c r="D330" t="inlineStr">
        <is>
          <t>VÄSTERBOTTENS LÄN</t>
        </is>
      </c>
      <c r="E330" t="inlineStr">
        <is>
          <t>BJURHOLM</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1875-2024</t>
        </is>
      </c>
      <c r="B331" s="1" t="n">
        <v>45307.92592592593</v>
      </c>
      <c r="C331" s="1" t="n">
        <v>45878</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27614-2025</t>
        </is>
      </c>
      <c r="B332" s="1" t="n">
        <v>45813.54122685185</v>
      </c>
      <c r="C332" s="1" t="n">
        <v>45878</v>
      </c>
      <c r="D332" t="inlineStr">
        <is>
          <t>VÄSTERBOTTENS LÄN</t>
        </is>
      </c>
      <c r="E332" t="inlineStr">
        <is>
          <t>BJURHOLM</t>
        </is>
      </c>
      <c r="G332" t="n">
        <v>2.9</v>
      </c>
      <c r="H332" t="n">
        <v>0</v>
      </c>
      <c r="I332" t="n">
        <v>0</v>
      </c>
      <c r="J332" t="n">
        <v>0</v>
      </c>
      <c r="K332" t="n">
        <v>0</v>
      </c>
      <c r="L332" t="n">
        <v>0</v>
      </c>
      <c r="M332" t="n">
        <v>0</v>
      </c>
      <c r="N332" t="n">
        <v>0</v>
      </c>
      <c r="O332" t="n">
        <v>0</v>
      </c>
      <c r="P332" t="n">
        <v>0</v>
      </c>
      <c r="Q332" t="n">
        <v>0</v>
      </c>
      <c r="R332" s="2" t="inlineStr"/>
    </row>
    <row r="333" ht="15" customHeight="1">
      <c r="A333" t="inlineStr">
        <is>
          <t>A 17237-2025</t>
        </is>
      </c>
      <c r="B333" s="1" t="n">
        <v>45756.47723379629</v>
      </c>
      <c r="C333" s="1" t="n">
        <v>45878</v>
      </c>
      <c r="D333" t="inlineStr">
        <is>
          <t>VÄSTERBOTTENS LÄN</t>
        </is>
      </c>
      <c r="E333" t="inlineStr">
        <is>
          <t>BJURHOLM</t>
        </is>
      </c>
      <c r="G333" t="n">
        <v>5.9</v>
      </c>
      <c r="H333" t="n">
        <v>0</v>
      </c>
      <c r="I333" t="n">
        <v>0</v>
      </c>
      <c r="J333" t="n">
        <v>0</v>
      </c>
      <c r="K333" t="n">
        <v>0</v>
      </c>
      <c r="L333" t="n">
        <v>0</v>
      </c>
      <c r="M333" t="n">
        <v>0</v>
      </c>
      <c r="N333" t="n">
        <v>0</v>
      </c>
      <c r="O333" t="n">
        <v>0</v>
      </c>
      <c r="P333" t="n">
        <v>0</v>
      </c>
      <c r="Q333" t="n">
        <v>0</v>
      </c>
      <c r="R333" s="2" t="inlineStr"/>
    </row>
    <row r="334" ht="15" customHeight="1">
      <c r="A334" t="inlineStr">
        <is>
          <t>A 57886-2023</t>
        </is>
      </c>
      <c r="B334" s="1" t="n">
        <v>45247.47538194444</v>
      </c>
      <c r="C334" s="1" t="n">
        <v>45878</v>
      </c>
      <c r="D334" t="inlineStr">
        <is>
          <t>VÄSTERBOTTENS LÄN</t>
        </is>
      </c>
      <c r="E334" t="inlineStr">
        <is>
          <t>BJURHOLM</t>
        </is>
      </c>
      <c r="G334" t="n">
        <v>0.3</v>
      </c>
      <c r="H334" t="n">
        <v>0</v>
      </c>
      <c r="I334" t="n">
        <v>0</v>
      </c>
      <c r="J334" t="n">
        <v>0</v>
      </c>
      <c r="K334" t="n">
        <v>0</v>
      </c>
      <c r="L334" t="n">
        <v>0</v>
      </c>
      <c r="M334" t="n">
        <v>0</v>
      </c>
      <c r="N334" t="n">
        <v>0</v>
      </c>
      <c r="O334" t="n">
        <v>0</v>
      </c>
      <c r="P334" t="n">
        <v>0</v>
      </c>
      <c r="Q334" t="n">
        <v>0</v>
      </c>
      <c r="R334" s="2" t="inlineStr"/>
    </row>
    <row r="335" ht="15" customHeight="1">
      <c r="A335" t="inlineStr">
        <is>
          <t>A 34347-2025</t>
        </is>
      </c>
      <c r="B335" s="1" t="n">
        <v>45846.4693287037</v>
      </c>
      <c r="C335" s="1" t="n">
        <v>45878</v>
      </c>
      <c r="D335" t="inlineStr">
        <is>
          <t>VÄSTERBOTTENS LÄN</t>
        </is>
      </c>
      <c r="E335" t="inlineStr">
        <is>
          <t>BJURHOLM</t>
        </is>
      </c>
      <c r="G335" t="n">
        <v>0.8</v>
      </c>
      <c r="H335" t="n">
        <v>0</v>
      </c>
      <c r="I335" t="n">
        <v>0</v>
      </c>
      <c r="J335" t="n">
        <v>0</v>
      </c>
      <c r="K335" t="n">
        <v>0</v>
      </c>
      <c r="L335" t="n">
        <v>0</v>
      </c>
      <c r="M335" t="n">
        <v>0</v>
      </c>
      <c r="N335" t="n">
        <v>0</v>
      </c>
      <c r="O335" t="n">
        <v>0</v>
      </c>
      <c r="P335" t="n">
        <v>0</v>
      </c>
      <c r="Q335" t="n">
        <v>0</v>
      </c>
      <c r="R335" s="2" t="inlineStr"/>
    </row>
    <row r="336" ht="15" customHeight="1">
      <c r="A336" t="inlineStr">
        <is>
          <t>A 44187-2023</t>
        </is>
      </c>
      <c r="B336" s="1" t="n">
        <v>45183</v>
      </c>
      <c r="C336" s="1" t="n">
        <v>45878</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9688-2024</t>
        </is>
      </c>
      <c r="B337" s="1" t="n">
        <v>45362</v>
      </c>
      <c r="C337" s="1" t="n">
        <v>45878</v>
      </c>
      <c r="D337" t="inlineStr">
        <is>
          <t>VÄSTERBOTTENS LÄN</t>
        </is>
      </c>
      <c r="E337" t="inlineStr">
        <is>
          <t>BJURHOLM</t>
        </is>
      </c>
      <c r="G337" t="n">
        <v>1.9</v>
      </c>
      <c r="H337" t="n">
        <v>0</v>
      </c>
      <c r="I337" t="n">
        <v>0</v>
      </c>
      <c r="J337" t="n">
        <v>0</v>
      </c>
      <c r="K337" t="n">
        <v>0</v>
      </c>
      <c r="L337" t="n">
        <v>0</v>
      </c>
      <c r="M337" t="n">
        <v>0</v>
      </c>
      <c r="N337" t="n">
        <v>0</v>
      </c>
      <c r="O337" t="n">
        <v>0</v>
      </c>
      <c r="P337" t="n">
        <v>0</v>
      </c>
      <c r="Q337" t="n">
        <v>0</v>
      </c>
      <c r="R337" s="2" t="inlineStr"/>
    </row>
    <row r="338" ht="15" customHeight="1">
      <c r="A338" t="inlineStr">
        <is>
          <t>A 11437-2025</t>
        </is>
      </c>
      <c r="B338" s="1" t="n">
        <v>45726.61538194444</v>
      </c>
      <c r="C338" s="1" t="n">
        <v>45878</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22852-2023</t>
        </is>
      </c>
      <c r="B339" s="1" t="n">
        <v>45072.47021990741</v>
      </c>
      <c r="C339" s="1" t="n">
        <v>45878</v>
      </c>
      <c r="D339" t="inlineStr">
        <is>
          <t>VÄSTERBOTTENS LÄN</t>
        </is>
      </c>
      <c r="E339" t="inlineStr">
        <is>
          <t>BJURHOLM</t>
        </is>
      </c>
      <c r="G339" t="n">
        <v>0.2</v>
      </c>
      <c r="H339" t="n">
        <v>0</v>
      </c>
      <c r="I339" t="n">
        <v>0</v>
      </c>
      <c r="J339" t="n">
        <v>0</v>
      </c>
      <c r="K339" t="n">
        <v>0</v>
      </c>
      <c r="L339" t="n">
        <v>0</v>
      </c>
      <c r="M339" t="n">
        <v>0</v>
      </c>
      <c r="N339" t="n">
        <v>0</v>
      </c>
      <c r="O339" t="n">
        <v>0</v>
      </c>
      <c r="P339" t="n">
        <v>0</v>
      </c>
      <c r="Q339" t="n">
        <v>0</v>
      </c>
      <c r="R339" s="2" t="inlineStr"/>
    </row>
    <row r="340" ht="15" customHeight="1">
      <c r="A340" t="inlineStr">
        <is>
          <t>A 28022-2025</t>
        </is>
      </c>
      <c r="B340" s="1" t="n">
        <v>45817.61836805556</v>
      </c>
      <c r="C340" s="1" t="n">
        <v>45878</v>
      </c>
      <c r="D340" t="inlineStr">
        <is>
          <t>VÄSTERBOTTENS LÄN</t>
        </is>
      </c>
      <c r="E340" t="inlineStr">
        <is>
          <t>BJURHOLM</t>
        </is>
      </c>
      <c r="F340" t="inlineStr">
        <is>
          <t>Holmen skog AB</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28032-2025</t>
        </is>
      </c>
      <c r="B341" s="1" t="n">
        <v>45817.63113425926</v>
      </c>
      <c r="C341" s="1" t="n">
        <v>45878</v>
      </c>
      <c r="D341" t="inlineStr">
        <is>
          <t>VÄSTERBOTTENS LÄN</t>
        </is>
      </c>
      <c r="E341" t="inlineStr">
        <is>
          <t>BJURHOLM</t>
        </is>
      </c>
      <c r="F341" t="inlineStr">
        <is>
          <t>Holmen skog AB</t>
        </is>
      </c>
      <c r="G341" t="n">
        <v>4.7</v>
      </c>
      <c r="H341" t="n">
        <v>0</v>
      </c>
      <c r="I341" t="n">
        <v>0</v>
      </c>
      <c r="J341" t="n">
        <v>0</v>
      </c>
      <c r="K341" t="n">
        <v>0</v>
      </c>
      <c r="L341" t="n">
        <v>0</v>
      </c>
      <c r="M341" t="n">
        <v>0</v>
      </c>
      <c r="N341" t="n">
        <v>0</v>
      </c>
      <c r="O341" t="n">
        <v>0</v>
      </c>
      <c r="P341" t="n">
        <v>0</v>
      </c>
      <c r="Q341" t="n">
        <v>0</v>
      </c>
      <c r="R341" s="2" t="inlineStr"/>
    </row>
    <row r="342" ht="15" customHeight="1">
      <c r="A342" t="inlineStr">
        <is>
          <t>A 17060-2025</t>
        </is>
      </c>
      <c r="B342" s="1" t="n">
        <v>45755.60756944444</v>
      </c>
      <c r="C342" s="1" t="n">
        <v>45878</v>
      </c>
      <c r="D342" t="inlineStr">
        <is>
          <t>VÄSTERBOTTENS LÄN</t>
        </is>
      </c>
      <c r="E342" t="inlineStr">
        <is>
          <t>BJURHOLM</t>
        </is>
      </c>
      <c r="G342" t="n">
        <v>7.7</v>
      </c>
      <c r="H342" t="n">
        <v>0</v>
      </c>
      <c r="I342" t="n">
        <v>0</v>
      </c>
      <c r="J342" t="n">
        <v>0</v>
      </c>
      <c r="K342" t="n">
        <v>0</v>
      </c>
      <c r="L342" t="n">
        <v>0</v>
      </c>
      <c r="M342" t="n">
        <v>0</v>
      </c>
      <c r="N342" t="n">
        <v>0</v>
      </c>
      <c r="O342" t="n">
        <v>0</v>
      </c>
      <c r="P342" t="n">
        <v>0</v>
      </c>
      <c r="Q342" t="n">
        <v>0</v>
      </c>
      <c r="R342" s="2" t="inlineStr"/>
    </row>
    <row r="343" ht="15" customHeight="1">
      <c r="A343" t="inlineStr">
        <is>
          <t>A 34712-2023</t>
        </is>
      </c>
      <c r="B343" s="1" t="n">
        <v>45139</v>
      </c>
      <c r="C343" s="1" t="n">
        <v>45878</v>
      </c>
      <c r="D343" t="inlineStr">
        <is>
          <t>VÄSTERBOTTENS LÄN</t>
        </is>
      </c>
      <c r="E343" t="inlineStr">
        <is>
          <t>BJURHOLM</t>
        </is>
      </c>
      <c r="G343" t="n">
        <v>1.7</v>
      </c>
      <c r="H343" t="n">
        <v>0</v>
      </c>
      <c r="I343" t="n">
        <v>0</v>
      </c>
      <c r="J343" t="n">
        <v>0</v>
      </c>
      <c r="K343" t="n">
        <v>0</v>
      </c>
      <c r="L343" t="n">
        <v>0</v>
      </c>
      <c r="M343" t="n">
        <v>0</v>
      </c>
      <c r="N343" t="n">
        <v>0</v>
      </c>
      <c r="O343" t="n">
        <v>0</v>
      </c>
      <c r="P343" t="n">
        <v>0</v>
      </c>
      <c r="Q343" t="n">
        <v>0</v>
      </c>
      <c r="R343" s="2" t="inlineStr"/>
    </row>
    <row r="344" ht="15" customHeight="1">
      <c r="A344" t="inlineStr">
        <is>
          <t>A 80-2024</t>
        </is>
      </c>
      <c r="B344" s="1" t="n">
        <v>45293</v>
      </c>
      <c r="C344" s="1" t="n">
        <v>45878</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60659-2023</t>
        </is>
      </c>
      <c r="B345" s="1" t="n">
        <v>45259</v>
      </c>
      <c r="C345" s="1" t="n">
        <v>45878</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56819-2020</t>
        </is>
      </c>
      <c r="B346" s="1" t="n">
        <v>44138</v>
      </c>
      <c r="C346" s="1" t="n">
        <v>45878</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21814-2024</t>
        </is>
      </c>
      <c r="B347" s="1" t="n">
        <v>45442</v>
      </c>
      <c r="C347" s="1" t="n">
        <v>45878</v>
      </c>
      <c r="D347" t="inlineStr">
        <is>
          <t>VÄSTERBOTTENS LÄN</t>
        </is>
      </c>
      <c r="E347" t="inlineStr">
        <is>
          <t>BJURHOLM</t>
        </is>
      </c>
      <c r="G347" t="n">
        <v>7.4</v>
      </c>
      <c r="H347" t="n">
        <v>0</v>
      </c>
      <c r="I347" t="n">
        <v>0</v>
      </c>
      <c r="J347" t="n">
        <v>0</v>
      </c>
      <c r="K347" t="n">
        <v>0</v>
      </c>
      <c r="L347" t="n">
        <v>0</v>
      </c>
      <c r="M347" t="n">
        <v>0</v>
      </c>
      <c r="N347" t="n">
        <v>0</v>
      </c>
      <c r="O347" t="n">
        <v>0</v>
      </c>
      <c r="P347" t="n">
        <v>0</v>
      </c>
      <c r="Q347" t="n">
        <v>0</v>
      </c>
      <c r="R347" s="2" t="inlineStr"/>
    </row>
    <row r="348" ht="15" customHeight="1">
      <c r="A348" t="inlineStr">
        <is>
          <t>A 33711-2023</t>
        </is>
      </c>
      <c r="B348" s="1" t="n">
        <v>45132</v>
      </c>
      <c r="C348" s="1" t="n">
        <v>45878</v>
      </c>
      <c r="D348" t="inlineStr">
        <is>
          <t>VÄSTERBOTTENS LÄN</t>
        </is>
      </c>
      <c r="E348" t="inlineStr">
        <is>
          <t>BJURHOLM</t>
        </is>
      </c>
      <c r="F348" t="inlineStr">
        <is>
          <t>SCA</t>
        </is>
      </c>
      <c r="G348" t="n">
        <v>70.09999999999999</v>
      </c>
      <c r="H348" t="n">
        <v>0</v>
      </c>
      <c r="I348" t="n">
        <v>0</v>
      </c>
      <c r="J348" t="n">
        <v>0</v>
      </c>
      <c r="K348" t="n">
        <v>0</v>
      </c>
      <c r="L348" t="n">
        <v>0</v>
      </c>
      <c r="M348" t="n">
        <v>0</v>
      </c>
      <c r="N348" t="n">
        <v>0</v>
      </c>
      <c r="O348" t="n">
        <v>0</v>
      </c>
      <c r="P348" t="n">
        <v>0</v>
      </c>
      <c r="Q348" t="n">
        <v>0</v>
      </c>
      <c r="R348" s="2" t="inlineStr"/>
    </row>
    <row r="349" ht="15" customHeight="1">
      <c r="A349" t="inlineStr">
        <is>
          <t>A 23183-2024</t>
        </is>
      </c>
      <c r="B349" s="1" t="n">
        <v>45450.94471064815</v>
      </c>
      <c r="C349" s="1" t="n">
        <v>45878</v>
      </c>
      <c r="D349" t="inlineStr">
        <is>
          <t>VÄSTERBOTTENS LÄN</t>
        </is>
      </c>
      <c r="E349" t="inlineStr">
        <is>
          <t>BJURHOLM</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23206-2024</t>
        </is>
      </c>
      <c r="B350" s="1" t="n">
        <v>45451</v>
      </c>
      <c r="C350" s="1" t="n">
        <v>45878</v>
      </c>
      <c r="D350" t="inlineStr">
        <is>
          <t>VÄSTERBOTTENS LÄN</t>
        </is>
      </c>
      <c r="E350" t="inlineStr">
        <is>
          <t>BJURHOLM</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36104-2025</t>
        </is>
      </c>
      <c r="B351" s="1" t="n">
        <v>45866.55498842592</v>
      </c>
      <c r="C351" s="1" t="n">
        <v>45878</v>
      </c>
      <c r="D351" t="inlineStr">
        <is>
          <t>VÄSTERBOTTENS LÄN</t>
        </is>
      </c>
      <c r="E351" t="inlineStr">
        <is>
          <t>BJURHOLM</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20778-2024</t>
        </is>
      </c>
      <c r="B352" s="1" t="n">
        <v>45436.94701388889</v>
      </c>
      <c r="C352" s="1" t="n">
        <v>45878</v>
      </c>
      <c r="D352" t="inlineStr">
        <is>
          <t>VÄSTERBOTTENS LÄN</t>
        </is>
      </c>
      <c r="E352" t="inlineStr">
        <is>
          <t>BJURHOLM</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59181-2023</t>
        </is>
      </c>
      <c r="B353" s="1" t="n">
        <v>45251</v>
      </c>
      <c r="C353" s="1" t="n">
        <v>45878</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29301-2025</t>
        </is>
      </c>
      <c r="B354" s="1" t="n">
        <v>45824.45652777778</v>
      </c>
      <c r="C354" s="1" t="n">
        <v>45878</v>
      </c>
      <c r="D354" t="inlineStr">
        <is>
          <t>VÄSTERBOTTENS LÄN</t>
        </is>
      </c>
      <c r="E354" t="inlineStr">
        <is>
          <t>BJURHOLM</t>
        </is>
      </c>
      <c r="G354" t="n">
        <v>2.3</v>
      </c>
      <c r="H354" t="n">
        <v>0</v>
      </c>
      <c r="I354" t="n">
        <v>0</v>
      </c>
      <c r="J354" t="n">
        <v>0</v>
      </c>
      <c r="K354" t="n">
        <v>0</v>
      </c>
      <c r="L354" t="n">
        <v>0</v>
      </c>
      <c r="M354" t="n">
        <v>0</v>
      </c>
      <c r="N354" t="n">
        <v>0</v>
      </c>
      <c r="O354" t="n">
        <v>0</v>
      </c>
      <c r="P354" t="n">
        <v>0</v>
      </c>
      <c r="Q354" t="n">
        <v>0</v>
      </c>
      <c r="R354" s="2" t="inlineStr"/>
    </row>
    <row r="355" ht="15" customHeight="1">
      <c r="A355" t="inlineStr">
        <is>
          <t>A 36264-2025</t>
        </is>
      </c>
      <c r="B355" s="1" t="n">
        <v>45867.61530092593</v>
      </c>
      <c r="C355" s="1" t="n">
        <v>45878</v>
      </c>
      <c r="D355" t="inlineStr">
        <is>
          <t>VÄSTERBOTTENS LÄN</t>
        </is>
      </c>
      <c r="E355" t="inlineStr">
        <is>
          <t>BJURHOLM</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29712-2025</t>
        </is>
      </c>
      <c r="B356" s="1" t="n">
        <v>45825.56524305556</v>
      </c>
      <c r="C356" s="1" t="n">
        <v>45878</v>
      </c>
      <c r="D356" t="inlineStr">
        <is>
          <t>VÄSTERBOTTENS LÄN</t>
        </is>
      </c>
      <c r="E356" t="inlineStr">
        <is>
          <t>BJURHOLM</t>
        </is>
      </c>
      <c r="G356" t="n">
        <v>1.8</v>
      </c>
      <c r="H356" t="n">
        <v>0</v>
      </c>
      <c r="I356" t="n">
        <v>0</v>
      </c>
      <c r="J356" t="n">
        <v>0</v>
      </c>
      <c r="K356" t="n">
        <v>0</v>
      </c>
      <c r="L356" t="n">
        <v>0</v>
      </c>
      <c r="M356" t="n">
        <v>0</v>
      </c>
      <c r="N356" t="n">
        <v>0</v>
      </c>
      <c r="O356" t="n">
        <v>0</v>
      </c>
      <c r="P356" t="n">
        <v>0</v>
      </c>
      <c r="Q356" t="n">
        <v>0</v>
      </c>
      <c r="R356" s="2" t="inlineStr"/>
    </row>
    <row r="357" ht="15" customHeight="1">
      <c r="A357" t="inlineStr">
        <is>
          <t>A 15910-2025</t>
        </is>
      </c>
      <c r="B357" s="1" t="n">
        <v>45749.44096064815</v>
      </c>
      <c r="C357" s="1" t="n">
        <v>45878</v>
      </c>
      <c r="D357" t="inlineStr">
        <is>
          <t>VÄSTERBOTTENS LÄN</t>
        </is>
      </c>
      <c r="E357" t="inlineStr">
        <is>
          <t>BJURHOLM</t>
        </is>
      </c>
      <c r="G357" t="n">
        <v>6</v>
      </c>
      <c r="H357" t="n">
        <v>0</v>
      </c>
      <c r="I357" t="n">
        <v>0</v>
      </c>
      <c r="J357" t="n">
        <v>0</v>
      </c>
      <c r="K357" t="n">
        <v>0</v>
      </c>
      <c r="L357" t="n">
        <v>0</v>
      </c>
      <c r="M357" t="n">
        <v>0</v>
      </c>
      <c r="N357" t="n">
        <v>0</v>
      </c>
      <c r="O357" t="n">
        <v>0</v>
      </c>
      <c r="P357" t="n">
        <v>0</v>
      </c>
      <c r="Q357" t="n">
        <v>0</v>
      </c>
      <c r="R357" s="2" t="inlineStr"/>
    </row>
    <row r="358" ht="15" customHeight="1">
      <c r="A358" t="inlineStr">
        <is>
          <t>A 61654-2022</t>
        </is>
      </c>
      <c r="B358" s="1" t="n">
        <v>44916.9260300926</v>
      </c>
      <c r="C358" s="1" t="n">
        <v>45878</v>
      </c>
      <c r="D358" t="inlineStr">
        <is>
          <t>VÄSTERBOTTENS LÄN</t>
        </is>
      </c>
      <c r="E358" t="inlineStr">
        <is>
          <t>BJURHOLM</t>
        </is>
      </c>
      <c r="G358" t="n">
        <v>0.7</v>
      </c>
      <c r="H358" t="n">
        <v>0</v>
      </c>
      <c r="I358" t="n">
        <v>0</v>
      </c>
      <c r="J358" t="n">
        <v>0</v>
      </c>
      <c r="K358" t="n">
        <v>0</v>
      </c>
      <c r="L358" t="n">
        <v>0</v>
      </c>
      <c r="M358" t="n">
        <v>0</v>
      </c>
      <c r="N358" t="n">
        <v>0</v>
      </c>
      <c r="O358" t="n">
        <v>0</v>
      </c>
      <c r="P358" t="n">
        <v>0</v>
      </c>
      <c r="Q358" t="n">
        <v>0</v>
      </c>
      <c r="R358" s="2" t="inlineStr"/>
    </row>
    <row r="359" ht="15" customHeight="1">
      <c r="A359" t="inlineStr">
        <is>
          <t>A 42004-2022</t>
        </is>
      </c>
      <c r="B359" s="1" t="n">
        <v>44827</v>
      </c>
      <c r="C359" s="1" t="n">
        <v>45878</v>
      </c>
      <c r="D359" t="inlineStr">
        <is>
          <t>VÄSTERBOTTENS LÄN</t>
        </is>
      </c>
      <c r="E359" t="inlineStr">
        <is>
          <t>BJURHOLM</t>
        </is>
      </c>
      <c r="G359" t="n">
        <v>5.9</v>
      </c>
      <c r="H359" t="n">
        <v>0</v>
      </c>
      <c r="I359" t="n">
        <v>0</v>
      </c>
      <c r="J359" t="n">
        <v>0</v>
      </c>
      <c r="K359" t="n">
        <v>0</v>
      </c>
      <c r="L359" t="n">
        <v>0</v>
      </c>
      <c r="M359" t="n">
        <v>0</v>
      </c>
      <c r="N359" t="n">
        <v>0</v>
      </c>
      <c r="O359" t="n">
        <v>0</v>
      </c>
      <c r="P359" t="n">
        <v>0</v>
      </c>
      <c r="Q359" t="n">
        <v>0</v>
      </c>
      <c r="R359" s="2" t="inlineStr"/>
    </row>
    <row r="360" ht="15" customHeight="1">
      <c r="A360" t="inlineStr">
        <is>
          <t>A 36996-2025</t>
        </is>
      </c>
      <c r="B360" s="1" t="n">
        <v>45874.67782407408</v>
      </c>
      <c r="C360" s="1" t="n">
        <v>45878</v>
      </c>
      <c r="D360" t="inlineStr">
        <is>
          <t>VÄSTERBOTTENS LÄN</t>
        </is>
      </c>
      <c r="E360" t="inlineStr">
        <is>
          <t>BJURHOLM</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33460-2022</t>
        </is>
      </c>
      <c r="B361" s="1" t="n">
        <v>44788.6674537037</v>
      </c>
      <c r="C361" s="1" t="n">
        <v>45878</v>
      </c>
      <c r="D361" t="inlineStr">
        <is>
          <t>VÄSTERBOTTENS LÄN</t>
        </is>
      </c>
      <c r="E361" t="inlineStr">
        <is>
          <t>BJURHOLM</t>
        </is>
      </c>
      <c r="G361" t="n">
        <v>2.2</v>
      </c>
      <c r="H361" t="n">
        <v>0</v>
      </c>
      <c r="I361" t="n">
        <v>0</v>
      </c>
      <c r="J361" t="n">
        <v>0</v>
      </c>
      <c r="K361" t="n">
        <v>0</v>
      </c>
      <c r="L361" t="n">
        <v>0</v>
      </c>
      <c r="M361" t="n">
        <v>0</v>
      </c>
      <c r="N361" t="n">
        <v>0</v>
      </c>
      <c r="O361" t="n">
        <v>0</v>
      </c>
      <c r="P361" t="n">
        <v>0</v>
      </c>
      <c r="Q361" t="n">
        <v>0</v>
      </c>
      <c r="R361" s="2" t="inlineStr"/>
    </row>
    <row r="362" ht="15" customHeight="1">
      <c r="A362" t="inlineStr">
        <is>
          <t>A 36480-2024</t>
        </is>
      </c>
      <c r="B362" s="1" t="n">
        <v>45537</v>
      </c>
      <c r="C362" s="1" t="n">
        <v>45878</v>
      </c>
      <c r="D362" t="inlineStr">
        <is>
          <t>VÄSTERBOTTENS LÄN</t>
        </is>
      </c>
      <c r="E362" t="inlineStr">
        <is>
          <t>BJURHOLM</t>
        </is>
      </c>
      <c r="G362" t="n">
        <v>3.5</v>
      </c>
      <c r="H362" t="n">
        <v>0</v>
      </c>
      <c r="I362" t="n">
        <v>0</v>
      </c>
      <c r="J362" t="n">
        <v>0</v>
      </c>
      <c r="K362" t="n">
        <v>0</v>
      </c>
      <c r="L362" t="n">
        <v>0</v>
      </c>
      <c r="M362" t="n">
        <v>0</v>
      </c>
      <c r="N362" t="n">
        <v>0</v>
      </c>
      <c r="O362" t="n">
        <v>0</v>
      </c>
      <c r="P362" t="n">
        <v>0</v>
      </c>
      <c r="Q362" t="n">
        <v>0</v>
      </c>
      <c r="R362" s="2" t="inlineStr"/>
    </row>
    <row r="363" ht="15" customHeight="1">
      <c r="A363" t="inlineStr">
        <is>
          <t>A 7683-2024</t>
        </is>
      </c>
      <c r="B363" s="1" t="n">
        <v>45348</v>
      </c>
      <c r="C363" s="1" t="n">
        <v>45878</v>
      </c>
      <c r="D363" t="inlineStr">
        <is>
          <t>VÄSTERBOTTENS LÄN</t>
        </is>
      </c>
      <c r="E363" t="inlineStr">
        <is>
          <t>BJURHOLM</t>
        </is>
      </c>
      <c r="G363" t="n">
        <v>11.5</v>
      </c>
      <c r="H363" t="n">
        <v>0</v>
      </c>
      <c r="I363" t="n">
        <v>0</v>
      </c>
      <c r="J363" t="n">
        <v>0</v>
      </c>
      <c r="K363" t="n">
        <v>0</v>
      </c>
      <c r="L363" t="n">
        <v>0</v>
      </c>
      <c r="M363" t="n">
        <v>0</v>
      </c>
      <c r="N363" t="n">
        <v>0</v>
      </c>
      <c r="O363" t="n">
        <v>0</v>
      </c>
      <c r="P363" t="n">
        <v>0</v>
      </c>
      <c r="Q363" t="n">
        <v>0</v>
      </c>
      <c r="R363" s="2" t="inlineStr"/>
    </row>
    <row r="364" ht="15" customHeight="1">
      <c r="A364" t="inlineStr">
        <is>
          <t>A 7728-2024</t>
        </is>
      </c>
      <c r="B364" s="1" t="n">
        <v>45348</v>
      </c>
      <c r="C364" s="1" t="n">
        <v>45878</v>
      </c>
      <c r="D364" t="inlineStr">
        <is>
          <t>VÄSTERBOTTENS LÄN</t>
        </is>
      </c>
      <c r="E364" t="inlineStr">
        <is>
          <t>BJURHOLM</t>
        </is>
      </c>
      <c r="G364" t="n">
        <v>3.5</v>
      </c>
      <c r="H364" t="n">
        <v>0</v>
      </c>
      <c r="I364" t="n">
        <v>0</v>
      </c>
      <c r="J364" t="n">
        <v>0</v>
      </c>
      <c r="K364" t="n">
        <v>0</v>
      </c>
      <c r="L364" t="n">
        <v>0</v>
      </c>
      <c r="M364" t="n">
        <v>0</v>
      </c>
      <c r="N364" t="n">
        <v>0</v>
      </c>
      <c r="O364" t="n">
        <v>0</v>
      </c>
      <c r="P364" t="n">
        <v>0</v>
      </c>
      <c r="Q364" t="n">
        <v>0</v>
      </c>
      <c r="R364" s="2" t="inlineStr"/>
    </row>
    <row r="365" ht="15" customHeight="1">
      <c r="A365" t="inlineStr">
        <is>
          <t>A 36809-2025</t>
        </is>
      </c>
      <c r="B365" s="1" t="n">
        <v>45873.71912037037</v>
      </c>
      <c r="C365" s="1" t="n">
        <v>45878</v>
      </c>
      <c r="D365" t="inlineStr">
        <is>
          <t>VÄSTERBOTTENS LÄN</t>
        </is>
      </c>
      <c r="E365" t="inlineStr">
        <is>
          <t>BJURHOLM</t>
        </is>
      </c>
      <c r="F365" t="inlineStr">
        <is>
          <t>SCA</t>
        </is>
      </c>
      <c r="G365" t="n">
        <v>5.3</v>
      </c>
      <c r="H365" t="n">
        <v>0</v>
      </c>
      <c r="I365" t="n">
        <v>0</v>
      </c>
      <c r="J365" t="n">
        <v>0</v>
      </c>
      <c r="K365" t="n">
        <v>0</v>
      </c>
      <c r="L365" t="n">
        <v>0</v>
      </c>
      <c r="M365" t="n">
        <v>0</v>
      </c>
      <c r="N365" t="n">
        <v>0</v>
      </c>
      <c r="O365" t="n">
        <v>0</v>
      </c>
      <c r="P365" t="n">
        <v>0</v>
      </c>
      <c r="Q365" t="n">
        <v>0</v>
      </c>
      <c r="R365" s="2" t="inlineStr"/>
    </row>
    <row r="366" ht="15" customHeight="1">
      <c r="A366" t="inlineStr">
        <is>
          <t>A 7418-2024</t>
        </is>
      </c>
      <c r="B366" s="1" t="n">
        <v>45345</v>
      </c>
      <c r="C366" s="1" t="n">
        <v>45878</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36594-2024</t>
        </is>
      </c>
      <c r="B367" s="1" t="n">
        <v>45537</v>
      </c>
      <c r="C367" s="1" t="n">
        <v>45878</v>
      </c>
      <c r="D367" t="inlineStr">
        <is>
          <t>VÄSTERBOTTENS LÄN</t>
        </is>
      </c>
      <c r="E367" t="inlineStr">
        <is>
          <t>BJURHOLM</t>
        </is>
      </c>
      <c r="G367" t="n">
        <v>17.7</v>
      </c>
      <c r="H367" t="n">
        <v>0</v>
      </c>
      <c r="I367" t="n">
        <v>0</v>
      </c>
      <c r="J367" t="n">
        <v>0</v>
      </c>
      <c r="K367" t="n">
        <v>0</v>
      </c>
      <c r="L367" t="n">
        <v>0</v>
      </c>
      <c r="M367" t="n">
        <v>0</v>
      </c>
      <c r="N367" t="n">
        <v>0</v>
      </c>
      <c r="O367" t="n">
        <v>0</v>
      </c>
      <c r="P367" t="n">
        <v>0</v>
      </c>
      <c r="Q367" t="n">
        <v>0</v>
      </c>
      <c r="R367" s="2" t="inlineStr"/>
    </row>
    <row r="368" ht="15" customHeight="1">
      <c r="A368" t="inlineStr">
        <is>
          <t>A 37007-2025</t>
        </is>
      </c>
      <c r="B368" s="1" t="n">
        <v>45874.69827546296</v>
      </c>
      <c r="C368" s="1" t="n">
        <v>45878</v>
      </c>
      <c r="D368" t="inlineStr">
        <is>
          <t>VÄSTERBOTTENS LÄN</t>
        </is>
      </c>
      <c r="E368" t="inlineStr">
        <is>
          <t>BJURHOLM</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5541-2025</t>
        </is>
      </c>
      <c r="B369" s="1" t="n">
        <v>45693.45158564814</v>
      </c>
      <c r="C369" s="1" t="n">
        <v>45878</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34714-2023</t>
        </is>
      </c>
      <c r="B370" s="1" t="n">
        <v>45141.32886574074</v>
      </c>
      <c r="C370" s="1" t="n">
        <v>45878</v>
      </c>
      <c r="D370" t="inlineStr">
        <is>
          <t>VÄSTERBOTTENS LÄN</t>
        </is>
      </c>
      <c r="E370" t="inlineStr">
        <is>
          <t>BJURHOLM</t>
        </is>
      </c>
      <c r="F370" t="inlineStr">
        <is>
          <t>Holmen skog AB</t>
        </is>
      </c>
      <c r="G370" t="n">
        <v>3</v>
      </c>
      <c r="H370" t="n">
        <v>0</v>
      </c>
      <c r="I370" t="n">
        <v>0</v>
      </c>
      <c r="J370" t="n">
        <v>0</v>
      </c>
      <c r="K370" t="n">
        <v>0</v>
      </c>
      <c r="L370" t="n">
        <v>0</v>
      </c>
      <c r="M370" t="n">
        <v>0</v>
      </c>
      <c r="N370" t="n">
        <v>0</v>
      </c>
      <c r="O370" t="n">
        <v>0</v>
      </c>
      <c r="P370" t="n">
        <v>0</v>
      </c>
      <c r="Q370" t="n">
        <v>0</v>
      </c>
      <c r="R370" s="2" t="inlineStr"/>
    </row>
    <row r="371" ht="15" customHeight="1">
      <c r="A371" t="inlineStr">
        <is>
          <t>A 30672-2025</t>
        </is>
      </c>
      <c r="B371" s="1" t="n">
        <v>45831.51869212963</v>
      </c>
      <c r="C371" s="1" t="n">
        <v>45878</v>
      </c>
      <c r="D371" t="inlineStr">
        <is>
          <t>VÄSTERBOTTENS LÄN</t>
        </is>
      </c>
      <c r="E371" t="inlineStr">
        <is>
          <t>BJURHOLM</t>
        </is>
      </c>
      <c r="F371" t="inlineStr">
        <is>
          <t>Sveaskog</t>
        </is>
      </c>
      <c r="G371" t="n">
        <v>20.4</v>
      </c>
      <c r="H371" t="n">
        <v>0</v>
      </c>
      <c r="I371" t="n">
        <v>0</v>
      </c>
      <c r="J371" t="n">
        <v>0</v>
      </c>
      <c r="K371" t="n">
        <v>0</v>
      </c>
      <c r="L371" t="n">
        <v>0</v>
      </c>
      <c r="M371" t="n">
        <v>0</v>
      </c>
      <c r="N371" t="n">
        <v>0</v>
      </c>
      <c r="O371" t="n">
        <v>0</v>
      </c>
      <c r="P371" t="n">
        <v>0</v>
      </c>
      <c r="Q371" t="n">
        <v>0</v>
      </c>
      <c r="R371" s="2" t="inlineStr"/>
    </row>
    <row r="372" ht="15" customHeight="1">
      <c r="A372" t="inlineStr">
        <is>
          <t>A 30675-2025</t>
        </is>
      </c>
      <c r="B372" s="1" t="n">
        <v>45831.52111111111</v>
      </c>
      <c r="C372" s="1" t="n">
        <v>45878</v>
      </c>
      <c r="D372" t="inlineStr">
        <is>
          <t>VÄSTERBOTTENS LÄN</t>
        </is>
      </c>
      <c r="E372" t="inlineStr">
        <is>
          <t>BJURHOLM</t>
        </is>
      </c>
      <c r="F372" t="inlineStr">
        <is>
          <t>Sveaskog</t>
        </is>
      </c>
      <c r="G372" t="n">
        <v>18.7</v>
      </c>
      <c r="H372" t="n">
        <v>0</v>
      </c>
      <c r="I372" t="n">
        <v>0</v>
      </c>
      <c r="J372" t="n">
        <v>0</v>
      </c>
      <c r="K372" t="n">
        <v>0</v>
      </c>
      <c r="L372" t="n">
        <v>0</v>
      </c>
      <c r="M372" t="n">
        <v>0</v>
      </c>
      <c r="N372" t="n">
        <v>0</v>
      </c>
      <c r="O372" t="n">
        <v>0</v>
      </c>
      <c r="P372" t="n">
        <v>0</v>
      </c>
      <c r="Q372" t="n">
        <v>0</v>
      </c>
      <c r="R372" s="2" t="inlineStr"/>
    </row>
    <row r="373" ht="15" customHeight="1">
      <c r="A373" t="inlineStr">
        <is>
          <t>A 25099-2025</t>
        </is>
      </c>
      <c r="B373" s="1" t="n">
        <v>45800</v>
      </c>
      <c r="C373" s="1" t="n">
        <v>45878</v>
      </c>
      <c r="D373" t="inlineStr">
        <is>
          <t>VÄSTERBOTTENS LÄN</t>
        </is>
      </c>
      <c r="E373" t="inlineStr">
        <is>
          <t>BJURHOLM</t>
        </is>
      </c>
      <c r="F373" t="inlineStr">
        <is>
          <t>SCA</t>
        </is>
      </c>
      <c r="G373" t="n">
        <v>7.8</v>
      </c>
      <c r="H373" t="n">
        <v>0</v>
      </c>
      <c r="I373" t="n">
        <v>0</v>
      </c>
      <c r="J373" t="n">
        <v>0</v>
      </c>
      <c r="K373" t="n">
        <v>0</v>
      </c>
      <c r="L373" t="n">
        <v>0</v>
      </c>
      <c r="M373" t="n">
        <v>0</v>
      </c>
      <c r="N373" t="n">
        <v>0</v>
      </c>
      <c r="O373" t="n">
        <v>0</v>
      </c>
      <c r="P373" t="n">
        <v>0</v>
      </c>
      <c r="Q373" t="n">
        <v>0</v>
      </c>
      <c r="R373" s="2" t="inlineStr"/>
    </row>
    <row r="374" ht="15" customHeight="1">
      <c r="A374" t="inlineStr">
        <is>
          <t>A 31116-2025</t>
        </is>
      </c>
      <c r="B374" s="1" t="n">
        <v>45832.61597222222</v>
      </c>
      <c r="C374" s="1" t="n">
        <v>45878</v>
      </c>
      <c r="D374" t="inlineStr">
        <is>
          <t>VÄSTERBOTTENS LÄN</t>
        </is>
      </c>
      <c r="E374" t="inlineStr">
        <is>
          <t>BJURHOLM</t>
        </is>
      </c>
      <c r="G374" t="n">
        <v>33.5</v>
      </c>
      <c r="H374" t="n">
        <v>0</v>
      </c>
      <c r="I374" t="n">
        <v>0</v>
      </c>
      <c r="J374" t="n">
        <v>0</v>
      </c>
      <c r="K374" t="n">
        <v>0</v>
      </c>
      <c r="L374" t="n">
        <v>0</v>
      </c>
      <c r="M374" t="n">
        <v>0</v>
      </c>
      <c r="N374" t="n">
        <v>0</v>
      </c>
      <c r="O374" t="n">
        <v>0</v>
      </c>
      <c r="P374" t="n">
        <v>0</v>
      </c>
      <c r="Q374" t="n">
        <v>0</v>
      </c>
      <c r="R374" s="2" t="inlineStr"/>
    </row>
    <row r="375" ht="15" customHeight="1">
      <c r="A375" t="inlineStr">
        <is>
          <t>A 36901-2025</t>
        </is>
      </c>
      <c r="B375" s="1" t="n">
        <v>45874.48631944445</v>
      </c>
      <c r="C375" s="1" t="n">
        <v>45878</v>
      </c>
      <c r="D375" t="inlineStr">
        <is>
          <t>VÄSTERBOTTENS LÄN</t>
        </is>
      </c>
      <c r="E375" t="inlineStr">
        <is>
          <t>BJURHOLM</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30182-2023</t>
        </is>
      </c>
      <c r="B376" s="1" t="n">
        <v>45099</v>
      </c>
      <c r="C376" s="1" t="n">
        <v>45878</v>
      </c>
      <c r="D376" t="inlineStr">
        <is>
          <t>VÄSTERBOTTENS LÄN</t>
        </is>
      </c>
      <c r="E376" t="inlineStr">
        <is>
          <t>BJURHOLM</t>
        </is>
      </c>
      <c r="G376" t="n">
        <v>2.3</v>
      </c>
      <c r="H376" t="n">
        <v>0</v>
      </c>
      <c r="I376" t="n">
        <v>0</v>
      </c>
      <c r="J376" t="n">
        <v>0</v>
      </c>
      <c r="K376" t="n">
        <v>0</v>
      </c>
      <c r="L376" t="n">
        <v>0</v>
      </c>
      <c r="M376" t="n">
        <v>0</v>
      </c>
      <c r="N376" t="n">
        <v>0</v>
      </c>
      <c r="O376" t="n">
        <v>0</v>
      </c>
      <c r="P376" t="n">
        <v>0</v>
      </c>
      <c r="Q376" t="n">
        <v>0</v>
      </c>
      <c r="R376" s="2" t="inlineStr"/>
    </row>
    <row r="377" ht="15" customHeight="1">
      <c r="A377" t="inlineStr">
        <is>
          <t>A 11729-2025</t>
        </is>
      </c>
      <c r="B377" s="1" t="n">
        <v>45727.61769675926</v>
      </c>
      <c r="C377" s="1" t="n">
        <v>45878</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37046-2025</t>
        </is>
      </c>
      <c r="B378" s="1" t="n">
        <v>45875.34476851852</v>
      </c>
      <c r="C378" s="1" t="n">
        <v>45878</v>
      </c>
      <c r="D378" t="inlineStr">
        <is>
          <t>VÄSTERBOTTENS LÄN</t>
        </is>
      </c>
      <c r="E378" t="inlineStr">
        <is>
          <t>BJURHOLM</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37199-2025</t>
        </is>
      </c>
      <c r="B379" s="1" t="n">
        <v>45875.67760416667</v>
      </c>
      <c r="C379" s="1" t="n">
        <v>45878</v>
      </c>
      <c r="D379" t="inlineStr">
        <is>
          <t>VÄSTERBOTTENS LÄN</t>
        </is>
      </c>
      <c r="E379" t="inlineStr">
        <is>
          <t>BJURHOLM</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31637-2025</t>
        </is>
      </c>
      <c r="B380" s="1" t="n">
        <v>45834.33939814815</v>
      </c>
      <c r="C380" s="1" t="n">
        <v>45878</v>
      </c>
      <c r="D380" t="inlineStr">
        <is>
          <t>VÄSTERBOTTENS LÄN</t>
        </is>
      </c>
      <c r="E380" t="inlineStr">
        <is>
          <t>BJURHOLM</t>
        </is>
      </c>
      <c r="F380" t="inlineStr">
        <is>
          <t>Holmen skog AB</t>
        </is>
      </c>
      <c r="G380" t="n">
        <v>0.6</v>
      </c>
      <c r="H380" t="n">
        <v>0</v>
      </c>
      <c r="I380" t="n">
        <v>0</v>
      </c>
      <c r="J380" t="n">
        <v>0</v>
      </c>
      <c r="K380" t="n">
        <v>0</v>
      </c>
      <c r="L380" t="n">
        <v>0</v>
      </c>
      <c r="M380" t="n">
        <v>0</v>
      </c>
      <c r="N380" t="n">
        <v>0</v>
      </c>
      <c r="O380" t="n">
        <v>0</v>
      </c>
      <c r="P380" t="n">
        <v>0</v>
      </c>
      <c r="Q380" t="n">
        <v>0</v>
      </c>
      <c r="R380" s="2" t="inlineStr"/>
    </row>
    <row r="381" ht="15" customHeight="1">
      <c r="A381" t="inlineStr">
        <is>
          <t>A 23205-2024</t>
        </is>
      </c>
      <c r="B381" s="1" t="n">
        <v>45451</v>
      </c>
      <c r="C381" s="1" t="n">
        <v>45878</v>
      </c>
      <c r="D381" t="inlineStr">
        <is>
          <t>VÄSTERBOTTENS LÄN</t>
        </is>
      </c>
      <c r="E381" t="inlineStr">
        <is>
          <t>BJURHOLM</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36416-2024</t>
        </is>
      </c>
      <c r="B382" s="1" t="n">
        <v>45536</v>
      </c>
      <c r="C382" s="1" t="n">
        <v>45878</v>
      </c>
      <c r="D382" t="inlineStr">
        <is>
          <t>VÄSTERBOTTENS LÄN</t>
        </is>
      </c>
      <c r="E382" t="inlineStr">
        <is>
          <t>BJURHOLM</t>
        </is>
      </c>
      <c r="G382" t="n">
        <v>0</v>
      </c>
      <c r="H382" t="n">
        <v>0</v>
      </c>
      <c r="I382" t="n">
        <v>0</v>
      </c>
      <c r="J382" t="n">
        <v>0</v>
      </c>
      <c r="K382" t="n">
        <v>0</v>
      </c>
      <c r="L382" t="n">
        <v>0</v>
      </c>
      <c r="M382" t="n">
        <v>0</v>
      </c>
      <c r="N382" t="n">
        <v>0</v>
      </c>
      <c r="O382" t="n">
        <v>0</v>
      </c>
      <c r="P382" t="n">
        <v>0</v>
      </c>
      <c r="Q382" t="n">
        <v>0</v>
      </c>
      <c r="R382" s="2" t="inlineStr"/>
    </row>
    <row r="383" ht="15" customHeight="1">
      <c r="A383" t="inlineStr">
        <is>
          <t>A 41505-2021</t>
        </is>
      </c>
      <c r="B383" s="1" t="n">
        <v>44424.94164351852</v>
      </c>
      <c r="C383" s="1" t="n">
        <v>45878</v>
      </c>
      <c r="D383" t="inlineStr">
        <is>
          <t>VÄSTERBOTTENS LÄN</t>
        </is>
      </c>
      <c r="E383" t="inlineStr">
        <is>
          <t>BJURHOLM</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64500-2023</t>
        </is>
      </c>
      <c r="B384" s="1" t="n">
        <v>45280.94303240741</v>
      </c>
      <c r="C384" s="1" t="n">
        <v>45878</v>
      </c>
      <c r="D384" t="inlineStr">
        <is>
          <t>VÄSTERBOTTENS LÄN</t>
        </is>
      </c>
      <c r="E384" t="inlineStr">
        <is>
          <t>BJURHOLM</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41592-2023</t>
        </is>
      </c>
      <c r="B385" s="1" t="n">
        <v>45175.63826388889</v>
      </c>
      <c r="C385" s="1" t="n">
        <v>45878</v>
      </c>
      <c r="D385" t="inlineStr">
        <is>
          <t>VÄSTERBOTTENS LÄN</t>
        </is>
      </c>
      <c r="E385" t="inlineStr">
        <is>
          <t>BJURHOLM</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14071-2023</t>
        </is>
      </c>
      <c r="B386" s="1" t="n">
        <v>45009.08837962963</v>
      </c>
      <c r="C386" s="1" t="n">
        <v>45878</v>
      </c>
      <c r="D386" t="inlineStr">
        <is>
          <t>VÄSTERBOTTENS LÄN</t>
        </is>
      </c>
      <c r="E386" t="inlineStr">
        <is>
          <t>BJURHOLM</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34296-2022</t>
        </is>
      </c>
      <c r="B387" s="1" t="n">
        <v>44792.35222222222</v>
      </c>
      <c r="C387" s="1" t="n">
        <v>45878</v>
      </c>
      <c r="D387" t="inlineStr">
        <is>
          <t>VÄSTERBOTTENS LÄN</t>
        </is>
      </c>
      <c r="E387" t="inlineStr">
        <is>
          <t>BJURHOLM</t>
        </is>
      </c>
      <c r="G387" t="n">
        <v>9.1</v>
      </c>
      <c r="H387" t="n">
        <v>0</v>
      </c>
      <c r="I387" t="n">
        <v>0</v>
      </c>
      <c r="J387" t="n">
        <v>0</v>
      </c>
      <c r="K387" t="n">
        <v>0</v>
      </c>
      <c r="L387" t="n">
        <v>0</v>
      </c>
      <c r="M387" t="n">
        <v>0</v>
      </c>
      <c r="N387" t="n">
        <v>0</v>
      </c>
      <c r="O387" t="n">
        <v>0</v>
      </c>
      <c r="P387" t="n">
        <v>0</v>
      </c>
      <c r="Q387" t="n">
        <v>0</v>
      </c>
      <c r="R387" s="2" t="inlineStr"/>
    </row>
    <row r="388" ht="15" customHeight="1">
      <c r="A388" t="inlineStr">
        <is>
          <t>A 43172-2023</t>
        </is>
      </c>
      <c r="B388" s="1" t="n">
        <v>45183</v>
      </c>
      <c r="C388" s="1" t="n">
        <v>45878</v>
      </c>
      <c r="D388" t="inlineStr">
        <is>
          <t>VÄSTERBOTTENS LÄN</t>
        </is>
      </c>
      <c r="E388" t="inlineStr">
        <is>
          <t>BJURHOLM</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32035-2021</t>
        </is>
      </c>
      <c r="B389" s="1" t="n">
        <v>44370.65484953704</v>
      </c>
      <c r="C389" s="1" t="n">
        <v>45878</v>
      </c>
      <c r="D389" t="inlineStr">
        <is>
          <t>VÄSTERBOTTENS LÄN</t>
        </is>
      </c>
      <c r="E389" t="inlineStr">
        <is>
          <t>BJURHOLM</t>
        </is>
      </c>
      <c r="G389" t="n">
        <v>2.6</v>
      </c>
      <c r="H389" t="n">
        <v>0</v>
      </c>
      <c r="I389" t="n">
        <v>0</v>
      </c>
      <c r="J389" t="n">
        <v>0</v>
      </c>
      <c r="K389" t="n">
        <v>0</v>
      </c>
      <c r="L389" t="n">
        <v>0</v>
      </c>
      <c r="M389" t="n">
        <v>0</v>
      </c>
      <c r="N389" t="n">
        <v>0</v>
      </c>
      <c r="O389" t="n">
        <v>0</v>
      </c>
      <c r="P389" t="n">
        <v>0</v>
      </c>
      <c r="Q389" t="n">
        <v>0</v>
      </c>
      <c r="R389" s="2" t="inlineStr"/>
    </row>
    <row r="390" ht="15" customHeight="1">
      <c r="A390" t="inlineStr">
        <is>
          <t>A 41503-2021</t>
        </is>
      </c>
      <c r="B390" s="1" t="n">
        <v>44424</v>
      </c>
      <c r="C390" s="1" t="n">
        <v>45878</v>
      </c>
      <c r="D390" t="inlineStr">
        <is>
          <t>VÄSTERBOTTENS LÄN</t>
        </is>
      </c>
      <c r="E390" t="inlineStr">
        <is>
          <t>BJURHOLM</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62082-2022</t>
        </is>
      </c>
      <c r="B391" s="1" t="n">
        <v>44918</v>
      </c>
      <c r="C391" s="1" t="n">
        <v>45878</v>
      </c>
      <c r="D391" t="inlineStr">
        <is>
          <t>VÄSTERBOTTENS LÄN</t>
        </is>
      </c>
      <c r="E391" t="inlineStr">
        <is>
          <t>BJURHOLM</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47499-2024</t>
        </is>
      </c>
      <c r="B392" s="1" t="n">
        <v>45587.59827546297</v>
      </c>
      <c r="C392" s="1" t="n">
        <v>45878</v>
      </c>
      <c r="D392" t="inlineStr">
        <is>
          <t>VÄSTERBOTTENS LÄN</t>
        </is>
      </c>
      <c r="E392" t="inlineStr">
        <is>
          <t>BJURHOLM</t>
        </is>
      </c>
      <c r="G392" t="n">
        <v>4.3</v>
      </c>
      <c r="H392" t="n">
        <v>0</v>
      </c>
      <c r="I392" t="n">
        <v>0</v>
      </c>
      <c r="J392" t="n">
        <v>0</v>
      </c>
      <c r="K392" t="n">
        <v>0</v>
      </c>
      <c r="L392" t="n">
        <v>0</v>
      </c>
      <c r="M392" t="n">
        <v>0</v>
      </c>
      <c r="N392" t="n">
        <v>0</v>
      </c>
      <c r="O392" t="n">
        <v>0</v>
      </c>
      <c r="P392" t="n">
        <v>0</v>
      </c>
      <c r="Q392" t="n">
        <v>0</v>
      </c>
      <c r="R392" s="2" t="inlineStr"/>
    </row>
    <row r="393" ht="15" customHeight="1">
      <c r="A393" t="inlineStr">
        <is>
          <t>A 7897-2022</t>
        </is>
      </c>
      <c r="B393" s="1" t="n">
        <v>44608</v>
      </c>
      <c r="C393" s="1" t="n">
        <v>45878</v>
      </c>
      <c r="D393" t="inlineStr">
        <is>
          <t>VÄSTERBOTTENS LÄN</t>
        </is>
      </c>
      <c r="E393" t="inlineStr">
        <is>
          <t>BJURHOLM</t>
        </is>
      </c>
      <c r="G393" t="n">
        <v>17.8</v>
      </c>
      <c r="H393" t="n">
        <v>0</v>
      </c>
      <c r="I393" t="n">
        <v>0</v>
      </c>
      <c r="J393" t="n">
        <v>0</v>
      </c>
      <c r="K393" t="n">
        <v>0</v>
      </c>
      <c r="L393" t="n">
        <v>0</v>
      </c>
      <c r="M393" t="n">
        <v>0</v>
      </c>
      <c r="N393" t="n">
        <v>0</v>
      </c>
      <c r="O393" t="n">
        <v>0</v>
      </c>
      <c r="P393" t="n">
        <v>0</v>
      </c>
      <c r="Q393" t="n">
        <v>0</v>
      </c>
      <c r="R393" s="2" t="inlineStr"/>
    </row>
    <row r="394" ht="15" customHeight="1">
      <c r="A394" t="inlineStr">
        <is>
          <t>A 7908-2022</t>
        </is>
      </c>
      <c r="B394" s="1" t="n">
        <v>44608.66927083334</v>
      </c>
      <c r="C394" s="1" t="n">
        <v>45878</v>
      </c>
      <c r="D394" t="inlineStr">
        <is>
          <t>VÄSTERBOTTENS LÄN</t>
        </is>
      </c>
      <c r="E394" t="inlineStr">
        <is>
          <t>BJURHOLM</t>
        </is>
      </c>
      <c r="G394" t="n">
        <v>1</v>
      </c>
      <c r="H394" t="n">
        <v>0</v>
      </c>
      <c r="I394" t="n">
        <v>0</v>
      </c>
      <c r="J394" t="n">
        <v>0</v>
      </c>
      <c r="K394" t="n">
        <v>0</v>
      </c>
      <c r="L394" t="n">
        <v>0</v>
      </c>
      <c r="M394" t="n">
        <v>0</v>
      </c>
      <c r="N394" t="n">
        <v>0</v>
      </c>
      <c r="O394" t="n">
        <v>0</v>
      </c>
      <c r="P394" t="n">
        <v>0</v>
      </c>
      <c r="Q394" t="n">
        <v>0</v>
      </c>
      <c r="R394" s="2" t="inlineStr"/>
    </row>
    <row r="395" ht="15" customHeight="1">
      <c r="A395" t="inlineStr">
        <is>
          <t>A 62087-2022</t>
        </is>
      </c>
      <c r="B395" s="1" t="n">
        <v>44919</v>
      </c>
      <c r="C395" s="1" t="n">
        <v>45878</v>
      </c>
      <c r="D395" t="inlineStr">
        <is>
          <t>VÄSTERBOTTENS LÄN</t>
        </is>
      </c>
      <c r="E395" t="inlineStr">
        <is>
          <t>BJURHOLM</t>
        </is>
      </c>
      <c r="G395" t="n">
        <v>6.9</v>
      </c>
      <c r="H395" t="n">
        <v>0</v>
      </c>
      <c r="I395" t="n">
        <v>0</v>
      </c>
      <c r="J395" t="n">
        <v>0</v>
      </c>
      <c r="K395" t="n">
        <v>0</v>
      </c>
      <c r="L395" t="n">
        <v>0</v>
      </c>
      <c r="M395" t="n">
        <v>0</v>
      </c>
      <c r="N395" t="n">
        <v>0</v>
      </c>
      <c r="O395" t="n">
        <v>0</v>
      </c>
      <c r="P395" t="n">
        <v>0</v>
      </c>
      <c r="Q395" t="n">
        <v>0</v>
      </c>
      <c r="R395" s="2" t="inlineStr"/>
    </row>
    <row r="396" ht="15" customHeight="1">
      <c r="A396" t="inlineStr">
        <is>
          <t>A 34751-2022</t>
        </is>
      </c>
      <c r="B396" s="1" t="n">
        <v>44795</v>
      </c>
      <c r="C396" s="1" t="n">
        <v>45878</v>
      </c>
      <c r="D396" t="inlineStr">
        <is>
          <t>VÄSTERBOTTENS LÄN</t>
        </is>
      </c>
      <c r="E396" t="inlineStr">
        <is>
          <t>BJURHOLM</t>
        </is>
      </c>
      <c r="G396" t="n">
        <v>2.1</v>
      </c>
      <c r="H396" t="n">
        <v>0</v>
      </c>
      <c r="I396" t="n">
        <v>0</v>
      </c>
      <c r="J396" t="n">
        <v>0</v>
      </c>
      <c r="K396" t="n">
        <v>0</v>
      </c>
      <c r="L396" t="n">
        <v>0</v>
      </c>
      <c r="M396" t="n">
        <v>0</v>
      </c>
      <c r="N396" t="n">
        <v>0</v>
      </c>
      <c r="O396" t="n">
        <v>0</v>
      </c>
      <c r="P396" t="n">
        <v>0</v>
      </c>
      <c r="Q396" t="n">
        <v>0</v>
      </c>
      <c r="R396" s="2" t="inlineStr"/>
    </row>
    <row r="397" ht="15" customHeight="1">
      <c r="A397" t="inlineStr">
        <is>
          <t>A 10918-2023</t>
        </is>
      </c>
      <c r="B397" s="1" t="n">
        <v>44991</v>
      </c>
      <c r="C397" s="1" t="n">
        <v>45878</v>
      </c>
      <c r="D397" t="inlineStr">
        <is>
          <t>VÄSTERBOTTENS LÄN</t>
        </is>
      </c>
      <c r="E397" t="inlineStr">
        <is>
          <t>BJURHOLM</t>
        </is>
      </c>
      <c r="G397" t="n">
        <v>5.8</v>
      </c>
      <c r="H397" t="n">
        <v>0</v>
      </c>
      <c r="I397" t="n">
        <v>0</v>
      </c>
      <c r="J397" t="n">
        <v>0</v>
      </c>
      <c r="K397" t="n">
        <v>0</v>
      </c>
      <c r="L397" t="n">
        <v>0</v>
      </c>
      <c r="M397" t="n">
        <v>0</v>
      </c>
      <c r="N397" t="n">
        <v>0</v>
      </c>
      <c r="O397" t="n">
        <v>0</v>
      </c>
      <c r="P397" t="n">
        <v>0</v>
      </c>
      <c r="Q397" t="n">
        <v>0</v>
      </c>
      <c r="R397" s="2" t="inlineStr"/>
    </row>
    <row r="398">
      <c r="A398" t="inlineStr">
        <is>
          <t>A 52584-2024</t>
        </is>
      </c>
      <c r="B398" s="1" t="n">
        <v>45609.67881944445</v>
      </c>
      <c r="C398" s="1" t="n">
        <v>45878</v>
      </c>
      <c r="D398" t="inlineStr">
        <is>
          <t>VÄSTERBOTTENS LÄN</t>
        </is>
      </c>
      <c r="E398" t="inlineStr">
        <is>
          <t>BJURHOLM</t>
        </is>
      </c>
      <c r="G398" t="n">
        <v>0.4</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2025-08-09T18:54:41Z</dcterms:created>
  <dcterms:modified xmlns:dcterms="http://purl.org/dc/terms/" xmlns:xsi="http://www.w3.org/2001/XMLSchema-instance" xsi:type="dcterms:W3CDTF">2025-08-09T18:54:41Z</dcterms:modified>
</cp:coreProperties>
</file>