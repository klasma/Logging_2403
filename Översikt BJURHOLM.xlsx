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46317</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46317</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46317</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46317</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46317</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46317</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20608-2023</t>
        </is>
      </c>
      <c r="B9" t="inlineStr">
        <is>
          <t>avverkningsanmälan</t>
        </is>
      </c>
      <c r="C9" t="inlineStr">
        <is>
          <t>Föryngringsavverkning</t>
        </is>
      </c>
      <c r="D9" s="1" t="n">
        <v>45057</v>
      </c>
      <c r="E9" s="1" t="n">
        <v>46317</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22677-2024</t>
        </is>
      </c>
      <c r="B10" t="inlineStr">
        <is>
          <t>avverkningsanmälan</t>
        </is>
      </c>
      <c r="C10" t="inlineStr">
        <is>
          <t>Föryngringsavverkning</t>
        </is>
      </c>
      <c r="D10" s="1" t="n">
        <v>45447</v>
      </c>
      <c r="E10" s="1" t="n">
        <v>46317</v>
      </c>
      <c r="F10" t="inlineStr">
        <is>
          <t>VÄSTERBOTTENS LÄN</t>
        </is>
      </c>
      <c r="G10" t="inlineStr">
        <is>
          <t>BJURHOLM</t>
        </is>
      </c>
      <c r="H10" t="inlineStr">
        <is>
          <t>SCA</t>
        </is>
      </c>
      <c r="I10" t="n">
        <v>14.4</v>
      </c>
      <c r="J10" t="n">
        <v>5</v>
      </c>
      <c r="K10" t="n">
        <v>2</v>
      </c>
      <c r="L10" t="n">
        <v>4</v>
      </c>
      <c r="M10" t="n">
        <v>2</v>
      </c>
      <c r="N10" t="n">
        <v>0</v>
      </c>
      <c r="O10" t="n">
        <v>0</v>
      </c>
      <c r="P10" t="n">
        <v>0</v>
      </c>
      <c r="Q10" t="n">
        <v>6</v>
      </c>
      <c r="R10" t="n">
        <v>2</v>
      </c>
      <c r="S10" t="n">
        <v>12</v>
      </c>
      <c r="T10" t="n">
        <v>23</v>
      </c>
      <c r="U10" t="n">
        <v>20</v>
      </c>
      <c r="V10" s="2" t="inlineStr">
        <is>
          <t>Garnlav
Lappticka
Duvhök
Lunglav
Stjärntagging
Ullticka
Stuplav
Vedticka
Tjäder
Fläcknycklar
Nattviol
Revlummer</t>
        </is>
      </c>
      <c r="W10">
        <f>HYPERLINK("https://klasma.github.io/Logging_2403/artfynd/A 22677-2024 artfynd.xlsx", "A 22677-2024")</f>
        <v/>
      </c>
      <c r="X10">
        <f>HYPERLINK("https://klasma.github.io/Logging_2403/kartor/A 22677-2024 karta.png", "A 22677-2024")</f>
        <v/>
      </c>
      <c r="Y10">
        <f>HYPERLINK("https://klasma.github.io/Logging_2403/kartor_geotiff/A 22677-2024 georefererad karta.tif", "A 22677-2024")</f>
        <v/>
      </c>
      <c r="AA10">
        <f>HYPERLINK("https://klasma.github.io/Logging_2403/klagomål/A 22677-2024 FSC-klagomål.docx", "A 22677-2024")</f>
        <v/>
      </c>
      <c r="AB10">
        <f>HYPERLINK("https://klasma.github.io/Logging_2403/klagomålsmail/A 22677-2024 FSC-klagomål mail.docx", "A 22677-2024")</f>
        <v/>
      </c>
      <c r="AC10">
        <f>HYPERLINK("https://klasma.github.io/Logging_2403/tillsyn/A 22677-2024 tillsynsbegäran.docx", "A 22677-2024")</f>
        <v/>
      </c>
      <c r="AD10">
        <f>HYPERLINK("https://klasma.github.io/Logging_2403/tillsynsmail/A 22677-2024 tillsynsbegäran mail.docx", "A 22677-2024")</f>
        <v/>
      </c>
      <c r="AE10">
        <f>HYPERLINK("https://klasma.github.io/Logging_2403/fåglar/A 22677-2024 prioriterade fågelarter.docx", "A 22677-2024")</f>
        <v/>
      </c>
    </row>
    <row r="11" ht="15" customHeight="1">
      <c r="A11" t="inlineStr">
        <is>
          <t>A 14646-2025</t>
        </is>
      </c>
      <c r="B11" t="inlineStr">
        <is>
          <t>avverkningsanmälan</t>
        </is>
      </c>
      <c r="C11" t="inlineStr">
        <is>
          <t>Föryngringsavverkning</t>
        </is>
      </c>
      <c r="D11" s="1" t="n">
        <v>45742</v>
      </c>
      <c r="E11" s="1" t="n">
        <v>46317</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51874-2024</t>
        </is>
      </c>
      <c r="B12" t="inlineStr">
        <is>
          <t>avverkningsanmälan</t>
        </is>
      </c>
      <c r="C12" t="inlineStr">
        <is>
          <t>Föryngringsavverkning</t>
        </is>
      </c>
      <c r="D12" s="1" t="n">
        <v>45607</v>
      </c>
      <c r="E12" s="1" t="n">
        <v>46317</v>
      </c>
      <c r="F12" t="inlineStr">
        <is>
          <t>VÄSTERBOTTENS LÄN</t>
        </is>
      </c>
      <c r="G12" t="inlineStr">
        <is>
          <t>BJURHOLM</t>
        </is>
      </c>
      <c r="I12" t="n">
        <v>6.1</v>
      </c>
      <c r="J12" t="n">
        <v>4</v>
      </c>
      <c r="K12" t="n">
        <v>3</v>
      </c>
      <c r="L12" t="n">
        <v>6</v>
      </c>
      <c r="M12" t="n">
        <v>1</v>
      </c>
      <c r="N12" t="n">
        <v>0</v>
      </c>
      <c r="O12" t="n">
        <v>0</v>
      </c>
      <c r="P12" t="n">
        <v>0</v>
      </c>
      <c r="Q12" t="n">
        <v>7</v>
      </c>
      <c r="R12" t="n">
        <v>1</v>
      </c>
      <c r="S12" t="n">
        <v>11</v>
      </c>
      <c r="T12" t="n">
        <v>25</v>
      </c>
      <c r="U12" t="n">
        <v>25</v>
      </c>
      <c r="V12" s="2" t="inlineStr">
        <is>
          <t>Garnlav
Gammelgransskål
Lavskrika
Lunglav
Talltita
Tretåig hackspett
Ullticka
Bårdlav
Skör kvastmossa
Stuplav
Spillkråka</t>
        </is>
      </c>
      <c r="W12">
        <f>HYPERLINK("https://klasma.github.io/Logging_2403/artfynd/A 51874-2024 artfynd.xlsx", "A 51874-2024")</f>
        <v/>
      </c>
      <c r="X12">
        <f>HYPERLINK("https://klasma.github.io/Logging_2403/kartor/A 51874-2024 karta.png", "A 51874-2024")</f>
        <v/>
      </c>
      <c r="Y12">
        <f>HYPERLINK("https://klasma.github.io/Logging_2403/kartor_geotiff/A 51874-2024 georefererad karta.tif", "A 51874-2024")</f>
        <v/>
      </c>
      <c r="AA12">
        <f>HYPERLINK("https://klasma.github.io/Logging_2403/klagomål/A 51874-2024 FSC-klagomål.docx", "A 51874-2024")</f>
        <v/>
      </c>
      <c r="AB12">
        <f>HYPERLINK("https://klasma.github.io/Logging_2403/klagomålsmail/A 51874-2024 FSC-klagomål mail.docx", "A 51874-2024")</f>
        <v/>
      </c>
      <c r="AC12">
        <f>HYPERLINK("https://klasma.github.io/Logging_2403/tillsyn/A 51874-2024 tillsynsbegäran.docx", "A 51874-2024")</f>
        <v/>
      </c>
      <c r="AD12">
        <f>HYPERLINK("https://klasma.github.io/Logging_2403/tillsynsmail/A 51874-2024 tillsynsbegäran mail.docx", "A 51874-2024")</f>
        <v/>
      </c>
      <c r="AE12">
        <f>HYPERLINK("https://klasma.github.io/Logging_2403/fåglar/A 51874-2024 prioriterade fågelarter.docx", "A 51874-2024")</f>
        <v/>
      </c>
    </row>
    <row r="13" ht="15" customHeight="1">
      <c r="A13" t="inlineStr">
        <is>
          <t>A 14108-2023</t>
        </is>
      </c>
      <c r="B13" t="inlineStr">
        <is>
          <t>avverkningsanmälan</t>
        </is>
      </c>
      <c r="C13" t="inlineStr">
        <is>
          <t>Föryngringsavverkning</t>
        </is>
      </c>
      <c r="D13" s="1" t="n">
        <v>45009</v>
      </c>
      <c r="E13" s="1" t="n">
        <v>46317</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24124-2024</t>
        </is>
      </c>
      <c r="B14" t="inlineStr">
        <is>
          <t>avverkningsanmälan</t>
        </is>
      </c>
      <c r="C14" t="inlineStr">
        <is>
          <t>Föryngringsavverkning</t>
        </is>
      </c>
      <c r="D14" s="1" t="n">
        <v>45456</v>
      </c>
      <c r="E14" s="1" t="n">
        <v>46317</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13605-2022</t>
        </is>
      </c>
      <c r="B15" t="inlineStr">
        <is>
          <t>avverkningsanmälan</t>
        </is>
      </c>
      <c r="C15" t="inlineStr">
        <is>
          <t>Föryngringsavverkning</t>
        </is>
      </c>
      <c r="D15" s="1" t="n">
        <v>44648</v>
      </c>
      <c r="E15" s="1" t="n">
        <v>46317</v>
      </c>
      <c r="F15" t="inlineStr">
        <is>
          <t>VÄSTERBOTTENS LÄN</t>
        </is>
      </c>
      <c r="G15" t="inlineStr">
        <is>
          <t>BJURHOLM</t>
        </is>
      </c>
      <c r="I15" t="n">
        <v>7</v>
      </c>
      <c r="J15" t="n">
        <v>4</v>
      </c>
      <c r="K15" t="n">
        <v>3</v>
      </c>
      <c r="L15" t="n">
        <v>4</v>
      </c>
      <c r="M15" t="n">
        <v>2</v>
      </c>
      <c r="N15" t="n">
        <v>0</v>
      </c>
      <c r="O15" t="n">
        <v>0</v>
      </c>
      <c r="P15" t="n">
        <v>0</v>
      </c>
      <c r="Q15" t="n">
        <v>6</v>
      </c>
      <c r="R15" t="n">
        <v>2</v>
      </c>
      <c r="S15" t="n">
        <v>10</v>
      </c>
      <c r="T15" t="n">
        <v>27</v>
      </c>
      <c r="U15" t="n">
        <v>27</v>
      </c>
      <c r="V15" s="2" t="inlineStr">
        <is>
          <t>Garnlav
Knärot
Rödvingetrast
Stiftgelélav
Talltita
Ullticka
Skinnlav
Stor aspticka
Vedticka
Kungsfågel</t>
        </is>
      </c>
      <c r="W15">
        <f>HYPERLINK("https://klasma.github.io/Logging_2403/artfynd/A 13605-2022 artfynd.xlsx", "A 13605-2022")</f>
        <v/>
      </c>
      <c r="X15">
        <f>HYPERLINK("https://klasma.github.io/Logging_2403/kartor/A 13605-2022 karta.png", "A 13605-2022")</f>
        <v/>
      </c>
      <c r="Y15">
        <f>HYPERLINK("https://klasma.github.io/Logging_2403/kartor_geotiff/A 13605-2022 georefererad karta.tif", "A 13605-2022")</f>
        <v/>
      </c>
      <c r="Z15">
        <f>HYPERLINK("https://klasma.github.io/Logging_2403/knärot/A 13605-2022 karta knärot.png", "A 13605-2022")</f>
        <v/>
      </c>
      <c r="AA15">
        <f>HYPERLINK("https://klasma.github.io/Logging_2403/klagomål/A 13605-2022 FSC-klagomål.docx", "A 13605-2022")</f>
        <v/>
      </c>
      <c r="AB15">
        <f>HYPERLINK("https://klasma.github.io/Logging_2403/klagomålsmail/A 13605-2022 FSC-klagomål mail.docx", "A 13605-2022")</f>
        <v/>
      </c>
      <c r="AC15">
        <f>HYPERLINK("https://klasma.github.io/Logging_2403/tillsyn/A 13605-2022 tillsynsbegäran.docx", "A 13605-2022")</f>
        <v/>
      </c>
      <c r="AD15">
        <f>HYPERLINK("https://klasma.github.io/Logging_2403/tillsynsmail/A 13605-2022 tillsynsbegäran mail.docx", "A 13605-2022")</f>
        <v/>
      </c>
      <c r="AE15">
        <f>HYPERLINK("https://klasma.github.io/Logging_2403/fåglar/A 13605-2022 prioriterade fågelarter.docx", "A 13605-2022")</f>
        <v/>
      </c>
    </row>
    <row r="16" ht="15" customHeight="1">
      <c r="A16" t="inlineStr">
        <is>
          <t>A 43695-2025</t>
        </is>
      </c>
      <c r="B16" t="inlineStr">
        <is>
          <t>avverkningsanmälan</t>
        </is>
      </c>
      <c r="C16" t="inlineStr">
        <is>
          <t>Föryngringsavverkning</t>
        </is>
      </c>
      <c r="D16" s="1" t="n">
        <v>45912</v>
      </c>
      <c r="E16" s="1" t="n">
        <v>46317</v>
      </c>
      <c r="F16" t="inlineStr">
        <is>
          <t>VÄSTERBOTTENS LÄN</t>
        </is>
      </c>
      <c r="G16" t="inlineStr">
        <is>
          <t>BJURHOLM</t>
        </is>
      </c>
      <c r="H16" t="inlineStr">
        <is>
          <t>Holmen skog AB</t>
        </is>
      </c>
      <c r="I16" t="n">
        <v>12.9</v>
      </c>
      <c r="J16" t="n">
        <v>2</v>
      </c>
      <c r="K16" t="n">
        <v>4</v>
      </c>
      <c r="L16" t="n">
        <v>4</v>
      </c>
      <c r="M16" t="n">
        <v>1</v>
      </c>
      <c r="N16" t="n">
        <v>0</v>
      </c>
      <c r="O16" t="n">
        <v>0</v>
      </c>
      <c r="P16" t="n">
        <v>0</v>
      </c>
      <c r="Q16" t="n">
        <v>5</v>
      </c>
      <c r="R16" t="n">
        <v>1</v>
      </c>
      <c r="S16" t="n">
        <v>9</v>
      </c>
      <c r="T16" t="n">
        <v>14</v>
      </c>
      <c r="U16" t="n">
        <v>14</v>
      </c>
      <c r="V16" s="2" t="inlineStr">
        <is>
          <t>Garnlav
Kolflarnlav
Lunglav
Mörk kolflarnlav
Tretåig hackspett
Bårdlav
Luddlav
Spindelblomster
Stuplav</t>
        </is>
      </c>
      <c r="W16">
        <f>HYPERLINK("https://klasma.github.io/Logging_2403/artfynd/A 43695-2025 artfynd.xlsx", "A 43695-2025")</f>
        <v/>
      </c>
      <c r="X16">
        <f>HYPERLINK("https://klasma.github.io/Logging_2403/kartor/A 43695-2025 karta.png", "A 43695-2025")</f>
        <v/>
      </c>
      <c r="Y16">
        <f>HYPERLINK("https://klasma.github.io/Logging_2403/kartor_geotiff/A 43695-2025 georefererad karta.tif", "A 43695-2025")</f>
        <v/>
      </c>
      <c r="AA16">
        <f>HYPERLINK("https://klasma.github.io/Logging_2403/klagomål/A 43695-2025 FSC-klagomål.docx", "A 43695-2025")</f>
        <v/>
      </c>
      <c r="AB16">
        <f>HYPERLINK("https://klasma.github.io/Logging_2403/klagomålsmail/A 43695-2025 FSC-klagomål mail.docx", "A 43695-2025")</f>
        <v/>
      </c>
      <c r="AC16">
        <f>HYPERLINK("https://klasma.github.io/Logging_2403/tillsyn/A 43695-2025 tillsynsbegäran.docx", "A 43695-2025")</f>
        <v/>
      </c>
      <c r="AD16">
        <f>HYPERLINK("https://klasma.github.io/Logging_2403/tillsynsmail/A 43695-2025 tillsynsbegäran mail.docx", "A 43695-2025")</f>
        <v/>
      </c>
      <c r="AE16">
        <f>HYPERLINK("https://klasma.github.io/Logging_2403/fåglar/A 43695-2025 prioriterade fågelarter.docx", "A 43695-2025")</f>
        <v/>
      </c>
    </row>
    <row r="17" ht="15" customHeight="1">
      <c r="A17" t="inlineStr">
        <is>
          <t>A 18951-2023</t>
        </is>
      </c>
      <c r="B17" t="inlineStr">
        <is>
          <t>avverkningsanmälan</t>
        </is>
      </c>
      <c r="C17" t="inlineStr">
        <is>
          <t>Föryngringsavverkning</t>
        </is>
      </c>
      <c r="D17" s="1" t="n">
        <v>45043</v>
      </c>
      <c r="E17" s="1" t="n">
        <v>46317</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A 38585-2025</t>
        </is>
      </c>
      <c r="B18" t="inlineStr">
        <is>
          <t>avverkningsanmälan</t>
        </is>
      </c>
      <c r="C18" t="inlineStr">
        <is>
          <t>Föryngringsavverkning</t>
        </is>
      </c>
      <c r="D18" s="1" t="n">
        <v>45884</v>
      </c>
      <c r="E18" s="1" t="n">
        <v>46317</v>
      </c>
      <c r="F18" t="inlineStr">
        <is>
          <t>VÄSTERBOTTENS LÄN</t>
        </is>
      </c>
      <c r="G18" t="inlineStr">
        <is>
          <t>BJURHOLM</t>
        </is>
      </c>
      <c r="H18" t="inlineStr">
        <is>
          <t>SCA</t>
        </is>
      </c>
      <c r="I18" t="n">
        <v>5.1</v>
      </c>
      <c r="J18" t="n">
        <v>3</v>
      </c>
      <c r="K18" t="n">
        <v>0</v>
      </c>
      <c r="L18" t="n">
        <v>4</v>
      </c>
      <c r="M18" t="n">
        <v>1</v>
      </c>
      <c r="N18" t="n">
        <v>0</v>
      </c>
      <c r="O18" t="n">
        <v>0</v>
      </c>
      <c r="P18" t="n">
        <v>0</v>
      </c>
      <c r="Q18" t="n">
        <v>5</v>
      </c>
      <c r="R18" t="n">
        <v>1</v>
      </c>
      <c r="S18" t="n">
        <v>6</v>
      </c>
      <c r="T18" t="n">
        <v>32</v>
      </c>
      <c r="U18" t="n">
        <v>7</v>
      </c>
      <c r="V18" s="2" t="inlineStr">
        <is>
          <t>Garnlav
Dvärgbägarlav
Mörk kolflarnlav
Talltita
Tretåig hackspett
Huggorm</t>
        </is>
      </c>
      <c r="W18">
        <f>HYPERLINK("https://klasma.github.io/Logging_2403/artfynd/A 38585-2025 artfynd.xlsx", "A 38585-2025")</f>
        <v/>
      </c>
      <c r="X18">
        <f>HYPERLINK("https://klasma.github.io/Logging_2403/kartor/A 38585-2025 karta.png", "A 38585-2025")</f>
        <v/>
      </c>
      <c r="Y18">
        <f>HYPERLINK("https://klasma.github.io/Logging_2403/kartor_geotiff/A 38585-2025 georefererad karta.tif", "A 38585-2025")</f>
        <v/>
      </c>
      <c r="AA18">
        <f>HYPERLINK("https://klasma.github.io/Logging_2403/klagomål/A 38585-2025 FSC-klagomål.docx", "A 38585-2025")</f>
        <v/>
      </c>
      <c r="AB18">
        <f>HYPERLINK("https://klasma.github.io/Logging_2403/klagomålsmail/A 38585-2025 FSC-klagomål mail.docx", "A 38585-2025")</f>
        <v/>
      </c>
      <c r="AC18">
        <f>HYPERLINK("https://klasma.github.io/Logging_2403/tillsyn/A 38585-2025 tillsynsbegäran.docx", "A 38585-2025")</f>
        <v/>
      </c>
      <c r="AD18">
        <f>HYPERLINK("https://klasma.github.io/Logging_2403/tillsynsmail/A 38585-2025 tillsynsbegäran mail.docx", "A 38585-2025")</f>
        <v/>
      </c>
      <c r="AE18">
        <f>HYPERLINK("https://klasma.github.io/Logging_2403/fåglar/A 38585-2025 prioriterade fågelarter.docx", "A 38585-2025")</f>
        <v/>
      </c>
    </row>
    <row r="19" ht="15" customHeight="1">
      <c r="A19" t="inlineStr">
        <is>
          <t>S 5069-2024</t>
        </is>
      </c>
      <c r="B19" t="inlineStr">
        <is>
          <t>samrådsanmälan</t>
        </is>
      </c>
      <c r="C19" t="inlineStr">
        <is>
          <t>Annan skogsbruksåtgärd</t>
        </is>
      </c>
      <c r="D19" s="1" t="n">
        <v>45638</v>
      </c>
      <c r="E19" s="1" t="n">
        <v>46317</v>
      </c>
      <c r="F19" t="inlineStr">
        <is>
          <t>VÄSTERBOTTENS LÄN</t>
        </is>
      </c>
      <c r="G19" t="inlineStr">
        <is>
          <t>BJURHOLM</t>
        </is>
      </c>
      <c r="H19" t="inlineStr">
        <is>
          <t>SCA</t>
        </is>
      </c>
      <c r="I19" t="n">
        <v>10</v>
      </c>
      <c r="J19" t="n">
        <v>0</v>
      </c>
      <c r="K19" t="n">
        <v>2</v>
      </c>
      <c r="L19" t="n">
        <v>3</v>
      </c>
      <c r="M19" t="n">
        <v>1</v>
      </c>
      <c r="N19" t="n">
        <v>0</v>
      </c>
      <c r="O19" t="n">
        <v>0</v>
      </c>
      <c r="P19" t="n">
        <v>0</v>
      </c>
      <c r="Q19" t="n">
        <v>4</v>
      </c>
      <c r="R19" t="n">
        <v>1</v>
      </c>
      <c r="S19" t="n">
        <v>6</v>
      </c>
      <c r="T19" t="n">
        <v>10</v>
      </c>
      <c r="U19" t="n">
        <v>0</v>
      </c>
      <c r="V19" s="2" t="inlineStr">
        <is>
          <t>Gräddporing
Lunglav
Skrovellav
Tallticka
Bårdlav
Stuplav</t>
        </is>
      </c>
      <c r="W19">
        <f>HYPERLINK("https://klasma.github.io/Logging_2403/artfynd/S 5069-2024 artfynd.xlsx", "S 5069-2024")</f>
        <v/>
      </c>
      <c r="X19">
        <f>HYPERLINK("https://klasma.github.io/Logging_2403/kartor/S 5069-2024 karta.png", "S 5069-2024")</f>
        <v/>
      </c>
      <c r="Y19">
        <f>HYPERLINK("https://klasma.github.io/Logging_2403/kartor_geotiff/S 5069-2024 georefererad karta.tif", "S 5069-2024")</f>
        <v/>
      </c>
      <c r="AA19">
        <f>HYPERLINK("https://klasma.github.io/Logging_2403/klagomål/S 5069-2024 FSC-klagomål.docx", "S 5069-2024")</f>
        <v/>
      </c>
      <c r="AB19">
        <f>HYPERLINK("https://klasma.github.io/Logging_2403/klagomålsmail/S 5069-2024 FSC-klagomål mail.docx", "S 5069-2024")</f>
        <v/>
      </c>
      <c r="AC19">
        <f>HYPERLINK("https://klasma.github.io/Logging_2403/tillsyn/S 5069-2024 tillsynsbegäran.docx", "S 5069-2024")</f>
        <v/>
      </c>
      <c r="AD19">
        <f>HYPERLINK("https://klasma.github.io/Logging_2403/tillsynsmail/S 5069-2024 tillsynsbegäran mail.docx", "S 5069-2024")</f>
        <v/>
      </c>
    </row>
    <row r="20" ht="15" customHeight="1">
      <c r="A20" t="inlineStr">
        <is>
          <t>A 55009-2022</t>
        </is>
      </c>
      <c r="B20" t="inlineStr">
        <is>
          <t>avverkningsanmälan</t>
        </is>
      </c>
      <c r="C20" t="inlineStr">
        <is>
          <t>Föryngringsavverkning</t>
        </is>
      </c>
      <c r="D20" s="1" t="n">
        <v>44881</v>
      </c>
      <c r="E20" s="1" t="n">
        <v>46317</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19644-2022</t>
        </is>
      </c>
      <c r="B21" t="inlineStr">
        <is>
          <t>avverkningsanmälan</t>
        </is>
      </c>
      <c r="C21" t="inlineStr">
        <is>
          <t>Föryngringsavverkning</t>
        </is>
      </c>
      <c r="D21" s="1" t="n">
        <v>44694</v>
      </c>
      <c r="E21" s="1" t="n">
        <v>46317</v>
      </c>
      <c r="F21" t="inlineStr">
        <is>
          <t>VÄSTERBOTTENS LÄN</t>
        </is>
      </c>
      <c r="G21" t="inlineStr">
        <is>
          <t>BJURHOLM</t>
        </is>
      </c>
      <c r="H21" t="inlineStr">
        <is>
          <t>Kyrkan</t>
        </is>
      </c>
      <c r="I21" t="n">
        <v>3.1</v>
      </c>
      <c r="J21" t="n">
        <v>2</v>
      </c>
      <c r="K21" t="n">
        <v>2</v>
      </c>
      <c r="L21" t="n">
        <v>2</v>
      </c>
      <c r="M21" t="n">
        <v>0</v>
      </c>
      <c r="N21" t="n">
        <v>0</v>
      </c>
      <c r="O21" t="n">
        <v>0</v>
      </c>
      <c r="P21" t="n">
        <v>0</v>
      </c>
      <c r="Q21" t="n">
        <v>2</v>
      </c>
      <c r="R21" t="n">
        <v>0</v>
      </c>
      <c r="S21" t="n">
        <v>5</v>
      </c>
      <c r="T21" t="n">
        <v>8</v>
      </c>
      <c r="U21" t="n">
        <v>8</v>
      </c>
      <c r="V21" s="2" t="inlineStr">
        <is>
          <t>Talltita
Ullticka
Skinnlav
Vedticka
Revlummer</t>
        </is>
      </c>
      <c r="W21">
        <f>HYPERLINK("https://klasma.github.io/Logging_2403/artfynd/A 19644-2022 artfynd.xlsx", "A 19644-2022")</f>
        <v/>
      </c>
      <c r="X21">
        <f>HYPERLINK("https://klasma.github.io/Logging_2403/kartor/A 19644-2022 karta.png", "A 19644-2022")</f>
        <v/>
      </c>
      <c r="Y21">
        <f>HYPERLINK("https://klasma.github.io/Logging_2403/kartor_geotiff/A 19644-2022 georefererad karta.tif", "A 19644-2022")</f>
        <v/>
      </c>
      <c r="AA21">
        <f>HYPERLINK("https://klasma.github.io/Logging_2403/klagomål/A 19644-2022 FSC-klagomål.docx", "A 19644-2022")</f>
        <v/>
      </c>
      <c r="AB21">
        <f>HYPERLINK("https://klasma.github.io/Logging_2403/klagomålsmail/A 19644-2022 FSC-klagomål mail.docx", "A 19644-2022")</f>
        <v/>
      </c>
      <c r="AC21">
        <f>HYPERLINK("https://klasma.github.io/Logging_2403/tillsyn/A 19644-2022 tillsynsbegäran.docx", "A 19644-2022")</f>
        <v/>
      </c>
      <c r="AD21">
        <f>HYPERLINK("https://klasma.github.io/Logging_2403/tillsynsmail/A 19644-2022 tillsynsbegäran mail.docx", "A 19644-2022")</f>
        <v/>
      </c>
      <c r="AE21">
        <f>HYPERLINK("https://klasma.github.io/Logging_2403/fåglar/A 19644-2022 prioriterade fågelarter.docx", "A 19644-2022")</f>
        <v/>
      </c>
    </row>
    <row r="22" ht="15" customHeight="1">
      <c r="A22" t="inlineStr">
        <is>
          <t>A 38276-2026</t>
        </is>
      </c>
      <c r="B22" t="inlineStr">
        <is>
          <t>avverkningsanmälan</t>
        </is>
      </c>
      <c r="C22" t="inlineStr">
        <is>
          <t>Föryngringsavverkning</t>
        </is>
      </c>
      <c r="D22" s="1" t="n">
        <v>46281</v>
      </c>
      <c r="E22" s="1" t="n">
        <v>46317</v>
      </c>
      <c r="F22" t="inlineStr">
        <is>
          <t>VÄSTERBOTTENS LÄN</t>
        </is>
      </c>
      <c r="G22" t="inlineStr">
        <is>
          <t>BJURHOLM</t>
        </is>
      </c>
      <c r="H22" t="inlineStr">
        <is>
          <t>SCA</t>
        </is>
      </c>
      <c r="I22" t="n">
        <v>6.7</v>
      </c>
      <c r="J22" t="n">
        <v>0</v>
      </c>
      <c r="K22" t="n">
        <v>0</v>
      </c>
      <c r="L22" t="n">
        <v>2</v>
      </c>
      <c r="M22" t="n">
        <v>3</v>
      </c>
      <c r="N22" t="n">
        <v>0</v>
      </c>
      <c r="O22" t="n">
        <v>0</v>
      </c>
      <c r="P22" t="n">
        <v>0</v>
      </c>
      <c r="Q22" t="n">
        <v>5</v>
      </c>
      <c r="R22" t="n">
        <v>3</v>
      </c>
      <c r="S22" t="n">
        <v>5</v>
      </c>
      <c r="T22" t="n">
        <v>7</v>
      </c>
      <c r="U22" t="n">
        <v>0</v>
      </c>
      <c r="V22" s="2" t="inlineStr">
        <is>
          <t>Goliatmusseron
Skrovlig taggsvamp
Smalfotad taggsvamp
Blå taggsvamp
Gammelgransskål</t>
        </is>
      </c>
      <c r="W22">
        <f>HYPERLINK("https://klasma.github.io/Logging_2403/artfynd/A 38276-2026 artfynd.xlsx", "A 38276-2026")</f>
        <v/>
      </c>
      <c r="X22">
        <f>HYPERLINK("https://klasma.github.io/Logging_2403/kartor/A 38276-2026 karta.png", "A 38276-2026")</f>
        <v/>
      </c>
      <c r="Y22">
        <f>HYPERLINK("https://klasma.github.io/Logging_2403/kartor_geotiff/A 38276-2026 georefererad karta.tif", "A 38276-2026")</f>
        <v/>
      </c>
      <c r="AA22">
        <f>HYPERLINK("https://klasma.github.io/Logging_2403/klagomål/A 38276-2026 FSC-klagomål.docx", "A 38276-2026")</f>
        <v/>
      </c>
      <c r="AB22">
        <f>HYPERLINK("https://klasma.github.io/Logging_2403/klagomålsmail/A 38276-2026 FSC-klagomål mail.docx", "A 38276-2026")</f>
        <v/>
      </c>
      <c r="AC22">
        <f>HYPERLINK("https://klasma.github.io/Logging_2403/tillsyn/A 38276-2026 tillsynsbegäran.docx", "A 38276-2026")</f>
        <v/>
      </c>
      <c r="AD22">
        <f>HYPERLINK("https://klasma.github.io/Logging_2403/tillsynsmail/A 38276-2026 tillsynsbegäran mail.docx", "A 38276-2026")</f>
        <v/>
      </c>
    </row>
    <row r="23" ht="15" customHeight="1">
      <c r="A23" t="inlineStr">
        <is>
          <t>A 34666-2026</t>
        </is>
      </c>
      <c r="B23" t="inlineStr">
        <is>
          <t>avverkningsanmälan</t>
        </is>
      </c>
      <c r="C23" t="inlineStr">
        <is>
          <t>Föryngringsavverkning</t>
        </is>
      </c>
      <c r="D23" s="1" t="n">
        <v>46257</v>
      </c>
      <c r="E23" s="1" t="n">
        <v>46317</v>
      </c>
      <c r="F23" t="inlineStr">
        <is>
          <t>VÄSTERBOTTENS LÄN</t>
        </is>
      </c>
      <c r="G23" t="inlineStr">
        <is>
          <t>BJURHOLM</t>
        </is>
      </c>
      <c r="I23" t="n">
        <v>46.6</v>
      </c>
      <c r="J23" t="n">
        <v>3</v>
      </c>
      <c r="K23" t="n">
        <v>1</v>
      </c>
      <c r="L23" t="n">
        <v>2</v>
      </c>
      <c r="M23" t="n">
        <v>0</v>
      </c>
      <c r="N23" t="n">
        <v>0</v>
      </c>
      <c r="O23" t="n">
        <v>0</v>
      </c>
      <c r="P23" t="n">
        <v>0</v>
      </c>
      <c r="Q23" t="n">
        <v>2</v>
      </c>
      <c r="R23" t="n">
        <v>0</v>
      </c>
      <c r="S23" t="n">
        <v>5</v>
      </c>
      <c r="T23" t="n">
        <v>5</v>
      </c>
      <c r="U23" t="n">
        <v>0</v>
      </c>
      <c r="V23" s="2" t="inlineStr">
        <is>
          <t>Duvhök
Stjärntagging
Vedticka
Spillkråka
Nattviol</t>
        </is>
      </c>
      <c r="W23">
        <f>HYPERLINK("https://klasma.github.io/Logging_2403/artfynd/A 34666-2026 artfynd.xlsx", "A 34666-2026")</f>
        <v/>
      </c>
      <c r="X23">
        <f>HYPERLINK("https://klasma.github.io/Logging_2403/kartor/A 34666-2026 karta.png", "A 34666-2026")</f>
        <v/>
      </c>
      <c r="Y23">
        <f>HYPERLINK("https://klasma.github.io/Logging_2403/kartor_geotiff/A 34666-2026 georefererad karta.tif", "A 34666-2026")</f>
        <v/>
      </c>
      <c r="AA23">
        <f>HYPERLINK("https://klasma.github.io/Logging_2403/klagomål/A 34666-2026 FSC-klagomål.docx", "A 34666-2026")</f>
        <v/>
      </c>
      <c r="AB23">
        <f>HYPERLINK("https://klasma.github.io/Logging_2403/klagomålsmail/A 34666-2026 FSC-klagomål mail.docx", "A 34666-2026")</f>
        <v/>
      </c>
      <c r="AC23">
        <f>HYPERLINK("https://klasma.github.io/Logging_2403/tillsyn/A 34666-2026 tillsynsbegäran.docx", "A 34666-2026")</f>
        <v/>
      </c>
      <c r="AD23">
        <f>HYPERLINK("https://klasma.github.io/Logging_2403/tillsynsmail/A 34666-2026 tillsynsbegäran mail.docx", "A 34666-2026")</f>
        <v/>
      </c>
      <c r="AE23">
        <f>HYPERLINK("https://klasma.github.io/Logging_2403/fåglar/A 34666-2026 prioriterade fågelarter.docx", "A 34666-2026")</f>
        <v/>
      </c>
    </row>
    <row r="24" ht="15" customHeight="1">
      <c r="A24" t="inlineStr">
        <is>
          <t>A 14407-2024</t>
        </is>
      </c>
      <c r="B24" t="inlineStr">
        <is>
          <t>avverkningsanmälan</t>
        </is>
      </c>
      <c r="C24" t="inlineStr">
        <is>
          <t>Föryngringsavverkning</t>
        </is>
      </c>
      <c r="D24" s="1" t="n">
        <v>45394</v>
      </c>
      <c r="E24" s="1" t="n">
        <v>46317</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4365-2022</t>
        </is>
      </c>
      <c r="B25" t="inlineStr">
        <is>
          <t>avverkningsanmälan</t>
        </is>
      </c>
      <c r="C25" t="inlineStr">
        <is>
          <t>Föryngringsavverkning</t>
        </is>
      </c>
      <c r="D25" s="1" t="n">
        <v>44588</v>
      </c>
      <c r="E25" s="1" t="n">
        <v>46317</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61089-2025</t>
        </is>
      </c>
      <c r="B26" t="inlineStr">
        <is>
          <t>avverkningsanmälan</t>
        </is>
      </c>
      <c r="C26" t="inlineStr">
        <is>
          <t>Föryngringsavverkning</t>
        </is>
      </c>
      <c r="D26" s="1" t="n">
        <v>46000</v>
      </c>
      <c r="E26" s="1" t="n">
        <v>46317</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47593-2024</t>
        </is>
      </c>
      <c r="B27" t="inlineStr">
        <is>
          <t>avverkningsanmälan</t>
        </is>
      </c>
      <c r="C27" t="inlineStr">
        <is>
          <t>Föryngringsavverkning</t>
        </is>
      </c>
      <c r="D27" s="1" t="n">
        <v>45587</v>
      </c>
      <c r="E27" s="1" t="n">
        <v>46317</v>
      </c>
      <c r="F27" t="inlineStr">
        <is>
          <t>VÄSTERBOTTENS LÄN</t>
        </is>
      </c>
      <c r="G27" t="inlineStr">
        <is>
          <t>BJURHOLM</t>
        </is>
      </c>
      <c r="I27" t="n">
        <v>12.3</v>
      </c>
      <c r="J27" t="n">
        <v>3</v>
      </c>
      <c r="K27" t="n">
        <v>0</v>
      </c>
      <c r="L27" t="n">
        <v>2</v>
      </c>
      <c r="M27" t="n">
        <v>0</v>
      </c>
      <c r="N27" t="n">
        <v>0</v>
      </c>
      <c r="O27" t="n">
        <v>0</v>
      </c>
      <c r="P27" t="n">
        <v>0</v>
      </c>
      <c r="Q27" t="n">
        <v>2</v>
      </c>
      <c r="R27" t="n">
        <v>0</v>
      </c>
      <c r="S27" t="n">
        <v>3</v>
      </c>
      <c r="T27" t="n">
        <v>3</v>
      </c>
      <c r="U27" t="n">
        <v>0</v>
      </c>
      <c r="V27" s="2" t="inlineStr">
        <is>
          <t>Lavskrika
Talltita
Kungsfågel</t>
        </is>
      </c>
      <c r="W27">
        <f>HYPERLINK("https://klasma.github.io/Logging_2403/artfynd/A 47593-2024 artfynd.xlsx", "A 47593-2024")</f>
        <v/>
      </c>
      <c r="X27">
        <f>HYPERLINK("https://klasma.github.io/Logging_2403/kartor/A 47593-2024 karta.png", "A 47593-2024")</f>
        <v/>
      </c>
      <c r="Y27">
        <f>HYPERLINK("https://klasma.github.io/Logging_2403/kartor_geotiff/A 47593-2024 georefererad karta.tif", "A 47593-2024")</f>
        <v/>
      </c>
      <c r="AA27">
        <f>HYPERLINK("https://klasma.github.io/Logging_2403/klagomål/A 47593-2024 FSC-klagomål.docx", "A 47593-2024")</f>
        <v/>
      </c>
      <c r="AB27">
        <f>HYPERLINK("https://klasma.github.io/Logging_2403/klagomålsmail/A 47593-2024 FSC-klagomål mail.docx", "A 47593-2024")</f>
        <v/>
      </c>
      <c r="AC27">
        <f>HYPERLINK("https://klasma.github.io/Logging_2403/tillsyn/A 47593-2024 tillsynsbegäran.docx", "A 47593-2024")</f>
        <v/>
      </c>
      <c r="AD27">
        <f>HYPERLINK("https://klasma.github.io/Logging_2403/tillsynsmail/A 47593-2024 tillsynsbegäran mail.docx", "A 47593-2024")</f>
        <v/>
      </c>
      <c r="AE27">
        <f>HYPERLINK("https://klasma.github.io/Logging_2403/fåglar/A 47593-2024 prioriterade fågelarter.docx", "A 47593-2024")</f>
        <v/>
      </c>
    </row>
    <row r="28" ht="15" customHeight="1">
      <c r="A28" t="inlineStr">
        <is>
          <t>A 41334-2026</t>
        </is>
      </c>
      <c r="B28" t="inlineStr">
        <is>
          <t>avverkningsanmälan</t>
        </is>
      </c>
      <c r="C28" t="inlineStr">
        <is>
          <t>Föryngringsavverkning</t>
        </is>
      </c>
      <c r="D28" s="1" t="n">
        <v>46301</v>
      </c>
      <c r="E28" s="1" t="n">
        <v>46317</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A 41512-2026</t>
        </is>
      </c>
      <c r="B29" t="inlineStr">
        <is>
          <t>avverkningsanmälan</t>
        </is>
      </c>
      <c r="C29" t="inlineStr">
        <is>
          <t>Föryngringsavverkning</t>
        </is>
      </c>
      <c r="D29" s="1" t="n">
        <v>46301</v>
      </c>
      <c r="E29" s="1" t="n">
        <v>46317</v>
      </c>
      <c r="F29" t="inlineStr">
        <is>
          <t>VÄSTERBOTTENS LÄN</t>
        </is>
      </c>
      <c r="G29" t="inlineStr">
        <is>
          <t>BJURHOLM</t>
        </is>
      </c>
      <c r="H29" t="inlineStr">
        <is>
          <t>SCA</t>
        </is>
      </c>
      <c r="I29" t="n">
        <v>6.8</v>
      </c>
      <c r="J29" t="n">
        <v>0</v>
      </c>
      <c r="K29" t="n">
        <v>1</v>
      </c>
      <c r="L29" t="n">
        <v>2</v>
      </c>
      <c r="M29" t="n">
        <v>0</v>
      </c>
      <c r="N29" t="n">
        <v>0</v>
      </c>
      <c r="O29" t="n">
        <v>0</v>
      </c>
      <c r="P29" t="n">
        <v>0</v>
      </c>
      <c r="Q29" t="n">
        <v>2</v>
      </c>
      <c r="R29" t="n">
        <v>0</v>
      </c>
      <c r="S29" t="n">
        <v>3</v>
      </c>
      <c r="T29" t="n">
        <v>4</v>
      </c>
      <c r="U29" t="n">
        <v>0</v>
      </c>
      <c r="V29" s="2" t="inlineStr">
        <is>
          <t>Lunglav
Vedskivlav
Bårdlav</t>
        </is>
      </c>
      <c r="W29">
        <f>HYPERLINK("https://klasma.github.io/Logging_2403/artfynd/A 41512-2026 artfynd.xlsx", "A 41512-2026")</f>
        <v/>
      </c>
      <c r="X29">
        <f>HYPERLINK("https://klasma.github.io/Logging_2403/kartor/A 41512-2026 karta.png", "A 41512-2026")</f>
        <v/>
      </c>
      <c r="Y29">
        <f>HYPERLINK("https://klasma.github.io/Logging_2403/kartor_geotiff/A 41512-2026 georefererad karta.tif", "A 41512-2026")</f>
        <v/>
      </c>
      <c r="AA29">
        <f>HYPERLINK("https://klasma.github.io/Logging_2403/klagomål/A 41512-2026 FSC-klagomål.docx", "A 41512-2026")</f>
        <v/>
      </c>
      <c r="AB29">
        <f>HYPERLINK("https://klasma.github.io/Logging_2403/klagomålsmail/A 41512-2026 FSC-klagomål mail.docx", "A 41512-2026")</f>
        <v/>
      </c>
      <c r="AC29">
        <f>HYPERLINK("https://klasma.github.io/Logging_2403/tillsyn/A 41512-2026 tillsynsbegäran.docx", "A 41512-2026")</f>
        <v/>
      </c>
      <c r="AD29">
        <f>HYPERLINK("https://klasma.github.io/Logging_2403/tillsynsmail/A 41512-2026 tillsynsbegäran mail.docx", "A 41512-2026")</f>
        <v/>
      </c>
    </row>
    <row r="30" ht="15" customHeight="1">
      <c r="A30" t="inlineStr">
        <is>
          <t>S 853-2025</t>
        </is>
      </c>
      <c r="B30" t="inlineStr">
        <is>
          <t>samrådsanmälan</t>
        </is>
      </c>
      <c r="C30" t="inlineStr">
        <is>
          <t>Annan skogsbruksåtgärd</t>
        </is>
      </c>
      <c r="D30" s="1" t="n">
        <v>45734</v>
      </c>
      <c r="E30" s="1" t="n">
        <v>46317</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46317</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21386-2024</t>
        </is>
      </c>
      <c r="B32" t="inlineStr">
        <is>
          <t>avverkningsanmälan</t>
        </is>
      </c>
      <c r="C32" t="inlineStr">
        <is>
          <t>Föryngringsavverkning</t>
        </is>
      </c>
      <c r="D32" s="1" t="n">
        <v>45440</v>
      </c>
      <c r="E32" s="1" t="n">
        <v>46317</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40911-2025</t>
        </is>
      </c>
      <c r="B33" t="inlineStr">
        <is>
          <t>avverkningsanmälan</t>
        </is>
      </c>
      <c r="C33" t="inlineStr">
        <is>
          <t>Föryngringsavverkning</t>
        </is>
      </c>
      <c r="D33" s="1" t="n">
        <v>45897</v>
      </c>
      <c r="E33" s="1" t="n">
        <v>46317</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36809-2025</t>
        </is>
      </c>
      <c r="B34" t="inlineStr">
        <is>
          <t>avverkningsanmälan</t>
        </is>
      </c>
      <c r="C34" t="inlineStr">
        <is>
          <t>Föryngringsavverkning</t>
        </is>
      </c>
      <c r="D34" s="1" t="n">
        <v>45873</v>
      </c>
      <c r="E34" s="1" t="n">
        <v>46317</v>
      </c>
      <c r="F34" t="inlineStr">
        <is>
          <t>VÄSTERBOTTENS LÄN</t>
        </is>
      </c>
      <c r="G34" t="inlineStr">
        <is>
          <t>BJURHOLM</t>
        </is>
      </c>
      <c r="H34" t="inlineStr">
        <is>
          <t>SCA</t>
        </is>
      </c>
      <c r="I34" t="n">
        <v>5.3</v>
      </c>
      <c r="J34" t="n">
        <v>0</v>
      </c>
      <c r="K34" t="n">
        <v>0</v>
      </c>
      <c r="L34" t="n">
        <v>1</v>
      </c>
      <c r="M34" t="n">
        <v>1</v>
      </c>
      <c r="N34" t="n">
        <v>0</v>
      </c>
      <c r="O34" t="n">
        <v>0</v>
      </c>
      <c r="P34" t="n">
        <v>0</v>
      </c>
      <c r="Q34" t="n">
        <v>2</v>
      </c>
      <c r="R34" t="n">
        <v>1</v>
      </c>
      <c r="S34" t="n">
        <v>2</v>
      </c>
      <c r="T34" t="n">
        <v>2</v>
      </c>
      <c r="U34" t="n">
        <v>2</v>
      </c>
      <c r="V34" s="2" t="inlineStr">
        <is>
          <t>Garnlav
Lunglav</t>
        </is>
      </c>
      <c r="W34">
        <f>HYPERLINK("https://klasma.github.io/Logging_2403/artfynd/A 36809-2025 artfynd.xlsx", "A 36809-2025")</f>
        <v/>
      </c>
      <c r="X34">
        <f>HYPERLINK("https://klasma.github.io/Logging_2403/kartor/A 36809-2025 karta.png", "A 36809-2025")</f>
        <v/>
      </c>
      <c r="Y34">
        <f>HYPERLINK("https://klasma.github.io/Logging_2403/kartor_geotiff/A 36809-2025 georefererad karta.tif", "A 36809-2025")</f>
        <v/>
      </c>
      <c r="AA34">
        <f>HYPERLINK("https://klasma.github.io/Logging_2403/klagomål/A 36809-2025 FSC-klagomål.docx", "A 36809-2025")</f>
        <v/>
      </c>
      <c r="AB34">
        <f>HYPERLINK("https://klasma.github.io/Logging_2403/klagomålsmail/A 36809-2025 FSC-klagomål mail.docx", "A 36809-2025")</f>
        <v/>
      </c>
      <c r="AC34">
        <f>HYPERLINK("https://klasma.github.io/Logging_2403/tillsyn/A 36809-2025 tillsynsbegäran.docx", "A 36809-2025")</f>
        <v/>
      </c>
      <c r="AD34">
        <f>HYPERLINK("https://klasma.github.io/Logging_2403/tillsynsmail/A 36809-2025 tillsynsbegäran mail.docx", "A 36809-2025")</f>
        <v/>
      </c>
    </row>
    <row r="35" ht="15" customHeight="1">
      <c r="A35" t="inlineStr">
        <is>
          <t>A 47592-2024</t>
        </is>
      </c>
      <c r="B35" t="inlineStr">
        <is>
          <t>avverkningsanmälan</t>
        </is>
      </c>
      <c r="C35" t="inlineStr">
        <is>
          <t>Föryngringsavverkning</t>
        </is>
      </c>
      <c r="D35" s="1" t="n">
        <v>45587</v>
      </c>
      <c r="E35" s="1" t="n">
        <v>46317</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46317</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20949-2023</t>
        </is>
      </c>
      <c r="B37" t="inlineStr">
        <is>
          <t>avverkningsanmälan</t>
        </is>
      </c>
      <c r="C37" t="inlineStr">
        <is>
          <t>Föryngringsavverkning</t>
        </is>
      </c>
      <c r="D37" s="1" t="n">
        <v>45056</v>
      </c>
      <c r="E37" s="1" t="n">
        <v>46317</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46317</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30801-2026</t>
        </is>
      </c>
      <c r="B39" t="inlineStr">
        <is>
          <t>avverkningsanmälan</t>
        </is>
      </c>
      <c r="C39" t="inlineStr">
        <is>
          <t>Föryngringsavverkning</t>
        </is>
      </c>
      <c r="D39" s="1" t="n">
        <v>46205</v>
      </c>
      <c r="E39" s="1" t="n">
        <v>46317</v>
      </c>
      <c r="F39" t="inlineStr">
        <is>
          <t>VÄSTERBOTTENS LÄN</t>
        </is>
      </c>
      <c r="G39" t="inlineStr">
        <is>
          <t>BJURHOLM</t>
        </is>
      </c>
      <c r="I39" t="n">
        <v>17.3</v>
      </c>
      <c r="J39" t="n">
        <v>0</v>
      </c>
      <c r="K39" t="n">
        <v>0</v>
      </c>
      <c r="L39" t="n">
        <v>2</v>
      </c>
      <c r="M39" t="n">
        <v>0</v>
      </c>
      <c r="N39" t="n">
        <v>0</v>
      </c>
      <c r="O39" t="n">
        <v>0</v>
      </c>
      <c r="P39" t="n">
        <v>0</v>
      </c>
      <c r="Q39" t="n">
        <v>2</v>
      </c>
      <c r="R39" t="n">
        <v>0</v>
      </c>
      <c r="S39" t="n">
        <v>2</v>
      </c>
      <c r="T39" t="n">
        <v>2</v>
      </c>
      <c r="U39" t="n">
        <v>0</v>
      </c>
      <c r="V39" s="2" t="inlineStr">
        <is>
          <t>Blå taggsvamp
Skarp dropptaggsvamp</t>
        </is>
      </c>
      <c r="W39">
        <f>HYPERLINK("https://klasma.github.io/Logging_2403/artfynd/A 30801-2026 artfynd.xlsx", "A 30801-2026")</f>
        <v/>
      </c>
      <c r="X39">
        <f>HYPERLINK("https://klasma.github.io/Logging_2403/kartor/A 30801-2026 karta.png", "A 30801-2026")</f>
        <v/>
      </c>
      <c r="Y39">
        <f>HYPERLINK("https://klasma.github.io/Logging_2403/kartor_geotiff/A 30801-2026 georefererad karta.tif", "A 30801-2026")</f>
        <v/>
      </c>
      <c r="AA39">
        <f>HYPERLINK("https://klasma.github.io/Logging_2403/klagomål/A 30801-2026 FSC-klagomål.docx", "A 30801-2026")</f>
        <v/>
      </c>
      <c r="AB39">
        <f>HYPERLINK("https://klasma.github.io/Logging_2403/klagomålsmail/A 30801-2026 FSC-klagomål mail.docx", "A 30801-2026")</f>
        <v/>
      </c>
      <c r="AC39">
        <f>HYPERLINK("https://klasma.github.io/Logging_2403/tillsyn/A 30801-2026 tillsynsbegäran.docx", "A 30801-2026")</f>
        <v/>
      </c>
      <c r="AD39">
        <f>HYPERLINK("https://klasma.github.io/Logging_2403/tillsynsmail/A 30801-2026 tillsynsbegäran mail.docx", "A 30801-2026")</f>
        <v/>
      </c>
    </row>
    <row r="40" ht="15" customHeight="1">
      <c r="A40" t="inlineStr">
        <is>
          <t>A 31116-2025</t>
        </is>
      </c>
      <c r="B40" t="inlineStr">
        <is>
          <t>avverkningsanmälan</t>
        </is>
      </c>
      <c r="C40" t="inlineStr">
        <is>
          <t>Föryngringsavverkning</t>
        </is>
      </c>
      <c r="D40" s="1" t="n">
        <v>45832</v>
      </c>
      <c r="E40" s="1" t="n">
        <v>46317</v>
      </c>
      <c r="F40" t="inlineStr">
        <is>
          <t>VÄSTERBOTTENS LÄN</t>
        </is>
      </c>
      <c r="G40" t="inlineStr">
        <is>
          <t>BJURHOLM</t>
        </is>
      </c>
      <c r="I40" t="n">
        <v>33.5</v>
      </c>
      <c r="J40" t="n">
        <v>0</v>
      </c>
      <c r="K40" t="n">
        <v>0</v>
      </c>
      <c r="L40" t="n">
        <v>2</v>
      </c>
      <c r="M40" t="n">
        <v>0</v>
      </c>
      <c r="N40" t="n">
        <v>0</v>
      </c>
      <c r="O40" t="n">
        <v>0</v>
      </c>
      <c r="P40" t="n">
        <v>0</v>
      </c>
      <c r="Q40" t="n">
        <v>2</v>
      </c>
      <c r="R40" t="n">
        <v>0</v>
      </c>
      <c r="S40" t="n">
        <v>2</v>
      </c>
      <c r="T40" t="n">
        <v>2</v>
      </c>
      <c r="U40" t="n">
        <v>0</v>
      </c>
      <c r="V40" s="2" t="inlineStr">
        <is>
          <t>Brunpudrad nållav
Lunglav</t>
        </is>
      </c>
      <c r="W40">
        <f>HYPERLINK("https://klasma.github.io/Logging_2403/artfynd/A 31116-2025 artfynd.xlsx", "A 31116-2025")</f>
        <v/>
      </c>
      <c r="X40">
        <f>HYPERLINK("https://klasma.github.io/Logging_2403/kartor/A 31116-2025 karta.png", "A 31116-2025")</f>
        <v/>
      </c>
      <c r="Y40">
        <f>HYPERLINK("https://klasma.github.io/Logging_2403/kartor_geotiff/A 31116-2025 georefererad karta.tif", "A 31116-2025")</f>
        <v/>
      </c>
      <c r="AA40">
        <f>HYPERLINK("https://klasma.github.io/Logging_2403/klagomål/A 31116-2025 FSC-klagomål.docx", "A 31116-2025")</f>
        <v/>
      </c>
      <c r="AB40">
        <f>HYPERLINK("https://klasma.github.io/Logging_2403/klagomålsmail/A 31116-2025 FSC-klagomål mail.docx", "A 31116-2025")</f>
        <v/>
      </c>
      <c r="AC40">
        <f>HYPERLINK("https://klasma.github.io/Logging_2403/tillsyn/A 31116-2025 tillsynsbegäran.docx", "A 31116-2025")</f>
        <v/>
      </c>
      <c r="AD40">
        <f>HYPERLINK("https://klasma.github.io/Logging_2403/tillsynsmail/A 31116-2025 tillsynsbegäran mail.docx", "A 31116-2025")</f>
        <v/>
      </c>
    </row>
    <row r="41" ht="15" customHeight="1">
      <c r="A41" t="inlineStr">
        <is>
          <t>A 31838-2026</t>
        </is>
      </c>
      <c r="B41" t="inlineStr">
        <is>
          <t>avverkningsanmälan</t>
        </is>
      </c>
      <c r="C41" t="inlineStr">
        <is>
          <t>Föryngringsavverkning</t>
        </is>
      </c>
      <c r="D41" s="1" t="n">
        <v>46230</v>
      </c>
      <c r="E41" s="1" t="n">
        <v>46317</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11689-2026</t>
        </is>
      </c>
      <c r="B42" t="inlineStr">
        <is>
          <t>avverkningsanmälan</t>
        </is>
      </c>
      <c r="C42" t="inlineStr">
        <is>
          <t>Föryngringsavverkning</t>
        </is>
      </c>
      <c r="D42" s="1" t="n">
        <v>46084</v>
      </c>
      <c r="E42" s="1" t="n">
        <v>46317</v>
      </c>
      <c r="F42" t="inlineStr">
        <is>
          <t>VÄSTERBOTTENS LÄN</t>
        </is>
      </c>
      <c r="G42" t="inlineStr">
        <is>
          <t>BJURHOLM</t>
        </is>
      </c>
      <c r="I42" t="n">
        <v>3.9</v>
      </c>
      <c r="J42" t="n">
        <v>0</v>
      </c>
      <c r="K42" t="n">
        <v>0</v>
      </c>
      <c r="L42" t="n">
        <v>2</v>
      </c>
      <c r="M42" t="n">
        <v>0</v>
      </c>
      <c r="N42" t="n">
        <v>0</v>
      </c>
      <c r="O42" t="n">
        <v>0</v>
      </c>
      <c r="P42" t="n">
        <v>0</v>
      </c>
      <c r="Q42" t="n">
        <v>2</v>
      </c>
      <c r="R42" t="n">
        <v>0</v>
      </c>
      <c r="S42" t="n">
        <v>2</v>
      </c>
      <c r="T42" t="n">
        <v>2</v>
      </c>
      <c r="U42" t="n">
        <v>0</v>
      </c>
      <c r="V42" s="2" t="inlineStr">
        <is>
          <t>Lunglav
Stiftgelélav</t>
        </is>
      </c>
      <c r="W42">
        <f>HYPERLINK("https://klasma.github.io/Logging_2403/artfynd/A 11689-2026 artfynd.xlsx", "A 11689-2026")</f>
        <v/>
      </c>
      <c r="X42">
        <f>HYPERLINK("https://klasma.github.io/Logging_2403/kartor/A 11689-2026 karta.png", "A 11689-2026")</f>
        <v/>
      </c>
      <c r="Y42">
        <f>HYPERLINK("https://klasma.github.io/Logging_2403/kartor_geotiff/A 11689-2026 georefererad karta.tif", "A 11689-2026")</f>
        <v/>
      </c>
      <c r="Z42">
        <f>HYPERLINK("https://klasma.github.io/Logging_2403/knärot/A 11689-2026 karta knärot.png", "A 11689-2026")</f>
        <v/>
      </c>
      <c r="AA42">
        <f>HYPERLINK("https://klasma.github.io/Logging_2403/klagomål/A 11689-2026 FSC-klagomål.docx", "A 11689-2026")</f>
        <v/>
      </c>
      <c r="AB42">
        <f>HYPERLINK("https://klasma.github.io/Logging_2403/klagomålsmail/A 11689-2026 FSC-klagomål mail.docx", "A 11689-2026")</f>
        <v/>
      </c>
      <c r="AC42">
        <f>HYPERLINK("https://klasma.github.io/Logging_2403/tillsyn/A 11689-2026 tillsynsbegäran.docx", "A 11689-2026")</f>
        <v/>
      </c>
      <c r="AD42">
        <f>HYPERLINK("https://klasma.github.io/Logging_2403/tillsynsmail/A 11689-2026 tillsynsbegäran mail.docx", "A 11689-2026")</f>
        <v/>
      </c>
    </row>
    <row r="43" ht="15" customHeight="1">
      <c r="A43" t="inlineStr">
        <is>
          <t>A 7907-2022</t>
        </is>
      </c>
      <c r="B43" t="inlineStr">
        <is>
          <t>avverkningsanmälan</t>
        </is>
      </c>
      <c r="C43" t="inlineStr">
        <is>
          <t>Föryngringsavverkning</t>
        </is>
      </c>
      <c r="D43" s="1" t="n">
        <v>44608</v>
      </c>
      <c r="E43" s="1" t="n">
        <v>46317</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46317</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63205-2025</t>
        </is>
      </c>
      <c r="B45" t="inlineStr">
        <is>
          <t>avverkningsanmälan</t>
        </is>
      </c>
      <c r="C45" t="inlineStr">
        <is>
          <t>Föryngringsavverkning</t>
        </is>
      </c>
      <c r="D45" s="1" t="n">
        <v>46010</v>
      </c>
      <c r="E45" s="1" t="n">
        <v>46317</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63528-2025</t>
        </is>
      </c>
      <c r="B46" t="inlineStr">
        <is>
          <t>avverkningsanmälan</t>
        </is>
      </c>
      <c r="C46" t="inlineStr">
        <is>
          <t>Föryngringsavverkning</t>
        </is>
      </c>
      <c r="D46" s="1" t="n">
        <v>46013</v>
      </c>
      <c r="E46" s="1" t="n">
        <v>46317</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15699-2024</t>
        </is>
      </c>
      <c r="B47" t="inlineStr">
        <is>
          <t>avverkningsanmälan</t>
        </is>
      </c>
      <c r="C47" t="inlineStr">
        <is>
          <t>Föryngringsavverkning</t>
        </is>
      </c>
      <c r="D47" s="1" t="n">
        <v>45404</v>
      </c>
      <c r="E47" s="1" t="n">
        <v>46317</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32506-2024</t>
        </is>
      </c>
      <c r="B48" t="inlineStr">
        <is>
          <t>avverkningsanmälan</t>
        </is>
      </c>
      <c r="C48" t="inlineStr">
        <is>
          <t>Föryngringsavverkning</t>
        </is>
      </c>
      <c r="D48" s="1" t="n">
        <v>45513</v>
      </c>
      <c r="E48" s="1" t="n">
        <v>46317</v>
      </c>
      <c r="F48" t="inlineStr">
        <is>
          <t>VÄSTERBOTTENS LÄN</t>
        </is>
      </c>
      <c r="G48" t="inlineStr">
        <is>
          <t>BJURHOLM</t>
        </is>
      </c>
      <c r="I48" t="n">
        <v>3.5</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HYPERLINK("https://klasma.github.io/Logging_2403/artfynd/A 32506-2024 artfynd.xlsx", "A 32506-2024")</f>
        <v/>
      </c>
      <c r="X48">
        <f>HYPERLINK("https://klasma.github.io/Logging_2403/kartor/A 32506-2024 karta.png", "A 32506-2024")</f>
        <v/>
      </c>
      <c r="Y48">
        <f>HYPERLINK("https://klasma.github.io/Logging_2403/kartor_geotiff/A 32506-2024 georefererad karta.tif", "A 32506-2024")</f>
        <v/>
      </c>
      <c r="AA48">
        <f>HYPERLINK("https://klasma.github.io/Logging_2403/klagomål/A 32506-2024 FSC-klagomål.docx", "A 32506-2024")</f>
        <v/>
      </c>
      <c r="AB48">
        <f>HYPERLINK("https://klasma.github.io/Logging_2403/klagomålsmail/A 32506-2024 FSC-klagomål mail.docx", "A 32506-2024")</f>
        <v/>
      </c>
      <c r="AC48">
        <f>HYPERLINK("https://klasma.github.io/Logging_2403/tillsyn/A 32506-2024 tillsynsbegäran.docx", "A 32506-2024")</f>
        <v/>
      </c>
      <c r="AD48">
        <f>HYPERLINK("https://klasma.github.io/Logging_2403/tillsynsmail/A 32506-2024 tillsynsbegäran mail.docx", "A 32506-2024")</f>
        <v/>
      </c>
      <c r="AE48">
        <f>HYPERLINK("https://klasma.github.io/Logging_2403/fåglar/A 32506-2024 prioriterade fågelarter.docx", "A 32506-2024")</f>
        <v/>
      </c>
    </row>
    <row r="49" ht="15" customHeight="1">
      <c r="A49" t="inlineStr">
        <is>
          <t>A 56442-2025</t>
        </is>
      </c>
      <c r="B49" t="inlineStr">
        <is>
          <t>avverkningsanmälan</t>
        </is>
      </c>
      <c r="C49" t="inlineStr">
        <is>
          <t>Föryngringsavverkning</t>
        </is>
      </c>
      <c r="D49" s="1" t="n">
        <v>45975</v>
      </c>
      <c r="E49" s="1" t="n">
        <v>46317</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53127-2024</t>
        </is>
      </c>
      <c r="B50" t="inlineStr">
        <is>
          <t>avverkningsanmälan</t>
        </is>
      </c>
      <c r="C50" t="inlineStr">
        <is>
          <t>Föryngringsavverkning</t>
        </is>
      </c>
      <c r="D50" s="1" t="n">
        <v>45611</v>
      </c>
      <c r="E50" s="1" t="n">
        <v>46317</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94-2025</t>
        </is>
      </c>
      <c r="B51" t="inlineStr">
        <is>
          <t>avverkningsanmälan</t>
        </is>
      </c>
      <c r="C51" t="inlineStr">
        <is>
          <t>Föryngringsavverkning</t>
        </is>
      </c>
      <c r="D51" s="1" t="n">
        <v>45659</v>
      </c>
      <c r="E51" s="1" t="n">
        <v>46317</v>
      </c>
      <c r="F51" t="inlineStr">
        <is>
          <t>VÄSTERBOTTENS LÄN</t>
        </is>
      </c>
      <c r="G51" t="inlineStr">
        <is>
          <t>BJURHOLM</t>
        </is>
      </c>
      <c r="I51" t="n">
        <v>1.5</v>
      </c>
      <c r="J51" t="n">
        <v>0</v>
      </c>
      <c r="K51" t="n">
        <v>0</v>
      </c>
      <c r="L51" t="n">
        <v>1</v>
      </c>
      <c r="M51" t="n">
        <v>0</v>
      </c>
      <c r="N51" t="n">
        <v>0</v>
      </c>
      <c r="O51" t="n">
        <v>0</v>
      </c>
      <c r="P51" t="n">
        <v>0</v>
      </c>
      <c r="Q51" t="n">
        <v>1</v>
      </c>
      <c r="R51" t="n">
        <v>0</v>
      </c>
      <c r="S51" t="n">
        <v>1</v>
      </c>
      <c r="T51" t="n">
        <v>2</v>
      </c>
      <c r="U51" t="n">
        <v>0</v>
      </c>
      <c r="V51" s="2" t="inlineStr">
        <is>
          <t>Violettgrå tagellav</t>
        </is>
      </c>
      <c r="W51">
        <f>HYPERLINK("https://klasma.github.io/Logging_2403/artfynd/A 94-2025 artfynd.xlsx", "A 94-2025")</f>
        <v/>
      </c>
      <c r="X51">
        <f>HYPERLINK("https://klasma.github.io/Logging_2403/kartor/A 94-2025 karta.png", "A 94-2025")</f>
        <v/>
      </c>
      <c r="Y51">
        <f>HYPERLINK("https://klasma.github.io/Logging_2403/kartor_geotiff/A 94-2025 georefererad karta.tif", "A 94-2025")</f>
        <v/>
      </c>
      <c r="AA51">
        <f>HYPERLINK("https://klasma.github.io/Logging_2403/klagomål/A 94-2025 FSC-klagomål.docx", "A 94-2025")</f>
        <v/>
      </c>
      <c r="AB51">
        <f>HYPERLINK("https://klasma.github.io/Logging_2403/klagomålsmail/A 94-2025 FSC-klagomål mail.docx", "A 94-2025")</f>
        <v/>
      </c>
      <c r="AC51">
        <f>HYPERLINK("https://klasma.github.io/Logging_2403/tillsyn/A 94-2025 tillsynsbegäran.docx", "A 94-2025")</f>
        <v/>
      </c>
      <c r="AD51">
        <f>HYPERLINK("https://klasma.github.io/Logging_2403/tillsynsmail/A 94-2025 tillsynsbegäran mail.docx", "A 94-2025")</f>
        <v/>
      </c>
    </row>
    <row r="52" ht="15" customHeight="1">
      <c r="A52" t="inlineStr">
        <is>
          <t>A 23993-2026</t>
        </is>
      </c>
      <c r="B52" t="inlineStr">
        <is>
          <t>avverkningsanmälan</t>
        </is>
      </c>
      <c r="C52" t="inlineStr">
        <is>
          <t>Föryngringsavverkning</t>
        </is>
      </c>
      <c r="D52" s="1" t="n">
        <v>46167</v>
      </c>
      <c r="E52" s="1" t="n">
        <v>46317</v>
      </c>
      <c r="F52" t="inlineStr">
        <is>
          <t>VÄSTERBOTTENS LÄN</t>
        </is>
      </c>
      <c r="G52" t="inlineStr">
        <is>
          <t>BJURHOLM</t>
        </is>
      </c>
      <c r="I52" t="n">
        <v>12.4</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HYPERLINK("https://klasma.github.io/Logging_2403/artfynd/A 23993-2026 artfynd.xlsx", "A 23993-2026")</f>
        <v/>
      </c>
      <c r="X52">
        <f>HYPERLINK("https://klasma.github.io/Logging_2403/kartor/A 23993-2026 karta.png", "A 23993-2026")</f>
        <v/>
      </c>
      <c r="Y52">
        <f>HYPERLINK("https://klasma.github.io/Logging_2403/kartor_geotiff/A 23993-2026 georefererad karta.tif", "A 23993-2026")</f>
        <v/>
      </c>
      <c r="AA52">
        <f>HYPERLINK("https://klasma.github.io/Logging_2403/klagomål/A 23993-2026 FSC-klagomål.docx", "A 23993-2026")</f>
        <v/>
      </c>
      <c r="AB52">
        <f>HYPERLINK("https://klasma.github.io/Logging_2403/klagomålsmail/A 23993-2026 FSC-klagomål mail.docx", "A 23993-2026")</f>
        <v/>
      </c>
      <c r="AC52">
        <f>HYPERLINK("https://klasma.github.io/Logging_2403/tillsyn/A 23993-2026 tillsynsbegäran.docx", "A 23993-2026")</f>
        <v/>
      </c>
      <c r="AD52">
        <f>HYPERLINK("https://klasma.github.io/Logging_2403/tillsynsmail/A 23993-2026 tillsynsbegäran mail.docx", "A 23993-2026")</f>
        <v/>
      </c>
    </row>
    <row r="53" ht="15" customHeight="1">
      <c r="A53" t="inlineStr">
        <is>
          <t>A 58948-2023</t>
        </is>
      </c>
      <c r="B53" t="inlineStr">
        <is>
          <t>avverkningsanmälan</t>
        </is>
      </c>
      <c r="C53" t="inlineStr">
        <is>
          <t>Föryngringsavverkning</t>
        </is>
      </c>
      <c r="D53" s="1" t="n">
        <v>45252</v>
      </c>
      <c r="E53" s="1" t="n">
        <v>46317</v>
      </c>
      <c r="F53" t="inlineStr">
        <is>
          <t>VÄSTERBOTTENS LÄN</t>
        </is>
      </c>
      <c r="G53" t="inlineStr">
        <is>
          <t>BJURHOLM</t>
        </is>
      </c>
      <c r="H53" t="inlineStr">
        <is>
          <t>Sveaskog</t>
        </is>
      </c>
      <c r="I53" t="n">
        <v>7.9</v>
      </c>
      <c r="J53" t="n">
        <v>0</v>
      </c>
      <c r="K53" t="n">
        <v>0</v>
      </c>
      <c r="L53" t="n">
        <v>1</v>
      </c>
      <c r="M53" t="n">
        <v>0</v>
      </c>
      <c r="N53" t="n">
        <v>0</v>
      </c>
      <c r="O53" t="n">
        <v>0</v>
      </c>
      <c r="P53" t="n">
        <v>0</v>
      </c>
      <c r="Q53" t="n">
        <v>1</v>
      </c>
      <c r="R53" t="n">
        <v>0</v>
      </c>
      <c r="S53" t="n">
        <v>1</v>
      </c>
      <c r="T53" t="n">
        <v>1</v>
      </c>
      <c r="U53" t="n">
        <v>1</v>
      </c>
      <c r="V53" s="2" t="inlineStr">
        <is>
          <t>Lunglav</t>
        </is>
      </c>
      <c r="W53">
        <f>HYPERLINK("https://klasma.github.io/Logging_2403/artfynd/A 58948-2023 artfynd.xlsx", "A 58948-2023")</f>
        <v/>
      </c>
      <c r="X53">
        <f>HYPERLINK("https://klasma.github.io/Logging_2403/kartor/A 58948-2023 karta.png", "A 58948-2023")</f>
        <v/>
      </c>
      <c r="Y53">
        <f>HYPERLINK("https://klasma.github.io/Logging_2403/kartor_geotiff/A 58948-2023 georefererad karta.tif", "A 58948-2023")</f>
        <v/>
      </c>
      <c r="AA53">
        <f>HYPERLINK("https://klasma.github.io/Logging_2403/klagomål/A 58948-2023 FSC-klagomål.docx", "A 58948-2023")</f>
        <v/>
      </c>
      <c r="AB53">
        <f>HYPERLINK("https://klasma.github.io/Logging_2403/klagomålsmail/A 58948-2023 FSC-klagomål mail.docx", "A 58948-2023")</f>
        <v/>
      </c>
      <c r="AC53">
        <f>HYPERLINK("https://klasma.github.io/Logging_2403/tillsyn/A 58948-2023 tillsynsbegäran.docx", "A 58948-2023")</f>
        <v/>
      </c>
      <c r="AD53">
        <f>HYPERLINK("https://klasma.github.io/Logging_2403/tillsynsmail/A 58948-2023 tillsynsbegäran mail.docx", "A 58948-2023")</f>
        <v/>
      </c>
    </row>
    <row r="54" ht="15" customHeight="1">
      <c r="A54" t="inlineStr">
        <is>
          <t>A 26919-2026</t>
        </is>
      </c>
      <c r="B54" t="inlineStr">
        <is>
          <t>avverkningsanmälan</t>
        </is>
      </c>
      <c r="C54" t="inlineStr">
        <is>
          <t>Föryngringsavverkning</t>
        </is>
      </c>
      <c r="D54" s="1" t="n">
        <v>46185</v>
      </c>
      <c r="E54" s="1" t="n">
        <v>46317</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29352-2026</t>
        </is>
      </c>
      <c r="B55" t="inlineStr">
        <is>
          <t>avverkningsanmälan</t>
        </is>
      </c>
      <c r="C55" t="inlineStr">
        <is>
          <t>Föryngringsavverkning</t>
        </is>
      </c>
      <c r="D55" s="1" t="n">
        <v>46203</v>
      </c>
      <c r="E55" s="1" t="n">
        <v>46317</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7897-2022</t>
        </is>
      </c>
      <c r="B56" t="inlineStr">
        <is>
          <t>avverkningsanmälan</t>
        </is>
      </c>
      <c r="C56" t="inlineStr">
        <is>
          <t>Föryngringsavverkning</t>
        </is>
      </c>
      <c r="D56" s="1" t="n">
        <v>44608</v>
      </c>
      <c r="E56" s="1" t="n">
        <v>46317</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12403-2026</t>
        </is>
      </c>
      <c r="B57" t="inlineStr">
        <is>
          <t>avverkningsanmälan</t>
        </is>
      </c>
      <c r="C57" t="inlineStr">
        <is>
          <t>Föryngringsavverkning</t>
        </is>
      </c>
      <c r="D57" s="1" t="n">
        <v>46090</v>
      </c>
      <c r="E57" s="1" t="n">
        <v>46317</v>
      </c>
      <c r="F57" t="inlineStr">
        <is>
          <t>VÄSTERBOTTENS LÄN</t>
        </is>
      </c>
      <c r="G57" t="inlineStr">
        <is>
          <t>BJURHOLM</t>
        </is>
      </c>
      <c r="I57" t="n">
        <v>4</v>
      </c>
      <c r="J57" t="n">
        <v>0</v>
      </c>
      <c r="K57" t="n">
        <v>1</v>
      </c>
      <c r="L57" t="n">
        <v>0</v>
      </c>
      <c r="M57" t="n">
        <v>0</v>
      </c>
      <c r="N57" t="n">
        <v>0</v>
      </c>
      <c r="O57" t="n">
        <v>0</v>
      </c>
      <c r="P57" t="n">
        <v>0</v>
      </c>
      <c r="Q57" t="n">
        <v>0</v>
      </c>
      <c r="R57" t="n">
        <v>0</v>
      </c>
      <c r="S57" t="n">
        <v>1</v>
      </c>
      <c r="T57" t="n">
        <v>7</v>
      </c>
      <c r="U57" t="n">
        <v>0</v>
      </c>
      <c r="V57" s="2" t="inlineStr">
        <is>
          <t>Skinnlav</t>
        </is>
      </c>
      <c r="W57">
        <f>HYPERLINK("https://klasma.github.io/Logging_2403/artfynd/A 12403-2026 artfynd.xlsx", "A 12403-2026")</f>
        <v/>
      </c>
      <c r="X57">
        <f>HYPERLINK("https://klasma.github.io/Logging_2403/kartor/A 12403-2026 karta.png", "A 12403-2026")</f>
        <v/>
      </c>
      <c r="Y57">
        <f>HYPERLINK("https://klasma.github.io/Logging_2403/kartor_geotiff/A 12403-2026 georefererad karta.tif", "A 12403-2026")</f>
        <v/>
      </c>
      <c r="AA57">
        <f>HYPERLINK("https://klasma.github.io/Logging_2403/klagomål/A 12403-2026 FSC-klagomål.docx", "A 12403-2026")</f>
        <v/>
      </c>
      <c r="AB57">
        <f>HYPERLINK("https://klasma.github.io/Logging_2403/klagomålsmail/A 12403-2026 FSC-klagomål mail.docx", "A 12403-2026")</f>
        <v/>
      </c>
      <c r="AC57">
        <f>HYPERLINK("https://klasma.github.io/Logging_2403/tillsyn/A 12403-2026 tillsynsbegäran.docx", "A 12403-2026")</f>
        <v/>
      </c>
      <c r="AD57">
        <f>HYPERLINK("https://klasma.github.io/Logging_2403/tillsynsmail/A 12403-2026 tillsynsbegäran mail.docx", "A 12403-2026")</f>
        <v/>
      </c>
    </row>
    <row r="58" ht="15" customHeight="1">
      <c r="A58" t="inlineStr">
        <is>
          <t>A 16145-2022</t>
        </is>
      </c>
      <c r="B58" t="inlineStr">
        <is>
          <t>avverkningsanmälan</t>
        </is>
      </c>
      <c r="C58" t="inlineStr">
        <is>
          <t>Föryngringsavverkning</t>
        </is>
      </c>
      <c r="D58" s="1" t="n">
        <v>44665</v>
      </c>
      <c r="E58" s="1" t="n">
        <v>46317</v>
      </c>
      <c r="F58" t="inlineStr">
        <is>
          <t>VÄSTERBOTTENS LÄN</t>
        </is>
      </c>
      <c r="G58" t="inlineStr">
        <is>
          <t>BJURHOLM</t>
        </is>
      </c>
      <c r="H58" t="inlineStr">
        <is>
          <t>SCA</t>
        </is>
      </c>
      <c r="I58" t="n">
        <v>5.9</v>
      </c>
      <c r="J58" t="n">
        <v>0</v>
      </c>
      <c r="K58" t="n">
        <v>1</v>
      </c>
      <c r="L58" t="n">
        <v>0</v>
      </c>
      <c r="M58" t="n">
        <v>0</v>
      </c>
      <c r="N58" t="n">
        <v>0</v>
      </c>
      <c r="O58" t="n">
        <v>0</v>
      </c>
      <c r="P58" t="n">
        <v>0</v>
      </c>
      <c r="Q58" t="n">
        <v>0</v>
      </c>
      <c r="R58" t="n">
        <v>0</v>
      </c>
      <c r="S58" t="n">
        <v>1</v>
      </c>
      <c r="T58" t="n">
        <v>1</v>
      </c>
      <c r="U58" t="n">
        <v>0</v>
      </c>
      <c r="V58" s="2" t="inlineStr">
        <is>
          <t>Stor aspticka</t>
        </is>
      </c>
      <c r="W58">
        <f>HYPERLINK("https://klasma.github.io/Logging_2403/artfynd/A 16145-2022 artfynd.xlsx", "A 16145-2022")</f>
        <v/>
      </c>
      <c r="X58">
        <f>HYPERLINK("https://klasma.github.io/Logging_2403/kartor/A 16145-2022 karta.png", "A 16145-2022")</f>
        <v/>
      </c>
      <c r="Y58">
        <f>HYPERLINK("https://klasma.github.io/Logging_2403/kartor_geotiff/A 16145-2022 georefererad karta.tif", "A 16145-2022")</f>
        <v/>
      </c>
      <c r="AA58">
        <f>HYPERLINK("https://klasma.github.io/Logging_2403/klagomål/A 16145-2022 FSC-klagomål.docx", "A 16145-2022")</f>
        <v/>
      </c>
      <c r="AB58">
        <f>HYPERLINK("https://klasma.github.io/Logging_2403/klagomålsmail/A 16145-2022 FSC-klagomål mail.docx", "A 16145-2022")</f>
        <v/>
      </c>
      <c r="AC58">
        <f>HYPERLINK("https://klasma.github.io/Logging_2403/tillsyn/A 16145-2022 tillsynsbegäran.docx", "A 16145-2022")</f>
        <v/>
      </c>
      <c r="AD58">
        <f>HYPERLINK("https://klasma.github.io/Logging_2403/tillsynsmail/A 16145-2022 tillsynsbegäran mail.docx", "A 16145-2022")</f>
        <v/>
      </c>
    </row>
    <row r="59" ht="15" customHeight="1">
      <c r="A59" t="inlineStr">
        <is>
          <t>A 48314-2024</t>
        </is>
      </c>
      <c r="B59" t="inlineStr">
        <is>
          <t>avverkningsanmälan</t>
        </is>
      </c>
      <c r="C59" t="inlineStr">
        <is>
          <t>Föryngringsavverkning</t>
        </is>
      </c>
      <c r="D59" s="1" t="n">
        <v>45590</v>
      </c>
      <c r="E59" s="1" t="n">
        <v>46317</v>
      </c>
      <c r="F59" t="inlineStr">
        <is>
          <t>VÄSTERBOTTENS LÄN</t>
        </is>
      </c>
      <c r="G59" t="inlineStr">
        <is>
          <t>BJURHOLM</t>
        </is>
      </c>
      <c r="I59" t="n">
        <v>3.9</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HYPERLINK("https://klasma.github.io/Logging_2403/artfynd/A 48314-2024 artfynd.xlsx", "A 48314-2024")</f>
        <v/>
      </c>
      <c r="X59">
        <f>HYPERLINK("https://klasma.github.io/Logging_2403/kartor/A 48314-2024 karta.png", "A 48314-2024")</f>
        <v/>
      </c>
      <c r="Y59">
        <f>HYPERLINK("https://klasma.github.io/Logging_2403/kartor_geotiff/A 48314-2024 georefererad karta.tif", "A 48314-2024")</f>
        <v/>
      </c>
      <c r="AA59">
        <f>HYPERLINK("https://klasma.github.io/Logging_2403/klagomål/A 48314-2024 FSC-klagomål.docx", "A 48314-2024")</f>
        <v/>
      </c>
      <c r="AB59">
        <f>HYPERLINK("https://klasma.github.io/Logging_2403/klagomålsmail/A 48314-2024 FSC-klagomål mail.docx", "A 48314-2024")</f>
        <v/>
      </c>
      <c r="AC59">
        <f>HYPERLINK("https://klasma.github.io/Logging_2403/tillsyn/A 48314-2024 tillsynsbegäran.docx", "A 48314-2024")</f>
        <v/>
      </c>
      <c r="AD59">
        <f>HYPERLINK("https://klasma.github.io/Logging_2403/tillsynsmail/A 48314-2024 tillsynsbegäran mail.docx", "A 48314-2024")</f>
        <v/>
      </c>
      <c r="AE59">
        <f>HYPERLINK("https://klasma.github.io/Logging_2403/fåglar/A 48314-2024 prioriterade fågelarter.docx", "A 48314-2024")</f>
        <v/>
      </c>
    </row>
    <row r="60" ht="15" customHeight="1">
      <c r="A60" t="inlineStr">
        <is>
          <t>A 42083-2026</t>
        </is>
      </c>
      <c r="B60" t="inlineStr">
        <is>
          <t>avverkningsanmälan</t>
        </is>
      </c>
      <c r="C60" t="inlineStr">
        <is>
          <t>Föryngringsavverkning</t>
        </is>
      </c>
      <c r="D60" s="1" t="n">
        <v>46304</v>
      </c>
      <c r="E60" s="1" t="n">
        <v>46317</v>
      </c>
      <c r="F60" t="inlineStr">
        <is>
          <t>VÄSTERBOTTENS LÄN</t>
        </is>
      </c>
      <c r="G60" t="inlineStr">
        <is>
          <t>BJURHOLM</t>
        </is>
      </c>
      <c r="I60" t="n">
        <v>3.9</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HYPERLINK("https://klasma.github.io/Logging_2403/artfynd/A 42083-2026 artfynd.xlsx", "A 42083-2026")</f>
        <v/>
      </c>
      <c r="X60">
        <f>HYPERLINK("https://klasma.github.io/Logging_2403/kartor/A 42083-2026 karta.png", "A 42083-2026")</f>
        <v/>
      </c>
      <c r="Y60">
        <f>HYPERLINK("https://klasma.github.io/Logging_2403/kartor_geotiff/A 42083-2026 georefererad karta.tif", "A 42083-2026")</f>
        <v/>
      </c>
      <c r="AA60">
        <f>HYPERLINK("https://klasma.github.io/Logging_2403/klagomål/A 42083-2026 FSC-klagomål.docx", "A 42083-2026")</f>
        <v/>
      </c>
      <c r="AB60">
        <f>HYPERLINK("https://klasma.github.io/Logging_2403/klagomålsmail/A 42083-2026 FSC-klagomål mail.docx", "A 42083-2026")</f>
        <v/>
      </c>
      <c r="AC60">
        <f>HYPERLINK("https://klasma.github.io/Logging_2403/tillsyn/A 42083-2026 tillsynsbegäran.docx", "A 42083-2026")</f>
        <v/>
      </c>
      <c r="AD60">
        <f>HYPERLINK("https://klasma.github.io/Logging_2403/tillsynsmail/A 42083-2026 tillsynsbegäran mail.docx", "A 42083-2026")</f>
        <v/>
      </c>
    </row>
    <row r="61" ht="15" customHeight="1">
      <c r="A61" t="inlineStr">
        <is>
          <t>S 831-2022</t>
        </is>
      </c>
      <c r="B61" t="inlineStr">
        <is>
          <t>samrådsanmälan</t>
        </is>
      </c>
      <c r="C61" t="inlineStr">
        <is>
          <t>Skogsgödsling</t>
        </is>
      </c>
      <c r="D61" s="1" t="n">
        <v>44603</v>
      </c>
      <c r="E61" s="1" t="n">
        <v>46317</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46317</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46317</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46317</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46317</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46317</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46317</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46317</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46317</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46317</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46317</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46317</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46317</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46317</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20830-2022</t>
        </is>
      </c>
      <c r="B75" t="inlineStr">
        <is>
          <t>avverkningsanmälan</t>
        </is>
      </c>
      <c r="C75" t="inlineStr">
        <is>
          <t>Föryngringsavverkning</t>
        </is>
      </c>
      <c r="D75" s="1" t="n">
        <v>44701</v>
      </c>
      <c r="E75" s="1" t="n">
        <v>46317</v>
      </c>
      <c r="F75" t="inlineStr">
        <is>
          <t>VÄSTERBOTTENS LÄN</t>
        </is>
      </c>
      <c r="G75" t="inlineStr">
        <is>
          <t>BJURHOLM</t>
        </is>
      </c>
      <c r="H75" t="inlineStr">
        <is>
          <t>Holmen skog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46317</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46317</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46317</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46317</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46317</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49648-2022</t>
        </is>
      </c>
      <c r="B81" t="inlineStr">
        <is>
          <t>avverkningsanmälan</t>
        </is>
      </c>
      <c r="C81" t="inlineStr">
        <is>
          <t>Föryngringsavverkning</t>
        </is>
      </c>
      <c r="D81" s="1" t="n">
        <v>44862</v>
      </c>
      <c r="E81" s="1" t="n">
        <v>46317</v>
      </c>
      <c r="F81" t="inlineStr">
        <is>
          <t>VÄSTERBOTTENS LÄN</t>
        </is>
      </c>
      <c r="G81" t="inlineStr">
        <is>
          <t>BJURHOLM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46317</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46317</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9927-2022</t>
        </is>
      </c>
      <c r="B84" t="inlineStr">
        <is>
          <t>avverkningsanmälan</t>
        </is>
      </c>
      <c r="C84" t="inlineStr">
        <is>
          <t>Föryngringsavverkning</t>
        </is>
      </c>
      <c r="D84" s="1" t="n">
        <v>44620</v>
      </c>
      <c r="E84" s="1" t="n">
        <v>46317</v>
      </c>
      <c r="F84" t="inlineStr">
        <is>
          <t>VÄSTERBOTTENS LÄN</t>
        </is>
      </c>
      <c r="G84" t="inlineStr">
        <is>
          <t>BJURHOLM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46317</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46317</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44790-2023</t>
        </is>
      </c>
      <c r="B87" t="inlineStr">
        <is>
          <t>avverkningsanmälan</t>
        </is>
      </c>
      <c r="C87" t="inlineStr">
        <is>
          <t>Föryngringsavverkning</t>
        </is>
      </c>
      <c r="D87" s="1" t="n">
        <v>45190</v>
      </c>
      <c r="E87" s="1" t="n">
        <v>46317</v>
      </c>
      <c r="F87" t="inlineStr">
        <is>
          <t>VÄSTERBOTTENS LÄN</t>
        </is>
      </c>
      <c r="G87" t="inlineStr">
        <is>
          <t>BJURHOLM</t>
        </is>
      </c>
      <c r="H87" t="inlineStr">
        <is>
          <t>Holmen skog AB</t>
        </is>
      </c>
      <c r="I87" t="n">
        <v>21.7</v>
      </c>
      <c r="J87" t="n">
        <v>0</v>
      </c>
      <c r="K87" t="n">
        <v>0</v>
      </c>
      <c r="L87" t="n">
        <v>0</v>
      </c>
      <c r="M87" t="n">
        <v>0</v>
      </c>
      <c r="N87" t="n">
        <v>0</v>
      </c>
      <c r="O87" t="n">
        <v>0</v>
      </c>
      <c r="P87" t="n">
        <v>0</v>
      </c>
      <c r="Q87" t="n">
        <v>0</v>
      </c>
      <c r="R87" t="n">
        <v>0</v>
      </c>
      <c r="S87" t="n">
        <v>0</v>
      </c>
      <c r="T87" t="n">
        <v>0</v>
      </c>
      <c r="U87" t="n">
        <v>0</v>
      </c>
      <c r="V87" s="2" t="inlineStr"/>
    </row>
    <row r="88" ht="15" customHeight="1">
      <c r="A88" t="inlineStr">
        <is>
          <t>A 57877-2023</t>
        </is>
      </c>
      <c r="B88" t="inlineStr">
        <is>
          <t>avverkningsanmälan</t>
        </is>
      </c>
      <c r="C88" t="inlineStr">
        <is>
          <t>Föryngringsavverkning</t>
        </is>
      </c>
      <c r="D88" s="1" t="n">
        <v>45247</v>
      </c>
      <c r="E88" s="1" t="n">
        <v>46317</v>
      </c>
      <c r="F88" t="inlineStr">
        <is>
          <t>VÄSTERBOTTENS LÄN</t>
        </is>
      </c>
      <c r="G88" t="inlineStr">
        <is>
          <t>BJURHOLM</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31782-2022</t>
        </is>
      </c>
      <c r="B89" t="inlineStr">
        <is>
          <t>avverkningsanmälan</t>
        </is>
      </c>
      <c r="C89" t="inlineStr">
        <is>
          <t>Föryngringsavverkning</t>
        </is>
      </c>
      <c r="D89" s="1" t="n">
        <v>44776</v>
      </c>
      <c r="E89" s="1" t="n">
        <v>46317</v>
      </c>
      <c r="F89" t="inlineStr">
        <is>
          <t>VÄSTERBOTTENS LÄN</t>
        </is>
      </c>
      <c r="G89" t="inlineStr">
        <is>
          <t>BJURHOLM</t>
        </is>
      </c>
      <c r="H89" t="inlineStr">
        <is>
          <t>Holmen skog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3058-2025</t>
        </is>
      </c>
      <c r="B90" t="inlineStr">
        <is>
          <t>avverkningsanmälan</t>
        </is>
      </c>
      <c r="C90" t="inlineStr">
        <is>
          <t>Föryngringsavverkning</t>
        </is>
      </c>
      <c r="D90" s="1" t="n">
        <v>45678</v>
      </c>
      <c r="E90" s="1" t="n">
        <v>46317</v>
      </c>
      <c r="F90" t="inlineStr">
        <is>
          <t>VÄSTERBOTTENS LÄN</t>
        </is>
      </c>
      <c r="G90" t="inlineStr">
        <is>
          <t>BJURHOLM</t>
        </is>
      </c>
      <c r="H90" t="inlineStr">
        <is>
          <t>Sveaskog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22036-2023</t>
        </is>
      </c>
      <c r="B91" t="inlineStr">
        <is>
          <t>avverkningsanmälan</t>
        </is>
      </c>
      <c r="C91" t="inlineStr">
        <is>
          <t>Föryngringsavverkning</t>
        </is>
      </c>
      <c r="D91" s="1" t="n">
        <v>45069</v>
      </c>
      <c r="E91" s="1" t="n">
        <v>46317</v>
      </c>
      <c r="F91" t="inlineStr">
        <is>
          <t>VÄSTERBOTTENS LÄN</t>
        </is>
      </c>
      <c r="G91" t="inlineStr">
        <is>
          <t>BJURHOLM</t>
        </is>
      </c>
      <c r="H91" t="inlineStr">
        <is>
          <t>Holmen skog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36991-2022</t>
        </is>
      </c>
      <c r="B92" t="inlineStr">
        <is>
          <t>avverkningsanmälan</t>
        </is>
      </c>
      <c r="C92" t="inlineStr">
        <is>
          <t>Föryngringsavverkning</t>
        </is>
      </c>
      <c r="D92" s="1" t="n">
        <v>44806</v>
      </c>
      <c r="E92" s="1" t="n">
        <v>46317</v>
      </c>
      <c r="F92" t="inlineStr">
        <is>
          <t>VÄSTERBOTTENS LÄN</t>
        </is>
      </c>
      <c r="G92" t="inlineStr">
        <is>
          <t>BJURHOLM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14414-2024</t>
        </is>
      </c>
      <c r="B93" t="inlineStr">
        <is>
          <t>avverkningsanmälan</t>
        </is>
      </c>
      <c r="C93" t="inlineStr">
        <is>
          <t>Föryngringsavverkning</t>
        </is>
      </c>
      <c r="D93" s="1" t="n">
        <v>45393</v>
      </c>
      <c r="E93" s="1" t="n">
        <v>46317</v>
      </c>
      <c r="F93" t="inlineStr">
        <is>
          <t>VÄSTERBOTTENS LÄN</t>
        </is>
      </c>
      <c r="G93" t="inlineStr">
        <is>
          <t>BJURHOLM</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14438-2024</t>
        </is>
      </c>
      <c r="B94" t="inlineStr">
        <is>
          <t>avverkningsanmälan</t>
        </is>
      </c>
      <c r="C94" t="inlineStr">
        <is>
          <t>Föryngringsavverkning</t>
        </is>
      </c>
      <c r="D94" s="1" t="n">
        <v>45394</v>
      </c>
      <c r="E94" s="1" t="n">
        <v>46317</v>
      </c>
      <c r="F94" t="inlineStr">
        <is>
          <t>VÄSTERBOTTENS LÄN</t>
        </is>
      </c>
      <c r="G94" t="inlineStr">
        <is>
          <t>BJURHOLM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14443-2024</t>
        </is>
      </c>
      <c r="B95" t="inlineStr">
        <is>
          <t>avverkningsanmälan</t>
        </is>
      </c>
      <c r="C95" t="inlineStr">
        <is>
          <t>Föryngringsavverkning</t>
        </is>
      </c>
      <c r="D95" s="1" t="n">
        <v>45394</v>
      </c>
      <c r="E95" s="1" t="n">
        <v>46317</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23184-2024</t>
        </is>
      </c>
      <c r="B96" t="inlineStr">
        <is>
          <t>avverkningsanmälan</t>
        </is>
      </c>
      <c r="C96" t="inlineStr">
        <is>
          <t>Föryngringsavverkning</t>
        </is>
      </c>
      <c r="D96" s="1" t="n">
        <v>45450</v>
      </c>
      <c r="E96" s="1" t="n">
        <v>46317</v>
      </c>
      <c r="F96" t="inlineStr">
        <is>
          <t>VÄSTERBOTTENS LÄN</t>
        </is>
      </c>
      <c r="G96" t="inlineStr">
        <is>
          <t>BJURHOLM</t>
        </is>
      </c>
      <c r="H96" t="inlineStr">
        <is>
          <t>SCA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16327-2024</t>
        </is>
      </c>
      <c r="B97" t="inlineStr">
        <is>
          <t>avverkningsanmälan</t>
        </is>
      </c>
      <c r="C97" t="inlineStr">
        <is>
          <t>Föryngringsavverkning</t>
        </is>
      </c>
      <c r="D97" s="1" t="n">
        <v>45407</v>
      </c>
      <c r="E97" s="1" t="n">
        <v>46317</v>
      </c>
      <c r="F97" t="inlineStr">
        <is>
          <t>VÄSTERBOTTENS LÄN</t>
        </is>
      </c>
      <c r="G97" t="inlineStr">
        <is>
          <t>BJURHOLM</t>
        </is>
      </c>
      <c r="H97" t="inlineStr">
        <is>
          <t>Holmen skog AB</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32989-2022</t>
        </is>
      </c>
      <c r="B98" t="inlineStr">
        <is>
          <t>avverkningsanmälan</t>
        </is>
      </c>
      <c r="C98" t="inlineStr">
        <is>
          <t>Föryngringsavverkning</t>
        </is>
      </c>
      <c r="D98" s="1" t="n">
        <v>44784</v>
      </c>
      <c r="E98" s="1" t="n">
        <v>46317</v>
      </c>
      <c r="F98" t="inlineStr">
        <is>
          <t>VÄSTERBOTTENS LÄN</t>
        </is>
      </c>
      <c r="G98" t="inlineStr">
        <is>
          <t>BJURHOLM</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23074-2025</t>
        </is>
      </c>
      <c r="B99" t="inlineStr">
        <is>
          <t>avverkningsanmälan</t>
        </is>
      </c>
      <c r="C99" t="inlineStr">
        <is>
          <t>Föryngringsavverkning</t>
        </is>
      </c>
      <c r="D99" s="1" t="n">
        <v>45790</v>
      </c>
      <c r="E99" s="1" t="n">
        <v>46317</v>
      </c>
      <c r="F99" t="inlineStr">
        <is>
          <t>VÄSTERBOTTENS LÄN</t>
        </is>
      </c>
      <c r="G99" t="inlineStr">
        <is>
          <t>BJURHOLM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62700-2025</t>
        </is>
      </c>
      <c r="B100" t="inlineStr">
        <is>
          <t>avverkningsanmälan</t>
        </is>
      </c>
      <c r="C100" t="inlineStr">
        <is>
          <t>Föryngringsavverkning</t>
        </is>
      </c>
      <c r="D100" s="1" t="n">
        <v>46008</v>
      </c>
      <c r="E100" s="1" t="n">
        <v>46317</v>
      </c>
      <c r="F100" t="inlineStr">
        <is>
          <t>VÄSTERBOTTENS LÄN</t>
        </is>
      </c>
      <c r="G100" t="inlineStr">
        <is>
          <t>BJURHOLM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62701-2025</t>
        </is>
      </c>
      <c r="B101" t="inlineStr">
        <is>
          <t>avverkningsanmälan</t>
        </is>
      </c>
      <c r="C101" t="inlineStr">
        <is>
          <t>Föryngringsavverkning</t>
        </is>
      </c>
      <c r="D101" s="1" t="n">
        <v>46008</v>
      </c>
      <c r="E101" s="1" t="n">
        <v>46317</v>
      </c>
      <c r="F101" t="inlineStr">
        <is>
          <t>VÄSTERBOTTENS LÄN</t>
        </is>
      </c>
      <c r="G101" t="inlineStr">
        <is>
          <t>BJURHOLM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29095-2024</t>
        </is>
      </c>
      <c r="B102" t="inlineStr">
        <is>
          <t>avverkningsanmälan</t>
        </is>
      </c>
      <c r="C102" t="inlineStr">
        <is>
          <t>Föryngringsavverkning</t>
        </is>
      </c>
      <c r="D102" s="1" t="n">
        <v>45481</v>
      </c>
      <c r="E102" s="1" t="n">
        <v>46317</v>
      </c>
      <c r="F102" t="inlineStr">
        <is>
          <t>VÄSTERBOTTENS LÄN</t>
        </is>
      </c>
      <c r="G102" t="inlineStr">
        <is>
          <t>BJURHOLM</t>
        </is>
      </c>
      <c r="H102" t="inlineStr">
        <is>
          <t>SCA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62591-2025</t>
        </is>
      </c>
      <c r="B103" t="inlineStr">
        <is>
          <t>avverkningsanmälan</t>
        </is>
      </c>
      <c r="C103" t="inlineStr">
        <is>
          <t>Föryngringsavverkning</t>
        </is>
      </c>
      <c r="D103" s="1" t="n">
        <v>46007</v>
      </c>
      <c r="E103" s="1" t="n">
        <v>46317</v>
      </c>
      <c r="F103" t="inlineStr">
        <is>
          <t>VÄSTERBOTTENS LÄN</t>
        </is>
      </c>
      <c r="G103" t="inlineStr">
        <is>
          <t>BJURHOLM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29641-2024</t>
        </is>
      </c>
      <c r="B104" t="inlineStr">
        <is>
          <t>avverkningsanmälan</t>
        </is>
      </c>
      <c r="C104" t="inlineStr">
        <is>
          <t>Föryngringsavverkning</t>
        </is>
      </c>
      <c r="D104" s="1" t="n">
        <v>45484</v>
      </c>
      <c r="E104" s="1" t="n">
        <v>46317</v>
      </c>
      <c r="F104" t="inlineStr">
        <is>
          <t>VÄSTERBOTTENS LÄN</t>
        </is>
      </c>
      <c r="G104" t="inlineStr">
        <is>
          <t>BJURHOLM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43043-2024</t>
        </is>
      </c>
      <c r="B105" t="inlineStr">
        <is>
          <t>avverkningsanmälan</t>
        </is>
      </c>
      <c r="C105" t="inlineStr">
        <is>
          <t>Föryngringsavverkning</t>
        </is>
      </c>
      <c r="D105" s="1" t="n">
        <v>45567</v>
      </c>
      <c r="E105" s="1" t="n">
        <v>46317</v>
      </c>
      <c r="F105" t="inlineStr">
        <is>
          <t>VÄSTERBOTTENS LÄN</t>
        </is>
      </c>
      <c r="G105" t="inlineStr">
        <is>
          <t>BJURHOLM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22408-2024</t>
        </is>
      </c>
      <c r="B106" t="inlineStr">
        <is>
          <t>avverkningsanmälan</t>
        </is>
      </c>
      <c r="C106" t="inlineStr">
        <is>
          <t>Föryngringsavverkning</t>
        </is>
      </c>
      <c r="D106" s="1" t="n">
        <v>45446</v>
      </c>
      <c r="E106" s="1" t="n">
        <v>46317</v>
      </c>
      <c r="F106" t="inlineStr">
        <is>
          <t>VÄSTERBOTTENS LÄN</t>
        </is>
      </c>
      <c r="G106" t="inlineStr">
        <is>
          <t>BJURHOLM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38818-2025</t>
        </is>
      </c>
      <c r="B107" t="inlineStr">
        <is>
          <t>avverkningsanmälan</t>
        </is>
      </c>
      <c r="C107" t="inlineStr">
        <is>
          <t>Föryngringsavverkning</t>
        </is>
      </c>
      <c r="D107" s="1" t="n">
        <v>45887</v>
      </c>
      <c r="E107" s="1" t="n">
        <v>46317</v>
      </c>
      <c r="F107" t="inlineStr">
        <is>
          <t>VÄSTERBOTTENS LÄN</t>
        </is>
      </c>
      <c r="G107" t="inlineStr">
        <is>
          <t>BJURHOLM</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3493-2023</t>
        </is>
      </c>
      <c r="B108" t="inlineStr">
        <is>
          <t>avverkningsanmälan</t>
        </is>
      </c>
      <c r="C108" t="inlineStr">
        <is>
          <t>Föryngringsavverkning</t>
        </is>
      </c>
      <c r="D108" s="1" t="n">
        <v>44949</v>
      </c>
      <c r="E108" s="1" t="n">
        <v>46317</v>
      </c>
      <c r="F108" t="inlineStr">
        <is>
          <t>VÄSTERBOTTENS LÄN</t>
        </is>
      </c>
      <c r="G108" t="inlineStr">
        <is>
          <t>BJURHOLM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51239-2022</t>
        </is>
      </c>
      <c r="B109" t="inlineStr">
        <is>
          <t>avverkningsanmälan</t>
        </is>
      </c>
      <c r="C109" t="inlineStr">
        <is>
          <t>Föryngringsavverkning</t>
        </is>
      </c>
      <c r="D109" s="1" t="n">
        <v>44866</v>
      </c>
      <c r="E109" s="1" t="n">
        <v>46317</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39255-2025</t>
        </is>
      </c>
      <c r="B110" t="inlineStr">
        <is>
          <t>avverkningsanmälan</t>
        </is>
      </c>
      <c r="C110" t="inlineStr">
        <is>
          <t>Föryngringsavverkning</t>
        </is>
      </c>
      <c r="D110" s="1" t="n">
        <v>45889</v>
      </c>
      <c r="E110" s="1" t="n">
        <v>46317</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39267-2025</t>
        </is>
      </c>
      <c r="B111" t="inlineStr">
        <is>
          <t>avverkningsanmälan</t>
        </is>
      </c>
      <c r="C111" t="inlineStr">
        <is>
          <t>Föryngringsavverkning</t>
        </is>
      </c>
      <c r="D111" s="1" t="n">
        <v>45889</v>
      </c>
      <c r="E111" s="1" t="n">
        <v>46317</v>
      </c>
      <c r="F111" t="inlineStr">
        <is>
          <t>VÄSTERBOTTENS LÄN</t>
        </is>
      </c>
      <c r="G111" t="inlineStr">
        <is>
          <t>BJURHOLM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39252-2025</t>
        </is>
      </c>
      <c r="B112" t="inlineStr">
        <is>
          <t>avverkningsanmälan</t>
        </is>
      </c>
      <c r="C112" t="inlineStr">
        <is>
          <t>Föryngringsavverkning</t>
        </is>
      </c>
      <c r="D112" s="1" t="n">
        <v>45889</v>
      </c>
      <c r="E112" s="1" t="n">
        <v>46317</v>
      </c>
      <c r="F112" t="inlineStr">
        <is>
          <t>VÄSTERBOTTENS LÄN</t>
        </is>
      </c>
      <c r="G112" t="inlineStr">
        <is>
          <t>BJURHOLM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39263-2025</t>
        </is>
      </c>
      <c r="B113" t="inlineStr">
        <is>
          <t>avverkningsanmälan</t>
        </is>
      </c>
      <c r="C113" t="inlineStr">
        <is>
          <t>Föryngringsavverkning</t>
        </is>
      </c>
      <c r="D113" s="1" t="n">
        <v>45889</v>
      </c>
      <c r="E113" s="1" t="n">
        <v>46317</v>
      </c>
      <c r="F113" t="inlineStr">
        <is>
          <t>VÄSTERBOTTENS LÄN</t>
        </is>
      </c>
      <c r="G113" t="inlineStr">
        <is>
          <t>BJURHOLM</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32436-2024</t>
        </is>
      </c>
      <c r="B114" t="inlineStr">
        <is>
          <t>avverkningsanmälan</t>
        </is>
      </c>
      <c r="C114" t="inlineStr">
        <is>
          <t>Föryngringsavverkning</t>
        </is>
      </c>
      <c r="D114" s="1" t="n">
        <v>45512</v>
      </c>
      <c r="E114" s="1" t="n">
        <v>46317</v>
      </c>
      <c r="F114" t="inlineStr">
        <is>
          <t>VÄSTERBOTTENS LÄN</t>
        </is>
      </c>
      <c r="G114" t="inlineStr">
        <is>
          <t>BJURHOLM</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25405-2025</t>
        </is>
      </c>
      <c r="B115" t="inlineStr">
        <is>
          <t>avverkningsanmälan</t>
        </is>
      </c>
      <c r="C115" t="inlineStr">
        <is>
          <t>Föryngringsavverkning</t>
        </is>
      </c>
      <c r="D115" s="1" t="n">
        <v>45800</v>
      </c>
      <c r="E115" s="1" t="n">
        <v>46317</v>
      </c>
      <c r="F115" t="inlineStr">
        <is>
          <t>VÄSTERBOTTENS LÄN</t>
        </is>
      </c>
      <c r="G115" t="inlineStr">
        <is>
          <t>BJURHOLM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36978-2024</t>
        </is>
      </c>
      <c r="B116" t="inlineStr">
        <is>
          <t>avverkningsanmälan</t>
        </is>
      </c>
      <c r="C116" t="inlineStr">
        <is>
          <t>Avverkning för annat ändamål</t>
        </is>
      </c>
      <c r="D116" s="1" t="n">
        <v>45539</v>
      </c>
      <c r="E116" s="1" t="n">
        <v>46317</v>
      </c>
      <c r="F116" t="inlineStr">
        <is>
          <t>VÄSTERBOTTENS LÄN</t>
        </is>
      </c>
      <c r="G116" t="inlineStr">
        <is>
          <t>BJURHOLM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22502-2024</t>
        </is>
      </c>
      <c r="B117" t="inlineStr">
        <is>
          <t>avverkningsanmälan</t>
        </is>
      </c>
      <c r="C117" t="inlineStr">
        <is>
          <t>Föryngringsavverkning</t>
        </is>
      </c>
      <c r="D117" s="1" t="n">
        <v>45447</v>
      </c>
      <c r="E117" s="1" t="n">
        <v>46317</v>
      </c>
      <c r="F117" t="inlineStr">
        <is>
          <t>VÄSTERBOTTENS LÄN</t>
        </is>
      </c>
      <c r="G117" t="inlineStr">
        <is>
          <t>BJURHOLM</t>
        </is>
      </c>
      <c r="H117" t="inlineStr">
        <is>
          <t>Holmen skog AB</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31575-2024</t>
        </is>
      </c>
      <c r="B118" t="inlineStr">
        <is>
          <t>avverkningsanmälan</t>
        </is>
      </c>
      <c r="C118" t="inlineStr">
        <is>
          <t>Föryngringsavverkning</t>
        </is>
      </c>
      <c r="D118" s="1" t="n">
        <v>45506</v>
      </c>
      <c r="E118" s="1" t="n">
        <v>46317</v>
      </c>
      <c r="F118" t="inlineStr">
        <is>
          <t>VÄSTERBOTTENS LÄN</t>
        </is>
      </c>
      <c r="G118" t="inlineStr">
        <is>
          <t>BJURHOLM</t>
        </is>
      </c>
      <c r="H118" t="inlineStr">
        <is>
          <t>Holmen skog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40916-2025</t>
        </is>
      </c>
      <c r="B119" t="inlineStr">
        <is>
          <t>avverkningsanmälan</t>
        </is>
      </c>
      <c r="C119" t="inlineStr">
        <is>
          <t>Föryngringsavverkning</t>
        </is>
      </c>
      <c r="D119" s="1" t="n">
        <v>45897</v>
      </c>
      <c r="E119" s="1" t="n">
        <v>46317</v>
      </c>
      <c r="F119" t="inlineStr">
        <is>
          <t>VÄSTERBOTTENS LÄN</t>
        </is>
      </c>
      <c r="G119" t="inlineStr">
        <is>
          <t>BJURHOLM</t>
        </is>
      </c>
      <c r="H119" t="inlineStr">
        <is>
          <t>SCA</t>
        </is>
      </c>
      <c r="I119" t="n">
        <v>48.1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58489-2023</t>
        </is>
      </c>
      <c r="B120" t="inlineStr">
        <is>
          <t>avverkningsanmälan</t>
        </is>
      </c>
      <c r="C120" t="inlineStr">
        <is>
          <t>Föryngringsavverkning</t>
        </is>
      </c>
      <c r="D120" s="1" t="n">
        <v>45251</v>
      </c>
      <c r="E120" s="1" t="n">
        <v>46317</v>
      </c>
      <c r="F120" t="inlineStr">
        <is>
          <t>VÄSTERBOTTENS LÄN</t>
        </is>
      </c>
      <c r="G120" t="inlineStr">
        <is>
          <t>BJURHOLM</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59675-2021</t>
        </is>
      </c>
      <c r="B121" t="inlineStr">
        <is>
          <t>avverkningsanmälan</t>
        </is>
      </c>
      <c r="C121" t="inlineStr">
        <is>
          <t>Avverkning för annat ändamål</t>
        </is>
      </c>
      <c r="D121" s="1" t="n">
        <v>44494</v>
      </c>
      <c r="E121" s="1" t="n">
        <v>46317</v>
      </c>
      <c r="F121" t="inlineStr">
        <is>
          <t>VÄSTERBOTTENS LÄN</t>
        </is>
      </c>
      <c r="G121" t="inlineStr">
        <is>
          <t>BJURHOLM</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27953-2024</t>
        </is>
      </c>
      <c r="B122" t="inlineStr">
        <is>
          <t>avverkningsanmälan</t>
        </is>
      </c>
      <c r="C122" t="inlineStr">
        <is>
          <t>Föryngringsavverkning</t>
        </is>
      </c>
      <c r="D122" s="1" t="n">
        <v>45476</v>
      </c>
      <c r="E122" s="1" t="n">
        <v>46317</v>
      </c>
      <c r="F122" t="inlineStr">
        <is>
          <t>VÄSTERBOTTENS LÄN</t>
        </is>
      </c>
      <c r="G122" t="inlineStr">
        <is>
          <t>BJURHOLM</t>
        </is>
      </c>
      <c r="H122" t="inlineStr">
        <is>
          <t>Holmen skog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39101-2024</t>
        </is>
      </c>
      <c r="B123" t="inlineStr">
        <is>
          <t>avverkningsanmälan</t>
        </is>
      </c>
      <c r="C123" t="inlineStr">
        <is>
          <t>Föryngringsavverkning</t>
        </is>
      </c>
      <c r="D123" s="1" t="n">
        <v>45548</v>
      </c>
      <c r="E123" s="1" t="n">
        <v>46317</v>
      </c>
      <c r="F123" t="inlineStr">
        <is>
          <t>VÄSTERBOTTENS LÄN</t>
        </is>
      </c>
      <c r="G123" t="inlineStr">
        <is>
          <t>BJURHOLM</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42779-2025</t>
        </is>
      </c>
      <c r="B124" t="inlineStr">
        <is>
          <t>avverkningsanmälan</t>
        </is>
      </c>
      <c r="C124" t="inlineStr">
        <is>
          <t>Föryngringsavverkning</t>
        </is>
      </c>
      <c r="D124" s="1" t="n">
        <v>45908</v>
      </c>
      <c r="E124" s="1" t="n">
        <v>46317</v>
      </c>
      <c r="F124" t="inlineStr">
        <is>
          <t>VÄSTERBOTTENS LÄN</t>
        </is>
      </c>
      <c r="G124" t="inlineStr">
        <is>
          <t>BJURHOLM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26883-2025</t>
        </is>
      </c>
      <c r="B125" t="inlineStr">
        <is>
          <t>avverkningsanmälan</t>
        </is>
      </c>
      <c r="C125" t="inlineStr">
        <is>
          <t>Föryngringsavverkning</t>
        </is>
      </c>
      <c r="D125" s="1" t="n">
        <v>45810</v>
      </c>
      <c r="E125" s="1" t="n">
        <v>46317</v>
      </c>
      <c r="F125" t="inlineStr">
        <is>
          <t>VÄSTERBOTTENS LÄN</t>
        </is>
      </c>
      <c r="G125" t="inlineStr">
        <is>
          <t>BJURHOLM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27597-2025</t>
        </is>
      </c>
      <c r="B126" t="inlineStr">
        <is>
          <t>avverkningsanmälan</t>
        </is>
      </c>
      <c r="C126" t="inlineStr">
        <is>
          <t>Föryngringsavverkning</t>
        </is>
      </c>
      <c r="D126" s="1" t="n">
        <v>45813</v>
      </c>
      <c r="E126" s="1" t="n">
        <v>46317</v>
      </c>
      <c r="F126" t="inlineStr">
        <is>
          <t>VÄSTERBOTTENS LÄN</t>
        </is>
      </c>
      <c r="G126" t="inlineStr">
        <is>
          <t>BJURHOLM</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27612-2025</t>
        </is>
      </c>
      <c r="B127" t="inlineStr">
        <is>
          <t>avverkningsanmälan</t>
        </is>
      </c>
      <c r="C127" t="inlineStr">
        <is>
          <t>Föryngringsavverkning</t>
        </is>
      </c>
      <c r="D127" s="1" t="n">
        <v>45813</v>
      </c>
      <c r="E127" s="1" t="n">
        <v>46317</v>
      </c>
      <c r="F127" t="inlineStr">
        <is>
          <t>VÄSTERBOTTENS LÄN</t>
        </is>
      </c>
      <c r="G127" t="inlineStr">
        <is>
          <t>BJURHOLM</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53261-2024</t>
        </is>
      </c>
      <c r="B128" t="inlineStr">
        <is>
          <t>avverkningsanmälan</t>
        </is>
      </c>
      <c r="C128" t="inlineStr">
        <is>
          <t>Föryngringsavverkning</t>
        </is>
      </c>
      <c r="D128" s="1" t="n">
        <v>45614</v>
      </c>
      <c r="E128" s="1" t="n">
        <v>46317</v>
      </c>
      <c r="F128" t="inlineStr">
        <is>
          <t>VÄSTERBOTTENS LÄN</t>
        </is>
      </c>
      <c r="G128" t="inlineStr">
        <is>
          <t>BJURHOLM</t>
        </is>
      </c>
      <c r="H128" t="inlineStr">
        <is>
          <t>SCA</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27614-2025</t>
        </is>
      </c>
      <c r="B129" t="inlineStr">
        <is>
          <t>avverkningsanmälan</t>
        </is>
      </c>
      <c r="C129" t="inlineStr">
        <is>
          <t>Föryngringsavverkning</t>
        </is>
      </c>
      <c r="D129" s="1" t="n">
        <v>45813</v>
      </c>
      <c r="E129" s="1" t="n">
        <v>46317</v>
      </c>
      <c r="F129" t="inlineStr">
        <is>
          <t>VÄSTERBOTTENS LÄN</t>
        </is>
      </c>
      <c r="G129" t="inlineStr">
        <is>
          <t>BJURHOLM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20777-2024</t>
        </is>
      </c>
      <c r="B130" t="inlineStr">
        <is>
          <t>avverkningsanmälan</t>
        </is>
      </c>
      <c r="C130" t="inlineStr">
        <is>
          <t>Föryngringsavverkning</t>
        </is>
      </c>
      <c r="D130" s="1" t="n">
        <v>45436</v>
      </c>
      <c r="E130" s="1" t="n">
        <v>46317</v>
      </c>
      <c r="F130" t="inlineStr">
        <is>
          <t>VÄSTERBOTTENS LÄN</t>
        </is>
      </c>
      <c r="G130" t="inlineStr">
        <is>
          <t>BJURHOLM</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44112-2025</t>
        </is>
      </c>
      <c r="B131" t="inlineStr">
        <is>
          <t>avverkningsanmälan</t>
        </is>
      </c>
      <c r="C131" t="inlineStr">
        <is>
          <t>Föryngringsavverkning</t>
        </is>
      </c>
      <c r="D131" s="1" t="n">
        <v>45915</v>
      </c>
      <c r="E131" s="1" t="n">
        <v>46317</v>
      </c>
      <c r="F131" t="inlineStr">
        <is>
          <t>VÄSTERBOTTENS LÄN</t>
        </is>
      </c>
      <c r="G131" t="inlineStr">
        <is>
          <t>BJURHOLM</t>
        </is>
      </c>
      <c r="H131" t="inlineStr">
        <is>
          <t>Sveaskog</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44487-2025</t>
        </is>
      </c>
      <c r="B132" t="inlineStr">
        <is>
          <t>avverkningsanmälan</t>
        </is>
      </c>
      <c r="C132" t="inlineStr">
        <is>
          <t>Föryngringsavverkning</t>
        </is>
      </c>
      <c r="D132" s="1" t="n">
        <v>45916</v>
      </c>
      <c r="E132" s="1" t="n">
        <v>46317</v>
      </c>
      <c r="F132" t="inlineStr">
        <is>
          <t>VÄSTERBOTTENS LÄN</t>
        </is>
      </c>
      <c r="G132" t="inlineStr">
        <is>
          <t>BJURHOLM</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60692-2022</t>
        </is>
      </c>
      <c r="B133" t="inlineStr">
        <is>
          <t>avverkningsanmälan</t>
        </is>
      </c>
      <c r="C133" t="inlineStr">
        <is>
          <t>Föryngringsavverkning</t>
        </is>
      </c>
      <c r="D133" s="1" t="n">
        <v>44911</v>
      </c>
      <c r="E133" s="1" t="n">
        <v>46317</v>
      </c>
      <c r="F133" t="inlineStr">
        <is>
          <t>VÄSTERBOTTENS LÄN</t>
        </is>
      </c>
      <c r="G133" t="inlineStr">
        <is>
          <t>BJURHOLM</t>
        </is>
      </c>
      <c r="H133" t="inlineStr">
        <is>
          <t>SCA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19573-2024</t>
        </is>
      </c>
      <c r="B134" t="inlineStr">
        <is>
          <t>avverkningsanmälan</t>
        </is>
      </c>
      <c r="C134" t="inlineStr">
        <is>
          <t>Föryngringsavverkning</t>
        </is>
      </c>
      <c r="D134" s="1" t="n">
        <v>45429</v>
      </c>
      <c r="E134" s="1" t="n">
        <v>46317</v>
      </c>
      <c r="F134" t="inlineStr">
        <is>
          <t>VÄSTERBOTTENS LÄN</t>
        </is>
      </c>
      <c r="G134" t="inlineStr">
        <is>
          <t>BJURHOLM</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45163-2025</t>
        </is>
      </c>
      <c r="B135" t="inlineStr">
        <is>
          <t>avverkningsanmälan</t>
        </is>
      </c>
      <c r="C135" t="inlineStr">
        <is>
          <t>Föryngringsavverkning</t>
        </is>
      </c>
      <c r="D135" s="1" t="n">
        <v>45919</v>
      </c>
      <c r="E135" s="1" t="n">
        <v>46317</v>
      </c>
      <c r="F135" t="inlineStr">
        <is>
          <t>VÄSTERBOTTENS LÄN</t>
        </is>
      </c>
      <c r="G135" t="inlineStr">
        <is>
          <t>BJURHOLM</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29712-2025</t>
        </is>
      </c>
      <c r="B136" t="inlineStr">
        <is>
          <t>avverkningsanmälan</t>
        </is>
      </c>
      <c r="C136" t="inlineStr">
        <is>
          <t>Föryngringsavverkning</t>
        </is>
      </c>
      <c r="D136" s="1" t="n">
        <v>45825</v>
      </c>
      <c r="E136" s="1" t="n">
        <v>46317</v>
      </c>
      <c r="F136" t="inlineStr">
        <is>
          <t>VÄSTERBOTTENS LÄN</t>
        </is>
      </c>
      <c r="G136" t="inlineStr">
        <is>
          <t>BJURHOLM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30672-2025</t>
        </is>
      </c>
      <c r="B137" t="inlineStr">
        <is>
          <t>avverkningsanmälan</t>
        </is>
      </c>
      <c r="C137" t="inlineStr">
        <is>
          <t>Föryngringsavverkning</t>
        </is>
      </c>
      <c r="D137" s="1" t="n">
        <v>45831</v>
      </c>
      <c r="E137" s="1" t="n">
        <v>46317</v>
      </c>
      <c r="F137" t="inlineStr">
        <is>
          <t>VÄSTERBOTTENS LÄN</t>
        </is>
      </c>
      <c r="G137" t="inlineStr">
        <is>
          <t>BJURHOLM</t>
        </is>
      </c>
      <c r="H137" t="inlineStr">
        <is>
          <t>Sveaskog</t>
        </is>
      </c>
      <c r="I137" t="n">
        <v>20.4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47151-2025</t>
        </is>
      </c>
      <c r="B138" t="inlineStr">
        <is>
          <t>avverkningsanmälan</t>
        </is>
      </c>
      <c r="C138" t="inlineStr">
        <is>
          <t>Föryngringsavverkning</t>
        </is>
      </c>
      <c r="D138" s="1" t="n">
        <v>45929</v>
      </c>
      <c r="E138" s="1" t="n">
        <v>46317</v>
      </c>
      <c r="F138" t="inlineStr">
        <is>
          <t>VÄSTERBOTTENS LÄN</t>
        </is>
      </c>
      <c r="G138" t="inlineStr">
        <is>
          <t>BJURHOLM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46884-2025</t>
        </is>
      </c>
      <c r="B139" t="inlineStr">
        <is>
          <t>avverkningsanmälan</t>
        </is>
      </c>
      <c r="C139" t="inlineStr">
        <is>
          <t>Föryngringsavverkning</t>
        </is>
      </c>
      <c r="D139" s="1" t="n">
        <v>45929</v>
      </c>
      <c r="E139" s="1" t="n">
        <v>46317</v>
      </c>
      <c r="F139" t="inlineStr">
        <is>
          <t>VÄSTERBOTTENS LÄN</t>
        </is>
      </c>
      <c r="G139" t="inlineStr">
        <is>
          <t>BJURHOLM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46885-2025</t>
        </is>
      </c>
      <c r="B140" t="inlineStr">
        <is>
          <t>avverkningsanmälan</t>
        </is>
      </c>
      <c r="C140" t="inlineStr">
        <is>
          <t>Föryngringsavverkning</t>
        </is>
      </c>
      <c r="D140" s="1" t="n">
        <v>45929</v>
      </c>
      <c r="E140" s="1" t="n">
        <v>46317</v>
      </c>
      <c r="F140" t="inlineStr">
        <is>
          <t>VÄSTERBOTTENS LÄN</t>
        </is>
      </c>
      <c r="G140" t="inlineStr">
        <is>
          <t>BJURHOLM</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7723-2024</t>
        </is>
      </c>
      <c r="B141" t="inlineStr">
        <is>
          <t>avverkningsanmälan</t>
        </is>
      </c>
      <c r="C141" t="inlineStr">
        <is>
          <t>Föryngringsavverkning</t>
        </is>
      </c>
      <c r="D141" s="1" t="n">
        <v>45348</v>
      </c>
      <c r="E141" s="1" t="n">
        <v>46317</v>
      </c>
      <c r="F141" t="inlineStr">
        <is>
          <t>VÄSTERBOTTENS LÄN</t>
        </is>
      </c>
      <c r="G141" t="inlineStr">
        <is>
          <t>BJURHOLM</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47150-2025</t>
        </is>
      </c>
      <c r="B142" t="inlineStr">
        <is>
          <t>avverkningsanmälan</t>
        </is>
      </c>
      <c r="C142" t="inlineStr">
        <is>
          <t>Föryngringsavverkning</t>
        </is>
      </c>
      <c r="D142" s="1" t="n">
        <v>45929</v>
      </c>
      <c r="E142" s="1" t="n">
        <v>46317</v>
      </c>
      <c r="F142" t="inlineStr">
        <is>
          <t>VÄSTERBOTTENS LÄN</t>
        </is>
      </c>
      <c r="G142" t="inlineStr">
        <is>
          <t>BJURHOLM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31637-2025</t>
        </is>
      </c>
      <c r="B143" t="inlineStr">
        <is>
          <t>avverkningsanmälan</t>
        </is>
      </c>
      <c r="C143" t="inlineStr">
        <is>
          <t>Avverkning för annat ändamål</t>
        </is>
      </c>
      <c r="D143" s="1" t="n">
        <v>45834</v>
      </c>
      <c r="E143" s="1" t="n">
        <v>46317</v>
      </c>
      <c r="F143" t="inlineStr">
        <is>
          <t>VÄSTERBOTTENS LÄN</t>
        </is>
      </c>
      <c r="G143" t="inlineStr">
        <is>
          <t>BJURHOLM</t>
        </is>
      </c>
      <c r="H143" t="inlineStr">
        <is>
          <t>Holmen skog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32584-2025</t>
        </is>
      </c>
      <c r="B144" t="inlineStr">
        <is>
          <t>avverkningsanmälan</t>
        </is>
      </c>
      <c r="C144" t="inlineStr">
        <is>
          <t>Föryngringsavverkning</t>
        </is>
      </c>
      <c r="D144" s="1" t="n">
        <v>45838</v>
      </c>
      <c r="E144" s="1" t="n">
        <v>46317</v>
      </c>
      <c r="F144" t="inlineStr">
        <is>
          <t>VÄSTERBOTTENS LÄN</t>
        </is>
      </c>
      <c r="G144" t="inlineStr">
        <is>
          <t>BJURHOLM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43317-2024</t>
        </is>
      </c>
      <c r="B145" t="inlineStr">
        <is>
          <t>avverkningsanmälan</t>
        </is>
      </c>
      <c r="C145" t="inlineStr">
        <is>
          <t>Föryngringsavverkning</t>
        </is>
      </c>
      <c r="D145" s="1" t="n">
        <v>45568</v>
      </c>
      <c r="E145" s="1" t="n">
        <v>46317</v>
      </c>
      <c r="F145" t="inlineStr">
        <is>
          <t>VÄSTERBOTTENS LÄN</t>
        </is>
      </c>
      <c r="G145" t="inlineStr">
        <is>
          <t>BJURHOLM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49236-2025</t>
        </is>
      </c>
      <c r="B146" t="inlineStr">
        <is>
          <t>avverkningsanmälan</t>
        </is>
      </c>
      <c r="C146" t="inlineStr">
        <is>
          <t>Föryngringsavverkning</t>
        </is>
      </c>
      <c r="D146" s="1" t="n">
        <v>45938</v>
      </c>
      <c r="E146" s="1" t="n">
        <v>46317</v>
      </c>
      <c r="F146" t="inlineStr">
        <is>
          <t>VÄSTERBOTTENS LÄN</t>
        </is>
      </c>
      <c r="G146" t="inlineStr">
        <is>
          <t>BJURHOLM</t>
        </is>
      </c>
      <c r="H146" t="inlineStr">
        <is>
          <t>Sveaskog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34347-2025</t>
        </is>
      </c>
      <c r="B147" t="inlineStr">
        <is>
          <t>avverkningsanmälan</t>
        </is>
      </c>
      <c r="C147" t="inlineStr">
        <is>
          <t>Föryngringsavverkning</t>
        </is>
      </c>
      <c r="D147" s="1" t="n">
        <v>45846</v>
      </c>
      <c r="E147" s="1" t="n">
        <v>46317</v>
      </c>
      <c r="F147" t="inlineStr">
        <is>
          <t>VÄSTERBOTTENS LÄN</t>
        </is>
      </c>
      <c r="G147" t="inlineStr">
        <is>
          <t>BJURHOLM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34336-2025</t>
        </is>
      </c>
      <c r="B148" t="inlineStr">
        <is>
          <t>avverkningsanmälan</t>
        </is>
      </c>
      <c r="C148" t="inlineStr">
        <is>
          <t>Föryngringsavverkning</t>
        </is>
      </c>
      <c r="D148" s="1" t="n">
        <v>45846</v>
      </c>
      <c r="E148" s="1" t="n">
        <v>46317</v>
      </c>
      <c r="F148" t="inlineStr">
        <is>
          <t>VÄSTERBOTTENS LÄN</t>
        </is>
      </c>
      <c r="G148" t="inlineStr">
        <is>
          <t>BJURHOLM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49382-2025</t>
        </is>
      </c>
      <c r="B149" t="inlineStr">
        <is>
          <t>avverkningsanmälan</t>
        </is>
      </c>
      <c r="C149" t="inlineStr">
        <is>
          <t>Föryngringsavverkning</t>
        </is>
      </c>
      <c r="D149" s="1" t="n">
        <v>45938</v>
      </c>
      <c r="E149" s="1" t="n">
        <v>46317</v>
      </c>
      <c r="F149" t="inlineStr">
        <is>
          <t>VÄSTERBOTTENS LÄN</t>
        </is>
      </c>
      <c r="G149" t="inlineStr">
        <is>
          <t>BJURHOLM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46743-2023</t>
        </is>
      </c>
      <c r="B150" t="inlineStr">
        <is>
          <t>avverkningsanmälan</t>
        </is>
      </c>
      <c r="C150" t="inlineStr">
        <is>
          <t>Föryngringsavverkning</t>
        </is>
      </c>
      <c r="D150" s="1" t="n">
        <v>45195</v>
      </c>
      <c r="E150" s="1" t="n">
        <v>46317</v>
      </c>
      <c r="F150" t="inlineStr">
        <is>
          <t>VÄSTERBOTTENS LÄN</t>
        </is>
      </c>
      <c r="G150" t="inlineStr">
        <is>
          <t>BJURHOLM</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50027-2025</t>
        </is>
      </c>
      <c r="B151" t="inlineStr">
        <is>
          <t>avverkningsanmälan</t>
        </is>
      </c>
      <c r="C151" t="inlineStr">
        <is>
          <t>Föryngringsavverkning</t>
        </is>
      </c>
      <c r="D151" s="1" t="n">
        <v>45943</v>
      </c>
      <c r="E151" s="1" t="n">
        <v>46317</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15054-2024</t>
        </is>
      </c>
      <c r="B152" t="inlineStr">
        <is>
          <t>avverkningsanmälan</t>
        </is>
      </c>
      <c r="C152" t="inlineStr">
        <is>
          <t>Föryngringsavverkning</t>
        </is>
      </c>
      <c r="D152" s="1" t="n">
        <v>45399</v>
      </c>
      <c r="E152" s="1" t="n">
        <v>46317</v>
      </c>
      <c r="F152" t="inlineStr">
        <is>
          <t>VÄSTERBOTTENS LÄN</t>
        </is>
      </c>
      <c r="G152" t="inlineStr">
        <is>
          <t>BJURHOLM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50494-2025</t>
        </is>
      </c>
      <c r="B153" t="inlineStr">
        <is>
          <t>avverkningsanmälan</t>
        </is>
      </c>
      <c r="C153" t="inlineStr">
        <is>
          <t>Föryngringsavverkning</t>
        </is>
      </c>
      <c r="D153" s="1" t="n">
        <v>45945</v>
      </c>
      <c r="E153" s="1" t="n">
        <v>46317</v>
      </c>
      <c r="F153" t="inlineStr">
        <is>
          <t>VÄSTERBOTTENS LÄN</t>
        </is>
      </c>
      <c r="G153" t="inlineStr">
        <is>
          <t>BJURHOLM</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50810-2025</t>
        </is>
      </c>
      <c r="B154" t="inlineStr">
        <is>
          <t>avverkningsanmälan</t>
        </is>
      </c>
      <c r="C154" t="inlineStr">
        <is>
          <t>Föryngringsavverkning</t>
        </is>
      </c>
      <c r="D154" s="1" t="n">
        <v>45946</v>
      </c>
      <c r="E154" s="1" t="n">
        <v>46317</v>
      </c>
      <c r="F154" t="inlineStr">
        <is>
          <t>VÄSTERBOTTENS LÄN</t>
        </is>
      </c>
      <c r="G154" t="inlineStr">
        <is>
          <t>BJURHOLM</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57697-2024</t>
        </is>
      </c>
      <c r="B155" t="inlineStr">
        <is>
          <t>avverkningsanmälan</t>
        </is>
      </c>
      <c r="C155" t="inlineStr">
        <is>
          <t>Föryngringsavverkning</t>
        </is>
      </c>
      <c r="D155" s="1" t="n">
        <v>45630</v>
      </c>
      <c r="E155" s="1" t="n">
        <v>46317</v>
      </c>
      <c r="F155" t="inlineStr">
        <is>
          <t>VÄSTERBOTTENS LÄN</t>
        </is>
      </c>
      <c r="G155" t="inlineStr">
        <is>
          <t>BJURHOLM</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25099-2025</t>
        </is>
      </c>
      <c r="B156" t="inlineStr">
        <is>
          <t>avverkningsanmälan</t>
        </is>
      </c>
      <c r="C156" t="inlineStr">
        <is>
          <t>Föryngringsavverkning</t>
        </is>
      </c>
      <c r="D156" s="1" t="n">
        <v>45800</v>
      </c>
      <c r="E156" s="1" t="n">
        <v>46317</v>
      </c>
      <c r="F156" t="inlineStr">
        <is>
          <t>VÄSTERBOTTENS LÄN</t>
        </is>
      </c>
      <c r="G156" t="inlineStr">
        <is>
          <t>BJURHOLM</t>
        </is>
      </c>
      <c r="H156" t="inlineStr">
        <is>
          <t>SCA</t>
        </is>
      </c>
      <c r="I156" t="n">
        <v>7.8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61044-2022</t>
        </is>
      </c>
      <c r="B157" t="inlineStr">
        <is>
          <t>avverkningsanmälan</t>
        </is>
      </c>
      <c r="C157" t="inlineStr">
        <is>
          <t>Föryngringsavverkning</t>
        </is>
      </c>
      <c r="D157" s="1" t="n">
        <v>44914</v>
      </c>
      <c r="E157" s="1" t="n">
        <v>46317</v>
      </c>
      <c r="F157" t="inlineStr">
        <is>
          <t>VÄSTERBOTTENS LÄN</t>
        </is>
      </c>
      <c r="G157" t="inlineStr">
        <is>
          <t>BJURHOLM</t>
        </is>
      </c>
      <c r="H157" t="inlineStr">
        <is>
          <t>SCA</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52208-2025</t>
        </is>
      </c>
      <c r="B158" t="inlineStr">
        <is>
          <t>avverkningsanmälan</t>
        </is>
      </c>
      <c r="C158" t="inlineStr">
        <is>
          <t>Föryngringsavverkning</t>
        </is>
      </c>
      <c r="D158" s="1" t="n">
        <v>45953</v>
      </c>
      <c r="E158" s="1" t="n">
        <v>46317</v>
      </c>
      <c r="F158" t="inlineStr">
        <is>
          <t>VÄSTERBOTTENS LÄN</t>
        </is>
      </c>
      <c r="G158" t="inlineStr">
        <is>
          <t>BJURHOLM</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52235-2025</t>
        </is>
      </c>
      <c r="B159" t="inlineStr">
        <is>
          <t>avverkningsanmälan</t>
        </is>
      </c>
      <c r="C159" t="inlineStr">
        <is>
          <t>Föryngringsavverkning</t>
        </is>
      </c>
      <c r="D159" s="1" t="n">
        <v>45953</v>
      </c>
      <c r="E159" s="1" t="n">
        <v>46317</v>
      </c>
      <c r="F159" t="inlineStr">
        <is>
          <t>VÄSTERBOTTENS LÄN</t>
        </is>
      </c>
      <c r="G159" t="inlineStr">
        <is>
          <t>BJURHOLM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17867-2025</t>
        </is>
      </c>
      <c r="B160" t="inlineStr">
        <is>
          <t>avverkningsanmälan</t>
        </is>
      </c>
      <c r="C160" t="inlineStr">
        <is>
          <t>Föryngringsavverkning</t>
        </is>
      </c>
      <c r="D160" s="1" t="n">
        <v>45758</v>
      </c>
      <c r="E160" s="1" t="n">
        <v>46317</v>
      </c>
      <c r="F160" t="inlineStr">
        <is>
          <t>VÄSTERBOTTENS LÄN</t>
        </is>
      </c>
      <c r="G160" t="inlineStr">
        <is>
          <t>BJURHOLM</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47594-2024</t>
        </is>
      </c>
      <c r="B161" t="inlineStr">
        <is>
          <t>avverkningsanmälan</t>
        </is>
      </c>
      <c r="C161" t="inlineStr">
        <is>
          <t>Föryngringsavverkning</t>
        </is>
      </c>
      <c r="D161" s="1" t="n">
        <v>45587</v>
      </c>
      <c r="E161" s="1" t="n">
        <v>46317</v>
      </c>
      <c r="F161" t="inlineStr">
        <is>
          <t>VÄSTERBOTTENS LÄN</t>
        </is>
      </c>
      <c r="G161" t="inlineStr">
        <is>
          <t>BJURHOLM</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36996-2025</t>
        </is>
      </c>
      <c r="B162" t="inlineStr">
        <is>
          <t>avverkningsanmälan</t>
        </is>
      </c>
      <c r="C162" t="inlineStr">
        <is>
          <t>Föryngringsavverkning</t>
        </is>
      </c>
      <c r="D162" s="1" t="n">
        <v>45874</v>
      </c>
      <c r="E162" s="1" t="n">
        <v>46317</v>
      </c>
      <c r="F162" t="inlineStr">
        <is>
          <t>VÄSTERBOTTENS LÄN</t>
        </is>
      </c>
      <c r="G162" t="inlineStr">
        <is>
          <t>BJURHOLM</t>
        </is>
      </c>
      <c r="H162" t="inlineStr">
        <is>
          <t>SCA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43321-2024</t>
        </is>
      </c>
      <c r="B163" t="inlineStr">
        <is>
          <t>avverkningsanmälan</t>
        </is>
      </c>
      <c r="C163" t="inlineStr">
        <is>
          <t>Föryngringsavverkning</t>
        </is>
      </c>
      <c r="D163" s="1" t="n">
        <v>45568</v>
      </c>
      <c r="E163" s="1" t="n">
        <v>46317</v>
      </c>
      <c r="F163" t="inlineStr">
        <is>
          <t>VÄSTERBOTTENS LÄN</t>
        </is>
      </c>
      <c r="G163" t="inlineStr">
        <is>
          <t>BJURHOLM</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37007-2025</t>
        </is>
      </c>
      <c r="B164" t="inlineStr">
        <is>
          <t>avverkningsanmälan</t>
        </is>
      </c>
      <c r="C164" t="inlineStr">
        <is>
          <t>Föryngringsavverkning</t>
        </is>
      </c>
      <c r="D164" s="1" t="n">
        <v>45874</v>
      </c>
      <c r="E164" s="1" t="n">
        <v>46317</v>
      </c>
      <c r="F164" t="inlineStr">
        <is>
          <t>VÄSTERBOTTENS LÄN</t>
        </is>
      </c>
      <c r="G164" t="inlineStr">
        <is>
          <t>BJURHOLM</t>
        </is>
      </c>
      <c r="H164" t="inlineStr">
        <is>
          <t>SCA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37199-2025</t>
        </is>
      </c>
      <c r="B165" t="inlineStr">
        <is>
          <t>avverkningsanmälan</t>
        </is>
      </c>
      <c r="C165" t="inlineStr">
        <is>
          <t>Föryngringsavverkning</t>
        </is>
      </c>
      <c r="D165" s="1" t="n">
        <v>45875</v>
      </c>
      <c r="E165" s="1" t="n">
        <v>46317</v>
      </c>
      <c r="F165" t="inlineStr">
        <is>
          <t>VÄSTERBOTTENS LÄN</t>
        </is>
      </c>
      <c r="G165" t="inlineStr">
        <is>
          <t>BJURHOLM</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29867-2022</t>
        </is>
      </c>
      <c r="B166" t="inlineStr">
        <is>
          <t>avverkningsanmälan</t>
        </is>
      </c>
      <c r="C166" t="inlineStr">
        <is>
          <t>Avverkning för annat ändamål</t>
        </is>
      </c>
      <c r="D166" s="1" t="n">
        <v>44756</v>
      </c>
      <c r="E166" s="1" t="n">
        <v>46317</v>
      </c>
      <c r="F166" t="inlineStr">
        <is>
          <t>VÄSTERBOTTENS LÄN</t>
        </is>
      </c>
      <c r="G166" t="inlineStr">
        <is>
          <t>BJURHOLM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54123-2025</t>
        </is>
      </c>
      <c r="B167" t="inlineStr">
        <is>
          <t>avverkningsanmälan</t>
        </is>
      </c>
      <c r="C167" t="inlineStr">
        <is>
          <t>Föryngringsavverkning</t>
        </is>
      </c>
      <c r="D167" s="1" t="n">
        <v>45964</v>
      </c>
      <c r="E167" s="1" t="n">
        <v>46317</v>
      </c>
      <c r="F167" t="inlineStr">
        <is>
          <t>VÄSTERBOTTENS LÄN</t>
        </is>
      </c>
      <c r="G167" t="inlineStr">
        <is>
          <t>BJURHOLM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38146-2025</t>
        </is>
      </c>
      <c r="B168" t="inlineStr">
        <is>
          <t>avverkningsanmälan</t>
        </is>
      </c>
      <c r="C168" t="inlineStr">
        <is>
          <t>Föryngringsavverkning</t>
        </is>
      </c>
      <c r="D168" s="1" t="n">
        <v>45882</v>
      </c>
      <c r="E168" s="1" t="n">
        <v>46317</v>
      </c>
      <c r="F168" t="inlineStr">
        <is>
          <t>VÄSTERBOTTENS LÄN</t>
        </is>
      </c>
      <c r="G168" t="inlineStr">
        <is>
          <t>BJURHOLM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38006-2025</t>
        </is>
      </c>
      <c r="B169" t="inlineStr">
        <is>
          <t>avverkningsanmälan</t>
        </is>
      </c>
      <c r="C169" t="inlineStr">
        <is>
          <t>Föryngringsavverkning</t>
        </is>
      </c>
      <c r="D169" s="1" t="n">
        <v>45882</v>
      </c>
      <c r="E169" s="1" t="n">
        <v>46317</v>
      </c>
      <c r="F169" t="inlineStr">
        <is>
          <t>VÄSTERBOTTENS LÄN</t>
        </is>
      </c>
      <c r="G169" t="inlineStr">
        <is>
          <t>BJURHOLM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56315-2023</t>
        </is>
      </c>
      <c r="B170" t="inlineStr">
        <is>
          <t>avverkningsanmälan</t>
        </is>
      </c>
      <c r="C170" t="inlineStr">
        <is>
          <t>Föryngringsavverkning</t>
        </is>
      </c>
      <c r="D170" s="1" t="n">
        <v>45236</v>
      </c>
      <c r="E170" s="1" t="n">
        <v>46317</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13828-2025</t>
        </is>
      </c>
      <c r="B171" t="inlineStr">
        <is>
          <t>avverkningsanmälan</t>
        </is>
      </c>
      <c r="C171" t="inlineStr">
        <is>
          <t>Föryngringsavverkning</t>
        </is>
      </c>
      <c r="D171" s="1" t="n">
        <v>45737</v>
      </c>
      <c r="E171" s="1" t="n">
        <v>46317</v>
      </c>
      <c r="F171" t="inlineStr">
        <is>
          <t>VÄSTERBOTTENS LÄN</t>
        </is>
      </c>
      <c r="G171" t="inlineStr">
        <is>
          <t>BJURHOLM</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43992-2023</t>
        </is>
      </c>
      <c r="B172" t="inlineStr">
        <is>
          <t>avverkningsanmälan</t>
        </is>
      </c>
      <c r="C172" t="inlineStr">
        <is>
          <t>Föryngringsavverkning</t>
        </is>
      </c>
      <c r="D172" s="1" t="n">
        <v>45187</v>
      </c>
      <c r="E172" s="1" t="n">
        <v>46317</v>
      </c>
      <c r="F172" t="inlineStr">
        <is>
          <t>VÄSTERBOTTENS LÄN</t>
        </is>
      </c>
      <c r="G172" t="inlineStr">
        <is>
          <t>BJURHOLM</t>
        </is>
      </c>
      <c r="H172" t="inlineStr">
        <is>
          <t>SCA</t>
        </is>
      </c>
      <c r="I172" t="n">
        <v>10.9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16792-2022</t>
        </is>
      </c>
      <c r="B173" t="inlineStr">
        <is>
          <t>avverkningsanmälan</t>
        </is>
      </c>
      <c r="C173" t="inlineStr">
        <is>
          <t>Föryngringsavverkning</t>
        </is>
      </c>
      <c r="D173" s="1" t="n">
        <v>44673</v>
      </c>
      <c r="E173" s="1" t="n">
        <v>46317</v>
      </c>
      <c r="F173" t="inlineStr">
        <is>
          <t>VÄSTERBOTTENS LÄN</t>
        </is>
      </c>
      <c r="G173" t="inlineStr">
        <is>
          <t>BJURHOLM</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3116-2026</t>
        </is>
      </c>
      <c r="B174" t="inlineStr">
        <is>
          <t>avverkningsanmälan</t>
        </is>
      </c>
      <c r="C174" t="inlineStr">
        <is>
          <t>Föryngringsavverkning</t>
        </is>
      </c>
      <c r="D174" s="1" t="n">
        <v>46041</v>
      </c>
      <c r="E174" s="1" t="n">
        <v>46317</v>
      </c>
      <c r="F174" t="inlineStr">
        <is>
          <t>VÄSTERBOTTENS LÄN</t>
        </is>
      </c>
      <c r="G174" t="inlineStr">
        <is>
          <t>BJURHOLM</t>
        </is>
      </c>
      <c r="H174" t="inlineStr">
        <is>
          <t>Holmen skog AB</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8663-2025</t>
        </is>
      </c>
      <c r="B175" t="inlineStr">
        <is>
          <t>avverkningsanmälan</t>
        </is>
      </c>
      <c r="C175" t="inlineStr">
        <is>
          <t>Föryngringsavverkning</t>
        </is>
      </c>
      <c r="D175" s="1" t="n">
        <v>45712</v>
      </c>
      <c r="E175" s="1" t="n">
        <v>46317</v>
      </c>
      <c r="F175" t="inlineStr">
        <is>
          <t>VÄSTERBOTTENS LÄN</t>
        </is>
      </c>
      <c r="G175" t="inlineStr">
        <is>
          <t>BJURHOLM</t>
        </is>
      </c>
      <c r="H175" t="inlineStr">
        <is>
          <t>Holmen skog AB</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56808-2025</t>
        </is>
      </c>
      <c r="B176" t="inlineStr">
        <is>
          <t>avverkningsanmälan</t>
        </is>
      </c>
      <c r="C176" t="inlineStr">
        <is>
          <t>Föryngringsavverkning</t>
        </is>
      </c>
      <c r="D176" s="1" t="n">
        <v>45978</v>
      </c>
      <c r="E176" s="1" t="n">
        <v>46317</v>
      </c>
      <c r="F176" t="inlineStr">
        <is>
          <t>VÄSTERBOTTENS LÄN</t>
        </is>
      </c>
      <c r="G176" t="inlineStr">
        <is>
          <t>BJURHOLM</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8510-2024</t>
        </is>
      </c>
      <c r="B177" t="inlineStr">
        <is>
          <t>avverkningsanmälan</t>
        </is>
      </c>
      <c r="C177" t="inlineStr">
        <is>
          <t>Föryngringsavverkning</t>
        </is>
      </c>
      <c r="D177" s="1" t="n">
        <v>45351</v>
      </c>
      <c r="E177" s="1" t="n">
        <v>46317</v>
      </c>
      <c r="F177" t="inlineStr">
        <is>
          <t>VÄSTERBOTTENS LÄN</t>
        </is>
      </c>
      <c r="G177" t="inlineStr">
        <is>
          <t>BJURHOLM</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4018-2026</t>
        </is>
      </c>
      <c r="B178" t="inlineStr">
        <is>
          <t>avverkningsanmälan</t>
        </is>
      </c>
      <c r="C178" t="inlineStr">
        <is>
          <t>Föryngringsavverkning</t>
        </is>
      </c>
      <c r="D178" s="1" t="n">
        <v>46044</v>
      </c>
      <c r="E178" s="1" t="n">
        <v>46317</v>
      </c>
      <c r="F178" t="inlineStr">
        <is>
          <t>VÄSTERBOTTENS LÄN</t>
        </is>
      </c>
      <c r="G178" t="inlineStr">
        <is>
          <t>BJURHOLM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56467-2025</t>
        </is>
      </c>
      <c r="B179" t="inlineStr">
        <is>
          <t>avverkningsanmälan</t>
        </is>
      </c>
      <c r="C179" t="inlineStr">
        <is>
          <t>Föryngringsavverkning</t>
        </is>
      </c>
      <c r="D179" s="1" t="n">
        <v>45975</v>
      </c>
      <c r="E179" s="1" t="n">
        <v>46317</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56724-2025</t>
        </is>
      </c>
      <c r="B180" t="inlineStr">
        <is>
          <t>avverkningsanmälan</t>
        </is>
      </c>
      <c r="C180" t="inlineStr">
        <is>
          <t>Föryngringsavverkning</t>
        </is>
      </c>
      <c r="D180" s="1" t="n">
        <v>45978</v>
      </c>
      <c r="E180" s="1" t="n">
        <v>46317</v>
      </c>
      <c r="F180" t="inlineStr">
        <is>
          <t>VÄSTERBOTTENS LÄN</t>
        </is>
      </c>
      <c r="G180" t="inlineStr">
        <is>
          <t>BJURHOLM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12197-2023</t>
        </is>
      </c>
      <c r="B181" t="inlineStr">
        <is>
          <t>avverkningsanmälan</t>
        </is>
      </c>
      <c r="C181" t="inlineStr">
        <is>
          <t>Avverkning för annat ändamål</t>
        </is>
      </c>
      <c r="D181" s="1" t="n">
        <v>44998</v>
      </c>
      <c r="E181" s="1" t="n">
        <v>46317</v>
      </c>
      <c r="F181" t="inlineStr">
        <is>
          <t>VÄSTERBOTTENS LÄN</t>
        </is>
      </c>
      <c r="G181" t="inlineStr">
        <is>
          <t>BJURHOLM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57215-2025</t>
        </is>
      </c>
      <c r="B182" t="inlineStr">
        <is>
          <t>avverkningsanmälan</t>
        </is>
      </c>
      <c r="C182" t="inlineStr">
        <is>
          <t>Föryngringsavverkning</t>
        </is>
      </c>
      <c r="D182" s="1" t="n">
        <v>45979</v>
      </c>
      <c r="E182" s="1" t="n">
        <v>46317</v>
      </c>
      <c r="F182" t="inlineStr">
        <is>
          <t>VÄSTERBOTTENS LÄN</t>
        </is>
      </c>
      <c r="G182" t="inlineStr">
        <is>
          <t>BJURHOLM</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58150-2025</t>
        </is>
      </c>
      <c r="B183" t="inlineStr">
        <is>
          <t>avverkningsanmälan</t>
        </is>
      </c>
      <c r="C183" t="inlineStr">
        <is>
          <t>Föryngringsavverkning</t>
        </is>
      </c>
      <c r="D183" s="1" t="n">
        <v>45982</v>
      </c>
      <c r="E183" s="1" t="n">
        <v>46317</v>
      </c>
      <c r="F183" t="inlineStr">
        <is>
          <t>VÄSTERBOTTENS LÄN</t>
        </is>
      </c>
      <c r="G183" t="inlineStr">
        <is>
          <t>BJURHOLM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58005-2025</t>
        </is>
      </c>
      <c r="B184" t="inlineStr">
        <is>
          <t>avverkningsanmälan</t>
        </is>
      </c>
      <c r="C184" t="inlineStr">
        <is>
          <t>Avverkning för annat ändamål</t>
        </is>
      </c>
      <c r="D184" s="1" t="n">
        <v>45982</v>
      </c>
      <c r="E184" s="1" t="n">
        <v>46317</v>
      </c>
      <c r="F184" t="inlineStr">
        <is>
          <t>VÄSTERBOTTENS LÄN</t>
        </is>
      </c>
      <c r="G184" t="inlineStr">
        <is>
          <t>BJURHOLM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58729-2025</t>
        </is>
      </c>
      <c r="B185" t="inlineStr">
        <is>
          <t>avverkningsanmälan</t>
        </is>
      </c>
      <c r="C185" t="inlineStr">
        <is>
          <t>Föryngringsavverkning</t>
        </is>
      </c>
      <c r="D185" s="1" t="n">
        <v>45986</v>
      </c>
      <c r="E185" s="1" t="n">
        <v>46317</v>
      </c>
      <c r="F185" t="inlineStr">
        <is>
          <t>VÄSTERBOTTENS LÄN</t>
        </is>
      </c>
      <c r="G185" t="inlineStr">
        <is>
          <t>BJURHOLM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53374-2024</t>
        </is>
      </c>
      <c r="B186" t="inlineStr">
        <is>
          <t>avverkningsanmälan</t>
        </is>
      </c>
      <c r="C186" t="inlineStr">
        <is>
          <t>Föryngringsavverkning</t>
        </is>
      </c>
      <c r="D186" s="1" t="n">
        <v>45614</v>
      </c>
      <c r="E186" s="1" t="n">
        <v>46317</v>
      </c>
      <c r="F186" t="inlineStr">
        <is>
          <t>VÄSTERBOTTENS LÄN</t>
        </is>
      </c>
      <c r="G186" t="inlineStr">
        <is>
          <t>BJURHOLM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59073-2025</t>
        </is>
      </c>
      <c r="B187" t="inlineStr">
        <is>
          <t>avverkningsanmälan</t>
        </is>
      </c>
      <c r="C187" t="inlineStr">
        <is>
          <t>Föryngringsavverkning</t>
        </is>
      </c>
      <c r="D187" s="1" t="n">
        <v>45988</v>
      </c>
      <c r="E187" s="1" t="n">
        <v>46317</v>
      </c>
      <c r="F187" t="inlineStr">
        <is>
          <t>VÄSTERBOTTENS LÄN</t>
        </is>
      </c>
      <c r="G187" t="inlineStr">
        <is>
          <t>BJURHOLM</t>
        </is>
      </c>
      <c r="H187" t="inlineStr">
        <is>
          <t>Holmen skog AB</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23325-2023</t>
        </is>
      </c>
      <c r="B188" t="inlineStr">
        <is>
          <t>avverkningsanmälan</t>
        </is>
      </c>
      <c r="C188" t="inlineStr">
        <is>
          <t>Föryngringsavverkning</t>
        </is>
      </c>
      <c r="D188" s="1" t="n">
        <v>45076</v>
      </c>
      <c r="E188" s="1" t="n">
        <v>46317</v>
      </c>
      <c r="F188" t="inlineStr">
        <is>
          <t>VÄSTERBOTTENS LÄN</t>
        </is>
      </c>
      <c r="G188" t="inlineStr">
        <is>
          <t>BJURHOLM</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59278-2025</t>
        </is>
      </c>
      <c r="B189" t="inlineStr">
        <is>
          <t>avverkningsanmälan</t>
        </is>
      </c>
      <c r="C189" t="inlineStr">
        <is>
          <t>Föryngringsavverkning</t>
        </is>
      </c>
      <c r="D189" s="1" t="n">
        <v>45988</v>
      </c>
      <c r="E189" s="1" t="n">
        <v>46317</v>
      </c>
      <c r="F189" t="inlineStr">
        <is>
          <t>VÄSTERBOTTENS LÄN</t>
        </is>
      </c>
      <c r="G189" t="inlineStr">
        <is>
          <t>BJURHOLM</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59324-2025</t>
        </is>
      </c>
      <c r="B190" t="inlineStr">
        <is>
          <t>avverkningsanmälan</t>
        </is>
      </c>
      <c r="C190" t="inlineStr">
        <is>
          <t>Föryngringsavverkning</t>
        </is>
      </c>
      <c r="D190" s="1" t="n">
        <v>45989</v>
      </c>
      <c r="E190" s="1" t="n">
        <v>46317</v>
      </c>
      <c r="F190" t="inlineStr">
        <is>
          <t>VÄSTERBOTTENS LÄN</t>
        </is>
      </c>
      <c r="G190" t="inlineStr">
        <is>
          <t>BJURHOLM</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59279-2025</t>
        </is>
      </c>
      <c r="B191" t="inlineStr">
        <is>
          <t>avverkningsanmälan</t>
        </is>
      </c>
      <c r="C191" t="inlineStr">
        <is>
          <t>Avverkning för annat ändamål</t>
        </is>
      </c>
      <c r="D191" s="1" t="n">
        <v>45988</v>
      </c>
      <c r="E191" s="1" t="n">
        <v>46317</v>
      </c>
      <c r="F191" t="inlineStr">
        <is>
          <t>VÄSTERBOTTENS LÄN</t>
        </is>
      </c>
      <c r="G191" t="inlineStr">
        <is>
          <t>BJURHOLM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26646-2024</t>
        </is>
      </c>
      <c r="B192" t="inlineStr">
        <is>
          <t>avverkningsanmälan</t>
        </is>
      </c>
      <c r="C192" t="inlineStr">
        <is>
          <t>Föryngringsavverkning</t>
        </is>
      </c>
      <c r="D192" s="1" t="n">
        <v>45469</v>
      </c>
      <c r="E192" s="1" t="n">
        <v>46317</v>
      </c>
      <c r="F192" t="inlineStr">
        <is>
          <t>VÄSTERBOTTENS LÄN</t>
        </is>
      </c>
      <c r="G192" t="inlineStr">
        <is>
          <t>BJURHOLM</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59386-2025</t>
        </is>
      </c>
      <c r="B193" t="inlineStr">
        <is>
          <t>avverkningsanmälan</t>
        </is>
      </c>
      <c r="C193" t="inlineStr">
        <is>
          <t>Föryngringsavverkning</t>
        </is>
      </c>
      <c r="D193" s="1" t="n">
        <v>45989</v>
      </c>
      <c r="E193" s="1" t="n">
        <v>46317</v>
      </c>
      <c r="F193" t="inlineStr">
        <is>
          <t>VÄSTERBOTTENS LÄN</t>
        </is>
      </c>
      <c r="G193" t="inlineStr">
        <is>
          <t>BJURHOLM</t>
        </is>
      </c>
      <c r="H193" t="inlineStr">
        <is>
          <t>Holmen skog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60060-2025</t>
        </is>
      </c>
      <c r="B194" t="inlineStr">
        <is>
          <t>avverkningsanmälan</t>
        </is>
      </c>
      <c r="C194" t="inlineStr">
        <is>
          <t>Föryngringsavverkning</t>
        </is>
      </c>
      <c r="D194" s="1" t="n">
        <v>45993</v>
      </c>
      <c r="E194" s="1" t="n">
        <v>46317</v>
      </c>
      <c r="F194" t="inlineStr">
        <is>
          <t>VÄSTERBOTTENS LÄN</t>
        </is>
      </c>
      <c r="G194" t="inlineStr">
        <is>
          <t>BJURHOLM</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3181-2025</t>
        </is>
      </c>
      <c r="B195" t="inlineStr">
        <is>
          <t>avverkningsanmälan</t>
        </is>
      </c>
      <c r="C195" t="inlineStr">
        <is>
          <t>Föryngringsavverkning</t>
        </is>
      </c>
      <c r="D195" s="1" t="n">
        <v>45679</v>
      </c>
      <c r="E195" s="1" t="n">
        <v>46317</v>
      </c>
      <c r="F195" t="inlineStr">
        <is>
          <t>VÄSTERBOTTENS LÄN</t>
        </is>
      </c>
      <c r="G195" t="inlineStr">
        <is>
          <t>BJURHOLM</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55512-2023</t>
        </is>
      </c>
      <c r="B196" t="inlineStr">
        <is>
          <t>avverkningsanmälan</t>
        </is>
      </c>
      <c r="C196" t="inlineStr">
        <is>
          <t>Föryngringsavverkning</t>
        </is>
      </c>
      <c r="D196" s="1" t="n">
        <v>45232</v>
      </c>
      <c r="E196" s="1" t="n">
        <v>46317</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61518-2025</t>
        </is>
      </c>
      <c r="B197" t="inlineStr">
        <is>
          <t>avverkningsanmälan</t>
        </is>
      </c>
      <c r="C197" t="inlineStr">
        <is>
          <t>Föryngringsavverkning</t>
        </is>
      </c>
      <c r="D197" s="1" t="n">
        <v>46001</v>
      </c>
      <c r="E197" s="1" t="n">
        <v>46317</v>
      </c>
      <c r="F197" t="inlineStr">
        <is>
          <t>VÄSTERBOTTENS LÄN</t>
        </is>
      </c>
      <c r="G197" t="inlineStr">
        <is>
          <t>BJURHOLM</t>
        </is>
      </c>
      <c r="H197" t="inlineStr">
        <is>
          <t>SCA</t>
        </is>
      </c>
      <c r="I197" t="n">
        <v>23.4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6540-2026</t>
        </is>
      </c>
      <c r="B198" t="inlineStr">
        <is>
          <t>avverkningsanmälan</t>
        </is>
      </c>
      <c r="C198" t="inlineStr">
        <is>
          <t>Föryngringsavverkning</t>
        </is>
      </c>
      <c r="D198" s="1" t="n">
        <v>46056</v>
      </c>
      <c r="E198" s="1" t="n">
        <v>46317</v>
      </c>
      <c r="F198" t="inlineStr">
        <is>
          <t>VÄSTERBOTTENS LÄN</t>
        </is>
      </c>
      <c r="G198" t="inlineStr">
        <is>
          <t>BJURHOLM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50238-2024</t>
        </is>
      </c>
      <c r="B199" t="inlineStr">
        <is>
          <t>avverkningsanmälan</t>
        </is>
      </c>
      <c r="C199" t="inlineStr">
        <is>
          <t>Föryngringsavverkning</t>
        </is>
      </c>
      <c r="D199" s="1" t="n">
        <v>45600</v>
      </c>
      <c r="E199" s="1" t="n">
        <v>46317</v>
      </c>
      <c r="F199" t="inlineStr">
        <is>
          <t>VÄSTERBOTTENS LÄN</t>
        </is>
      </c>
      <c r="G199" t="inlineStr">
        <is>
          <t>BJURHOLM</t>
        </is>
      </c>
      <c r="H199" t="inlineStr">
        <is>
          <t>Holmen skog AB</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33395-2023</t>
        </is>
      </c>
      <c r="B200" t="inlineStr">
        <is>
          <t>avverkningsanmälan</t>
        </is>
      </c>
      <c r="C200" t="inlineStr">
        <is>
          <t>Föryngringsavverkning</t>
        </is>
      </c>
      <c r="D200" s="1" t="n">
        <v>45128</v>
      </c>
      <c r="E200" s="1" t="n">
        <v>46317</v>
      </c>
      <c r="F200" t="inlineStr">
        <is>
          <t>VÄSTERBOTTENS LÄN</t>
        </is>
      </c>
      <c r="G200" t="inlineStr">
        <is>
          <t>BJURHOLM</t>
        </is>
      </c>
      <c r="H200" t="inlineStr">
        <is>
          <t>Holmen skog AB</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61370-2025</t>
        </is>
      </c>
      <c r="B201" t="inlineStr">
        <is>
          <t>avverkningsanmälan</t>
        </is>
      </c>
      <c r="C201" t="inlineStr">
        <is>
          <t>Föryngringsavverkning</t>
        </is>
      </c>
      <c r="D201" s="1" t="n">
        <v>46001</v>
      </c>
      <c r="E201" s="1" t="n">
        <v>46317</v>
      </c>
      <c r="F201" t="inlineStr">
        <is>
          <t>VÄSTERBOTTENS LÄN</t>
        </is>
      </c>
      <c r="G201" t="inlineStr">
        <is>
          <t>BJURHOLM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61743-2025</t>
        </is>
      </c>
      <c r="B202" t="inlineStr">
        <is>
          <t>avverkningsanmälan</t>
        </is>
      </c>
      <c r="C202" t="inlineStr">
        <is>
          <t>Föryngringsavverkning</t>
        </is>
      </c>
      <c r="D202" s="1" t="n">
        <v>46002</v>
      </c>
      <c r="E202" s="1" t="n">
        <v>46317</v>
      </c>
      <c r="F202" t="inlineStr">
        <is>
          <t>VÄSTERBOTTENS LÄN</t>
        </is>
      </c>
      <c r="G202" t="inlineStr">
        <is>
          <t>BJURHOLM</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61360-2025</t>
        </is>
      </c>
      <c r="B203" t="inlineStr">
        <is>
          <t>avverkningsanmälan</t>
        </is>
      </c>
      <c r="C203" t="inlineStr">
        <is>
          <t>Föryngringsavverkning</t>
        </is>
      </c>
      <c r="D203" s="1" t="n">
        <v>46001</v>
      </c>
      <c r="E203" s="1" t="n">
        <v>46317</v>
      </c>
      <c r="F203" t="inlineStr">
        <is>
          <t>VÄSTERBOTTENS LÄN</t>
        </is>
      </c>
      <c r="G203" t="inlineStr">
        <is>
          <t>BJURHOLM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61385-2025</t>
        </is>
      </c>
      <c r="B204" t="inlineStr">
        <is>
          <t>avverkningsanmälan</t>
        </is>
      </c>
      <c r="C204" t="inlineStr">
        <is>
          <t>Föryngringsavverkning</t>
        </is>
      </c>
      <c r="D204" s="1" t="n">
        <v>46001</v>
      </c>
      <c r="E204" s="1" t="n">
        <v>46317</v>
      </c>
      <c r="F204" t="inlineStr">
        <is>
          <t>VÄSTERBOTTENS LÄN</t>
        </is>
      </c>
      <c r="G204" t="inlineStr">
        <is>
          <t>BJURHOLM</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6811-2026</t>
        </is>
      </c>
      <c r="B205" t="inlineStr">
        <is>
          <t>avverkningsanmälan</t>
        </is>
      </c>
      <c r="C205" t="inlineStr">
        <is>
          <t>Föryngringsavverkning</t>
        </is>
      </c>
      <c r="D205" s="1" t="n">
        <v>46055</v>
      </c>
      <c r="E205" s="1" t="n">
        <v>46317</v>
      </c>
      <c r="F205" t="inlineStr">
        <is>
          <t>VÄSTERBOTTENS LÄN</t>
        </is>
      </c>
      <c r="G205" t="inlineStr">
        <is>
          <t>BJURHOLM</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6191-2026</t>
        </is>
      </c>
      <c r="B206" t="inlineStr">
        <is>
          <t>avverkningsanmälan</t>
        </is>
      </c>
      <c r="C206" t="inlineStr">
        <is>
          <t>Föryngringsavverkning</t>
        </is>
      </c>
      <c r="D206" s="1" t="n">
        <v>46055</v>
      </c>
      <c r="E206" s="1" t="n">
        <v>46317</v>
      </c>
      <c r="F206" t="inlineStr">
        <is>
          <t>VÄSTERBOTTENS LÄN</t>
        </is>
      </c>
      <c r="G206" t="inlineStr">
        <is>
          <t>BJURHOLM</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6966-2026</t>
        </is>
      </c>
      <c r="B207" t="inlineStr">
        <is>
          <t>avverkningsanmälan</t>
        </is>
      </c>
      <c r="C207" t="inlineStr">
        <is>
          <t>Föryngringsavverkning</t>
        </is>
      </c>
      <c r="D207" s="1" t="n">
        <v>46057</v>
      </c>
      <c r="E207" s="1" t="n">
        <v>46317</v>
      </c>
      <c r="F207" t="inlineStr">
        <is>
          <t>VÄSTERBOTTENS LÄN</t>
        </is>
      </c>
      <c r="G207" t="inlineStr">
        <is>
          <t>BJURHOLM</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57609-2024</t>
        </is>
      </c>
      <c r="B208" t="inlineStr">
        <is>
          <t>avverkningsanmälan</t>
        </is>
      </c>
      <c r="C208" t="inlineStr">
        <is>
          <t>Föryngringsavverkning</t>
        </is>
      </c>
      <c r="D208" s="1" t="n">
        <v>45630</v>
      </c>
      <c r="E208" s="1" t="n">
        <v>46317</v>
      </c>
      <c r="F208" t="inlineStr">
        <is>
          <t>VÄSTERBOTTENS LÄN</t>
        </is>
      </c>
      <c r="G208" t="inlineStr">
        <is>
          <t>BJURHOLM</t>
        </is>
      </c>
      <c r="H208" t="inlineStr">
        <is>
          <t>Sveaskog</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6958-2026</t>
        </is>
      </c>
      <c r="B209" t="inlineStr">
        <is>
          <t>avverkningsanmälan</t>
        </is>
      </c>
      <c r="C209" t="inlineStr">
        <is>
          <t>Föryngringsavverkning</t>
        </is>
      </c>
      <c r="D209" s="1" t="n">
        <v>46057</v>
      </c>
      <c r="E209" s="1" t="n">
        <v>46317</v>
      </c>
      <c r="F209" t="inlineStr">
        <is>
          <t>VÄSTERBOTTENS LÄN</t>
        </is>
      </c>
      <c r="G209" t="inlineStr">
        <is>
          <t>BJURHOLM</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6776-2026</t>
        </is>
      </c>
      <c r="B210" t="inlineStr">
        <is>
          <t>avverkningsanmälan</t>
        </is>
      </c>
      <c r="C210" t="inlineStr">
        <is>
          <t>Föryngringsavverkning</t>
        </is>
      </c>
      <c r="D210" s="1" t="n">
        <v>46057</v>
      </c>
      <c r="E210" s="1" t="n">
        <v>46317</v>
      </c>
      <c r="F210" t="inlineStr">
        <is>
          <t>VÄSTERBOTTENS LÄN</t>
        </is>
      </c>
      <c r="G210" t="inlineStr">
        <is>
          <t>BJURHOLM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22852-2023</t>
        </is>
      </c>
      <c r="B211" t="inlineStr">
        <is>
          <t>avverkningsanmälan</t>
        </is>
      </c>
      <c r="C211" t="inlineStr">
        <is>
          <t>Föryngringsavverkning</t>
        </is>
      </c>
      <c r="D211" s="1" t="n">
        <v>45072</v>
      </c>
      <c r="E211" s="1" t="n">
        <v>46317</v>
      </c>
      <c r="F211" t="inlineStr">
        <is>
          <t>VÄSTERBOTTENS LÄN</t>
        </is>
      </c>
      <c r="G211" t="inlineStr">
        <is>
          <t>BJURHOLM</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8527-2026</t>
        </is>
      </c>
      <c r="B212" t="inlineStr">
        <is>
          <t>avverkningsanmälan</t>
        </is>
      </c>
      <c r="C212" t="inlineStr">
        <is>
          <t>Föryngringsavverkning</t>
        </is>
      </c>
      <c r="D212" s="1" t="n">
        <v>46065</v>
      </c>
      <c r="E212" s="1" t="n">
        <v>46317</v>
      </c>
      <c r="F212" t="inlineStr">
        <is>
          <t>VÄSTERBOTTENS LÄN</t>
        </is>
      </c>
      <c r="G212" t="inlineStr">
        <is>
          <t>BJURHOLM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15910-2025</t>
        </is>
      </c>
      <c r="B213" t="inlineStr">
        <is>
          <t>avverkningsanmälan</t>
        </is>
      </c>
      <c r="C213" t="inlineStr">
        <is>
          <t>Föryngringsavverkning</t>
        </is>
      </c>
      <c r="D213" s="1" t="n">
        <v>45749</v>
      </c>
      <c r="E213" s="1" t="n">
        <v>46317</v>
      </c>
      <c r="F213" t="inlineStr">
        <is>
          <t>VÄSTERBOTTENS LÄN</t>
        </is>
      </c>
      <c r="G213" t="inlineStr">
        <is>
          <t>BJURHOLM</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61654-2022</t>
        </is>
      </c>
      <c r="B214" t="inlineStr">
        <is>
          <t>avverkningsanmälan</t>
        </is>
      </c>
      <c r="C214" t="inlineStr">
        <is>
          <t>Föryngringsavverkning</t>
        </is>
      </c>
      <c r="D214" s="1" t="n">
        <v>44916</v>
      </c>
      <c r="E214" s="1" t="n">
        <v>46317</v>
      </c>
      <c r="F214" t="inlineStr">
        <is>
          <t>VÄSTERBOTTENS LÄN</t>
        </is>
      </c>
      <c r="G214" t="inlineStr">
        <is>
          <t>BJURHOLM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42004-2022</t>
        </is>
      </c>
      <c r="B215" t="inlineStr">
        <is>
          <t>avverkningsanmälan</t>
        </is>
      </c>
      <c r="C215" t="inlineStr">
        <is>
          <t>Föryngringsavverkning</t>
        </is>
      </c>
      <c r="D215" s="1" t="n">
        <v>44827</v>
      </c>
      <c r="E215" s="1" t="n">
        <v>46317</v>
      </c>
      <c r="F215" t="inlineStr">
        <is>
          <t>VÄSTERBOTTENS LÄN</t>
        </is>
      </c>
      <c r="G215" t="inlineStr">
        <is>
          <t>BJURHOLM</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33460-2022</t>
        </is>
      </c>
      <c r="B216" t="inlineStr">
        <is>
          <t>avverkningsanmälan</t>
        </is>
      </c>
      <c r="C216" t="inlineStr">
        <is>
          <t>Föryngringsavverkning</t>
        </is>
      </c>
      <c r="D216" s="1" t="n">
        <v>44788</v>
      </c>
      <c r="E216" s="1" t="n">
        <v>46317</v>
      </c>
      <c r="F216" t="inlineStr">
        <is>
          <t>VÄSTERBOTTENS LÄN</t>
        </is>
      </c>
      <c r="G216" t="inlineStr">
        <is>
          <t>BJURHOLM</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11687-2026</t>
        </is>
      </c>
      <c r="B217" t="inlineStr">
        <is>
          <t>avverkningsanmälan</t>
        </is>
      </c>
      <c r="C217" t="inlineStr">
        <is>
          <t>Föryngringsavverkning</t>
        </is>
      </c>
      <c r="D217" s="1" t="n">
        <v>46084</v>
      </c>
      <c r="E217" s="1" t="n">
        <v>46317</v>
      </c>
      <c r="F217" t="inlineStr">
        <is>
          <t>VÄSTERBOTTENS LÄN</t>
        </is>
      </c>
      <c r="G217" t="inlineStr">
        <is>
          <t>BJURHOLM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43311-2024</t>
        </is>
      </c>
      <c r="B218" t="inlineStr">
        <is>
          <t>avverkningsanmälan</t>
        </is>
      </c>
      <c r="C218" t="inlineStr">
        <is>
          <t>Föryngringsavverkning</t>
        </is>
      </c>
      <c r="D218" s="1" t="n">
        <v>45568</v>
      </c>
      <c r="E218" s="1" t="n">
        <v>46317</v>
      </c>
      <c r="F218" t="inlineStr">
        <is>
          <t>VÄSTERBOTTENS LÄN</t>
        </is>
      </c>
      <c r="G218" t="inlineStr">
        <is>
          <t>BJURHOLM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59712-2023</t>
        </is>
      </c>
      <c r="B219" t="inlineStr">
        <is>
          <t>avverkningsanmälan</t>
        </is>
      </c>
      <c r="C219" t="inlineStr">
        <is>
          <t>Föryngringsavverkning</t>
        </is>
      </c>
      <c r="D219" s="1" t="n">
        <v>45257</v>
      </c>
      <c r="E219" s="1" t="n">
        <v>46317</v>
      </c>
      <c r="F219" t="inlineStr">
        <is>
          <t>VÄSTERBOTTENS LÄN</t>
        </is>
      </c>
      <c r="G219" t="inlineStr">
        <is>
          <t>BJURHOLM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34761-2023</t>
        </is>
      </c>
      <c r="B220" t="inlineStr">
        <is>
          <t>avverkningsanmälan</t>
        </is>
      </c>
      <c r="C220" t="inlineStr">
        <is>
          <t>Föryngringsavverkning</t>
        </is>
      </c>
      <c r="D220" s="1" t="n">
        <v>45141</v>
      </c>
      <c r="E220" s="1" t="n">
        <v>46317</v>
      </c>
      <c r="F220" t="inlineStr">
        <is>
          <t>VÄSTERBOTTENS LÄN</t>
        </is>
      </c>
      <c r="G220" t="inlineStr">
        <is>
          <t>BJURHOLM</t>
        </is>
      </c>
      <c r="H220" t="inlineStr">
        <is>
          <t>Holmen skog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70740-2021</t>
        </is>
      </c>
      <c r="B221" t="inlineStr">
        <is>
          <t>avverkningsanmälan</t>
        </is>
      </c>
      <c r="C221" t="inlineStr">
        <is>
          <t>Föryngringsavverkning</t>
        </is>
      </c>
      <c r="D221" s="1" t="n">
        <v>44536</v>
      </c>
      <c r="E221" s="1" t="n">
        <v>46317</v>
      </c>
      <c r="F221" t="inlineStr">
        <is>
          <t>VÄSTERBOTTENS LÄN</t>
        </is>
      </c>
      <c r="G221" t="inlineStr">
        <is>
          <t>BJURHOLM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64503-2023</t>
        </is>
      </c>
      <c r="B222" t="inlineStr">
        <is>
          <t>avverkningsanmälan</t>
        </is>
      </c>
      <c r="C222" t="inlineStr">
        <is>
          <t>Avverkning för att bevara och utveckla /försöksver</t>
        </is>
      </c>
      <c r="D222" s="1" t="n">
        <v>45280</v>
      </c>
      <c r="E222" s="1" t="n">
        <v>46317</v>
      </c>
      <c r="F222" t="inlineStr">
        <is>
          <t>VÄSTERBOTTENS LÄN</t>
        </is>
      </c>
      <c r="G222" t="inlineStr">
        <is>
          <t>BJURHOLM</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60690-2022</t>
        </is>
      </c>
      <c r="B223" t="inlineStr">
        <is>
          <t>avverkningsanmälan</t>
        </is>
      </c>
      <c r="C223" t="inlineStr">
        <is>
          <t>Föryngringsavverkning</t>
        </is>
      </c>
      <c r="D223" s="1" t="n">
        <v>44911</v>
      </c>
      <c r="E223" s="1" t="n">
        <v>46317</v>
      </c>
      <c r="F223" t="inlineStr">
        <is>
          <t>VÄSTERBOTTENS LÄN</t>
        </is>
      </c>
      <c r="G223" t="inlineStr">
        <is>
          <t>BJURHOLM</t>
        </is>
      </c>
      <c r="H223" t="inlineStr">
        <is>
          <t>SCA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53375-2024</t>
        </is>
      </c>
      <c r="B224" t="inlineStr">
        <is>
          <t>avverkningsanmälan</t>
        </is>
      </c>
      <c r="C224" t="inlineStr">
        <is>
          <t>Föryngringsavverkning</t>
        </is>
      </c>
      <c r="D224" s="1" t="n">
        <v>45614</v>
      </c>
      <c r="E224" s="1" t="n">
        <v>46317</v>
      </c>
      <c r="F224" t="inlineStr">
        <is>
          <t>VÄSTERBOTTENS LÄN</t>
        </is>
      </c>
      <c r="G224" t="inlineStr">
        <is>
          <t>BJURHOLM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13842-2025</t>
        </is>
      </c>
      <c r="B225" t="inlineStr">
        <is>
          <t>avverkningsanmälan</t>
        </is>
      </c>
      <c r="C225" t="inlineStr">
        <is>
          <t>Föryngringsavverkning</t>
        </is>
      </c>
      <c r="D225" s="1" t="n">
        <v>45737</v>
      </c>
      <c r="E225" s="1" t="n">
        <v>46317</v>
      </c>
      <c r="F225" t="inlineStr">
        <is>
          <t>VÄSTERBOTTENS LÄN</t>
        </is>
      </c>
      <c r="G225" t="inlineStr">
        <is>
          <t>BJURHOLM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7431-2024</t>
        </is>
      </c>
      <c r="B226" t="inlineStr">
        <is>
          <t>avverkningsanmälan</t>
        </is>
      </c>
      <c r="C226" t="inlineStr">
        <is>
          <t>Föryngringsavverkning</t>
        </is>
      </c>
      <c r="D226" s="1" t="n">
        <v>45345</v>
      </c>
      <c r="E226" s="1" t="n">
        <v>46317</v>
      </c>
      <c r="F226" t="inlineStr">
        <is>
          <t>VÄSTERBOTTENS LÄN</t>
        </is>
      </c>
      <c r="G226" t="inlineStr">
        <is>
          <t>BJURHOLM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19218-2026</t>
        </is>
      </c>
      <c r="B227" t="inlineStr">
        <is>
          <t>avverkningsanmälan</t>
        </is>
      </c>
      <c r="C227" t="inlineStr">
        <is>
          <t>Föryngringsavverkning</t>
        </is>
      </c>
      <c r="D227" s="1" t="n">
        <v>46132</v>
      </c>
      <c r="E227" s="1" t="n">
        <v>46317</v>
      </c>
      <c r="F227" t="inlineStr">
        <is>
          <t>VÄSTERBOTTENS LÄN</t>
        </is>
      </c>
      <c r="G227" t="inlineStr">
        <is>
          <t>BJURHOLM</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19221-2026</t>
        </is>
      </c>
      <c r="B228" t="inlineStr">
        <is>
          <t>avverkningsanmälan</t>
        </is>
      </c>
      <c r="C228" t="inlineStr">
        <is>
          <t>Föryngringsavverkning</t>
        </is>
      </c>
      <c r="D228" s="1" t="n">
        <v>46132</v>
      </c>
      <c r="E228" s="1" t="n">
        <v>46317</v>
      </c>
      <c r="F228" t="inlineStr">
        <is>
          <t>VÄSTERBOTTENS LÄN</t>
        </is>
      </c>
      <c r="G228" t="inlineStr">
        <is>
          <t>BJURHOLM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62088-2022</t>
        </is>
      </c>
      <c r="B229" t="inlineStr">
        <is>
          <t>avverkningsanmälan</t>
        </is>
      </c>
      <c r="C229" t="inlineStr">
        <is>
          <t>Föryngringsavverkning</t>
        </is>
      </c>
      <c r="D229" s="1" t="n">
        <v>44919</v>
      </c>
      <c r="E229" s="1" t="n">
        <v>46317</v>
      </c>
      <c r="F229" t="inlineStr">
        <is>
          <t>VÄSTERBOTTENS LÄN</t>
        </is>
      </c>
      <c r="G229" t="inlineStr">
        <is>
          <t>BJURHOLM</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19223-2026</t>
        </is>
      </c>
      <c r="B230" t="inlineStr">
        <is>
          <t>avverkningsanmälan</t>
        </is>
      </c>
      <c r="C230" t="inlineStr">
        <is>
          <t>Föryngringsavverkning</t>
        </is>
      </c>
      <c r="D230" s="1" t="n">
        <v>46132</v>
      </c>
      <c r="E230" s="1" t="n">
        <v>46317</v>
      </c>
      <c r="F230" t="inlineStr">
        <is>
          <t>VÄSTERBOTTENS LÄN</t>
        </is>
      </c>
      <c r="G230" t="inlineStr">
        <is>
          <t>BJURHOLM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19136-2026</t>
        </is>
      </c>
      <c r="B231" t="inlineStr">
        <is>
          <t>avverkningsanmälan</t>
        </is>
      </c>
      <c r="C231" t="inlineStr">
        <is>
          <t>Föryngringsavverkning</t>
        </is>
      </c>
      <c r="D231" s="1" t="n">
        <v>46132</v>
      </c>
      <c r="E231" s="1" t="n">
        <v>46317</v>
      </c>
      <c r="F231" t="inlineStr">
        <is>
          <t>VÄSTERBOTTENS LÄN</t>
        </is>
      </c>
      <c r="G231" t="inlineStr">
        <is>
          <t>BJURHOLM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55542-2022</t>
        </is>
      </c>
      <c r="B232" t="inlineStr">
        <is>
          <t>avverkningsanmälan</t>
        </is>
      </c>
      <c r="C232" t="inlineStr">
        <is>
          <t>Avverkning för att bevara och utveckla /försöksver</t>
        </is>
      </c>
      <c r="D232" s="1" t="n">
        <v>44887</v>
      </c>
      <c r="E232" s="1" t="n">
        <v>46317</v>
      </c>
      <c r="F232" t="inlineStr">
        <is>
          <t>VÄSTERBOTTENS LÄN</t>
        </is>
      </c>
      <c r="G232" t="inlineStr">
        <is>
          <t>BJURHOLM</t>
        </is>
      </c>
      <c r="H232" t="inlineStr">
        <is>
          <t>SCA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31738-2023</t>
        </is>
      </c>
      <c r="B233" t="inlineStr">
        <is>
          <t>avverkningsanmälan</t>
        </is>
      </c>
      <c r="C233" t="inlineStr">
        <is>
          <t>Föryngringsavverkning</t>
        </is>
      </c>
      <c r="D233" s="1" t="n">
        <v>45117</v>
      </c>
      <c r="E233" s="1" t="n">
        <v>46317</v>
      </c>
      <c r="F233" t="inlineStr">
        <is>
          <t>VÄSTERBOTTENS LÄN</t>
        </is>
      </c>
      <c r="G233" t="inlineStr">
        <is>
          <t>BJURHOLM</t>
        </is>
      </c>
      <c r="H233" t="inlineStr">
        <is>
          <t>SCA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50441-2024</t>
        </is>
      </c>
      <c r="B234" t="inlineStr">
        <is>
          <t>avverkningsanmälan</t>
        </is>
      </c>
      <c r="C234" t="inlineStr">
        <is>
          <t>Föryngringsavverkning</t>
        </is>
      </c>
      <c r="D234" s="1" t="n">
        <v>45601</v>
      </c>
      <c r="E234" s="1" t="n">
        <v>46317</v>
      </c>
      <c r="F234" t="inlineStr">
        <is>
          <t>VÄSTERBOTTENS LÄN</t>
        </is>
      </c>
      <c r="G234" t="inlineStr">
        <is>
          <t>BJURHOLM</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74152-2021</t>
        </is>
      </c>
      <c r="B235" t="inlineStr">
        <is>
          <t>avverkningsanmälan</t>
        </is>
      </c>
      <c r="C235" t="inlineStr">
        <is>
          <t>Avverkning för annat ändamål</t>
        </is>
      </c>
      <c r="D235" s="1" t="n">
        <v>44557</v>
      </c>
      <c r="E235" s="1" t="n">
        <v>46317</v>
      </c>
      <c r="F235" t="inlineStr">
        <is>
          <t>VÄSTERBOTTENS LÄN</t>
        </is>
      </c>
      <c r="G235" t="inlineStr">
        <is>
          <t>BJURHOLM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32502-2024</t>
        </is>
      </c>
      <c r="B236" t="inlineStr">
        <is>
          <t>avverkningsanmälan</t>
        </is>
      </c>
      <c r="C236" t="inlineStr">
        <is>
          <t>Föryngringsavverkning</t>
        </is>
      </c>
      <c r="D236" s="1" t="n">
        <v>45513</v>
      </c>
      <c r="E236" s="1" t="n">
        <v>46317</v>
      </c>
      <c r="F236" t="inlineStr">
        <is>
          <t>VÄSTERBOTTENS LÄN</t>
        </is>
      </c>
      <c r="G236" t="inlineStr">
        <is>
          <t>BJURHOLM</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26459-2024</t>
        </is>
      </c>
      <c r="B237" t="inlineStr">
        <is>
          <t>avverkningsanmälan</t>
        </is>
      </c>
      <c r="C237" t="inlineStr">
        <is>
          <t>Avverkning för annat ändamål</t>
        </is>
      </c>
      <c r="D237" s="1" t="n">
        <v>45469</v>
      </c>
      <c r="E237" s="1" t="n">
        <v>46317</v>
      </c>
      <c r="F237" t="inlineStr">
        <is>
          <t>VÄSTERBOTTENS LÄN</t>
        </is>
      </c>
      <c r="G237" t="inlineStr">
        <is>
          <t>BJURHOLM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50728-2024</t>
        </is>
      </c>
      <c r="B238" t="inlineStr">
        <is>
          <t>avverkningsanmälan</t>
        </is>
      </c>
      <c r="C238" t="inlineStr">
        <is>
          <t>Föryngringsavverkning</t>
        </is>
      </c>
      <c r="D238" s="1" t="n">
        <v>45602</v>
      </c>
      <c r="E238" s="1" t="n">
        <v>46317</v>
      </c>
      <c r="F238" t="inlineStr">
        <is>
          <t>VÄSTERBOTTENS LÄN</t>
        </is>
      </c>
      <c r="G238" t="inlineStr">
        <is>
          <t>BJURHOLM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36448-2024</t>
        </is>
      </c>
      <c r="B239" t="inlineStr">
        <is>
          <t>avverkningsanmälan</t>
        </is>
      </c>
      <c r="C239" t="inlineStr">
        <is>
          <t>Avverkning för annat ändamål</t>
        </is>
      </c>
      <c r="D239" s="1" t="n">
        <v>45537</v>
      </c>
      <c r="E239" s="1" t="n">
        <v>46317</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8644-2023</t>
        </is>
      </c>
      <c r="B240" t="inlineStr">
        <is>
          <t>avverkningsanmälan</t>
        </is>
      </c>
      <c r="C240" t="inlineStr">
        <is>
          <t>Föryngringsavverkning</t>
        </is>
      </c>
      <c r="D240" s="1" t="n">
        <v>44977</v>
      </c>
      <c r="E240" s="1" t="n">
        <v>46317</v>
      </c>
      <c r="F240" t="inlineStr">
        <is>
          <t>VÄSTERBOTTENS LÄN</t>
        </is>
      </c>
      <c r="G240" t="inlineStr">
        <is>
          <t>BJURHOLM</t>
        </is>
      </c>
      <c r="H240" t="inlineStr">
        <is>
          <t>SCA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8860-2023</t>
        </is>
      </c>
      <c r="B241" t="inlineStr">
        <is>
          <t>avverkningsanmälan</t>
        </is>
      </c>
      <c r="C241" t="inlineStr">
        <is>
          <t>Föryngringsavverkning</t>
        </is>
      </c>
      <c r="D241" s="1" t="n">
        <v>44978</v>
      </c>
      <c r="E241" s="1" t="n">
        <v>46317</v>
      </c>
      <c r="F241" t="inlineStr">
        <is>
          <t>VÄSTERBOTTENS LÄN</t>
        </is>
      </c>
      <c r="G241" t="inlineStr">
        <is>
          <t>BJURHOLM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50773-2024</t>
        </is>
      </c>
      <c r="B242" t="inlineStr">
        <is>
          <t>avverkningsanmälan</t>
        </is>
      </c>
      <c r="C242" t="inlineStr">
        <is>
          <t>Föryngringsavverkning</t>
        </is>
      </c>
      <c r="D242" s="1" t="n">
        <v>45602</v>
      </c>
      <c r="E242" s="1" t="n">
        <v>46317</v>
      </c>
      <c r="F242" t="inlineStr">
        <is>
          <t>VÄSTERBOTTENS LÄN</t>
        </is>
      </c>
      <c r="G242" t="inlineStr">
        <is>
          <t>BJURHOLM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46498-2024</t>
        </is>
      </c>
      <c r="B243" t="inlineStr">
        <is>
          <t>avverkningsanmälan</t>
        </is>
      </c>
      <c r="C243" t="inlineStr">
        <is>
          <t>Föryngringsavverkning</t>
        </is>
      </c>
      <c r="D243" s="1" t="n">
        <v>45582</v>
      </c>
      <c r="E243" s="1" t="n">
        <v>46317</v>
      </c>
      <c r="F243" t="inlineStr">
        <is>
          <t>VÄSTERBOTTENS LÄN</t>
        </is>
      </c>
      <c r="G243" t="inlineStr">
        <is>
          <t>BJURHOLM</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61735-2024</t>
        </is>
      </c>
      <c r="B244" t="inlineStr">
        <is>
          <t>avverkningsanmälan</t>
        </is>
      </c>
      <c r="C244" t="inlineStr">
        <is>
          <t>Föryngringsavverkning</t>
        </is>
      </c>
      <c r="D244" s="1" t="n">
        <v>45649</v>
      </c>
      <c r="E244" s="1" t="n">
        <v>46317</v>
      </c>
      <c r="F244" t="inlineStr">
        <is>
          <t>VÄSTERBOTTENS LÄN</t>
        </is>
      </c>
      <c r="G244" t="inlineStr">
        <is>
          <t>BJURHOLM</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17740-2024</t>
        </is>
      </c>
      <c r="B245" t="inlineStr">
        <is>
          <t>avverkningsanmälan</t>
        </is>
      </c>
      <c r="C245" t="inlineStr">
        <is>
          <t>Föryngringsavverkning</t>
        </is>
      </c>
      <c r="D245" s="1" t="n">
        <v>45418</v>
      </c>
      <c r="E245" s="1" t="n">
        <v>46317</v>
      </c>
      <c r="F245" t="inlineStr">
        <is>
          <t>VÄSTERBOTTENS LÄN</t>
        </is>
      </c>
      <c r="G245" t="inlineStr">
        <is>
          <t>BJURHOLM</t>
        </is>
      </c>
      <c r="H245" t="inlineStr">
        <is>
          <t>Holmen skog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60224-2024</t>
        </is>
      </c>
      <c r="B246" t="inlineStr">
        <is>
          <t>avverkningsanmälan</t>
        </is>
      </c>
      <c r="C246" t="inlineStr">
        <is>
          <t>Föryngringsavverkning</t>
        </is>
      </c>
      <c r="D246" s="1" t="n">
        <v>45642</v>
      </c>
      <c r="E246" s="1" t="n">
        <v>46317</v>
      </c>
      <c r="F246" t="inlineStr">
        <is>
          <t>VÄSTERBOTTENS LÄN</t>
        </is>
      </c>
      <c r="G246" t="inlineStr">
        <is>
          <t>BJURHOLM</t>
        </is>
      </c>
      <c r="H246" t="inlineStr">
        <is>
          <t>Sveaskog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22-2026</t>
        </is>
      </c>
      <c r="B247" t="inlineStr">
        <is>
          <t>avverkningsanmälan</t>
        </is>
      </c>
      <c r="C247" t="inlineStr">
        <is>
          <t>Föryngringsavverkning</t>
        </is>
      </c>
      <c r="D247" s="1" t="n">
        <v>46023</v>
      </c>
      <c r="E247" s="1" t="n">
        <v>46317</v>
      </c>
      <c r="F247" t="inlineStr">
        <is>
          <t>VÄSTERBOTTENS LÄN</t>
        </is>
      </c>
      <c r="G247" t="inlineStr">
        <is>
          <t>BJURHOLM</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20836-2026</t>
        </is>
      </c>
      <c r="B248" t="inlineStr">
        <is>
          <t>avverkningsanmälan</t>
        </is>
      </c>
      <c r="C248" t="inlineStr">
        <is>
          <t>Föryngringsavverkning</t>
        </is>
      </c>
      <c r="D248" s="1" t="n">
        <v>46142</v>
      </c>
      <c r="E248" s="1" t="n">
        <v>46317</v>
      </c>
      <c r="F248" t="inlineStr">
        <is>
          <t>VÄSTERBOTTENS LÄN</t>
        </is>
      </c>
      <c r="G248" t="inlineStr">
        <is>
          <t>BJURHOLM</t>
        </is>
      </c>
      <c r="H248" t="inlineStr">
        <is>
          <t>Holmen skog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63192-2025</t>
        </is>
      </c>
      <c r="B249" t="inlineStr">
        <is>
          <t>avverkningsanmälan</t>
        </is>
      </c>
      <c r="C249" t="inlineStr">
        <is>
          <t>Föryngringsavverkning</t>
        </is>
      </c>
      <c r="D249" s="1" t="n">
        <v>46010</v>
      </c>
      <c r="E249" s="1" t="n">
        <v>46317</v>
      </c>
      <c r="F249" t="inlineStr">
        <is>
          <t>VÄSTERBOTTENS LÄN</t>
        </is>
      </c>
      <c r="G249" t="inlineStr">
        <is>
          <t>BJURHOLM</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21009-2026</t>
        </is>
      </c>
      <c r="B250" t="inlineStr">
        <is>
          <t>avverkningsanmälan</t>
        </is>
      </c>
      <c r="C250" t="inlineStr">
        <is>
          <t>Föryngringsavverkning</t>
        </is>
      </c>
      <c r="D250" s="1" t="n">
        <v>46142</v>
      </c>
      <c r="E250" s="1" t="n">
        <v>46317</v>
      </c>
      <c r="F250" t="inlineStr">
        <is>
          <t>VÄSTERBOTTENS LÄN</t>
        </is>
      </c>
      <c r="G250" t="inlineStr">
        <is>
          <t>BJURHOLM</t>
        </is>
      </c>
      <c r="H250" t="inlineStr">
        <is>
          <t>Holmen skog AB</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45168-2025</t>
        </is>
      </c>
      <c r="B251" t="inlineStr">
        <is>
          <t>avverkningsanmälan</t>
        </is>
      </c>
      <c r="C251" t="inlineStr">
        <is>
          <t>Föryngringsavverkning</t>
        </is>
      </c>
      <c r="D251" s="1" t="n">
        <v>45919</v>
      </c>
      <c r="E251" s="1" t="n">
        <v>46317</v>
      </c>
      <c r="F251" t="inlineStr">
        <is>
          <t>VÄSTERBOTTENS LÄN</t>
        </is>
      </c>
      <c r="G251" t="inlineStr">
        <is>
          <t>BJURHOLM</t>
        </is>
      </c>
      <c r="I251" t="n">
        <v>18.5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44629-2023</t>
        </is>
      </c>
      <c r="B252" t="inlineStr">
        <is>
          <t>avverkningsanmälan</t>
        </is>
      </c>
      <c r="C252" t="inlineStr">
        <is>
          <t>Föryngringsavverkning</t>
        </is>
      </c>
      <c r="D252" s="1" t="n">
        <v>45189</v>
      </c>
      <c r="E252" s="1" t="n">
        <v>46317</v>
      </c>
      <c r="F252" t="inlineStr">
        <is>
          <t>VÄSTERBOTTENS LÄN</t>
        </is>
      </c>
      <c r="G252" t="inlineStr">
        <is>
          <t>BJURHOLM</t>
        </is>
      </c>
      <c r="I252" t="n">
        <v>15.6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27297-2024</t>
        </is>
      </c>
      <c r="B253" t="inlineStr">
        <is>
          <t>avverkningsanmälan</t>
        </is>
      </c>
      <c r="C253" t="inlineStr">
        <is>
          <t>Föryngringsavverkning</t>
        </is>
      </c>
      <c r="D253" s="1" t="n">
        <v>45471</v>
      </c>
      <c r="E253" s="1" t="n">
        <v>46317</v>
      </c>
      <c r="F253" t="inlineStr">
        <is>
          <t>VÄSTERBOTTENS LÄN</t>
        </is>
      </c>
      <c r="G253" t="inlineStr">
        <is>
          <t>BJURHOLM</t>
        </is>
      </c>
      <c r="H253" t="inlineStr">
        <is>
          <t>SCA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36484-2024</t>
        </is>
      </c>
      <c r="B254" t="inlineStr">
        <is>
          <t>avverkningsanmälan</t>
        </is>
      </c>
      <c r="C254" t="inlineStr">
        <is>
          <t>Föryngringsavverkning</t>
        </is>
      </c>
      <c r="D254" s="1" t="n">
        <v>45537</v>
      </c>
      <c r="E254" s="1" t="n">
        <v>46317</v>
      </c>
      <c r="F254" t="inlineStr">
        <is>
          <t>VÄSTERBOTTENS LÄN</t>
        </is>
      </c>
      <c r="G254" t="inlineStr">
        <is>
          <t>BJURHOLM</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21010-2026</t>
        </is>
      </c>
      <c r="B255" t="inlineStr">
        <is>
          <t>avverkningsanmälan</t>
        </is>
      </c>
      <c r="C255" t="inlineStr">
        <is>
          <t>Föryngringsavverkning</t>
        </is>
      </c>
      <c r="D255" s="1" t="n">
        <v>46142</v>
      </c>
      <c r="E255" s="1" t="n">
        <v>46317</v>
      </c>
      <c r="F255" t="inlineStr">
        <is>
          <t>VÄSTERBOTTENS LÄN</t>
        </is>
      </c>
      <c r="G255" t="inlineStr">
        <is>
          <t>BJURHOLM</t>
        </is>
      </c>
      <c r="H255" t="inlineStr">
        <is>
          <t>Holmen skog AB</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44812-2023</t>
        </is>
      </c>
      <c r="B256" t="inlineStr">
        <is>
          <t>avverkningsanmälan</t>
        </is>
      </c>
      <c r="C256" t="inlineStr">
        <is>
          <t>Föryngringsavverkning</t>
        </is>
      </c>
      <c r="D256" s="1" t="n">
        <v>45190</v>
      </c>
      <c r="E256" s="1" t="n">
        <v>46317</v>
      </c>
      <c r="F256" t="inlineStr">
        <is>
          <t>VÄSTERBOTTENS LÄN</t>
        </is>
      </c>
      <c r="G256" t="inlineStr">
        <is>
          <t>BJURHOLM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22091-2026</t>
        </is>
      </c>
      <c r="B257" t="inlineStr">
        <is>
          <t>avverkningsanmälan</t>
        </is>
      </c>
      <c r="C257" t="inlineStr">
        <is>
          <t>Föryngringsavverkning</t>
        </is>
      </c>
      <c r="D257" s="1" t="n">
        <v>46153</v>
      </c>
      <c r="E257" s="1" t="n">
        <v>46317</v>
      </c>
      <c r="F257" t="inlineStr">
        <is>
          <t>VÄSTERBOTTENS LÄN</t>
        </is>
      </c>
      <c r="G257" t="inlineStr">
        <is>
          <t>BJURHOLM</t>
        </is>
      </c>
      <c r="H257" t="inlineStr">
        <is>
          <t>Holmen skog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7312-2024</t>
        </is>
      </c>
      <c r="B258" t="inlineStr">
        <is>
          <t>avverkningsanmälan</t>
        </is>
      </c>
      <c r="C258" t="inlineStr">
        <is>
          <t>Föryngringsavverkning</t>
        </is>
      </c>
      <c r="D258" s="1" t="n">
        <v>45345</v>
      </c>
      <c r="E258" s="1" t="n">
        <v>46317</v>
      </c>
      <c r="F258" t="inlineStr">
        <is>
          <t>VÄSTERBOTTENS LÄN</t>
        </is>
      </c>
      <c r="G258" t="inlineStr">
        <is>
          <t>BJURHOLM</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52535-2024</t>
        </is>
      </c>
      <c r="B259" t="inlineStr">
        <is>
          <t>avverkningsanmälan</t>
        </is>
      </c>
      <c r="C259" t="inlineStr">
        <is>
          <t>Föryngringsavverkning</t>
        </is>
      </c>
      <c r="D259" s="1" t="n">
        <v>45609</v>
      </c>
      <c r="E259" s="1" t="n">
        <v>46317</v>
      </c>
      <c r="F259" t="inlineStr">
        <is>
          <t>VÄSTERBOTTENS LÄN</t>
        </is>
      </c>
      <c r="G259" t="inlineStr">
        <is>
          <t>BJURHOLM</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22109-2026</t>
        </is>
      </c>
      <c r="B260" t="inlineStr">
        <is>
          <t>avverkningsanmälan</t>
        </is>
      </c>
      <c r="C260" t="inlineStr">
        <is>
          <t>Föryngringsavverkning</t>
        </is>
      </c>
      <c r="D260" s="1" t="n">
        <v>46153</v>
      </c>
      <c r="E260" s="1" t="n">
        <v>46317</v>
      </c>
      <c r="F260" t="inlineStr">
        <is>
          <t>VÄSTERBOTTENS LÄN</t>
        </is>
      </c>
      <c r="G260" t="inlineStr">
        <is>
          <t>BJURHOLM</t>
        </is>
      </c>
      <c r="H260" t="inlineStr">
        <is>
          <t>Holmen skog AB</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52671-2024</t>
        </is>
      </c>
      <c r="B261" t="inlineStr">
        <is>
          <t>avverkningsanmälan</t>
        </is>
      </c>
      <c r="C261" t="inlineStr">
        <is>
          <t>Föryngringsavverkning</t>
        </is>
      </c>
      <c r="D261" s="1" t="n">
        <v>45610</v>
      </c>
      <c r="E261" s="1" t="n">
        <v>46317</v>
      </c>
      <c r="F261" t="inlineStr">
        <is>
          <t>VÄSTERBOTTENS LÄN</t>
        </is>
      </c>
      <c r="G261" t="inlineStr">
        <is>
          <t>BJURHOLM</t>
        </is>
      </c>
      <c r="H261" t="inlineStr">
        <is>
          <t>Holmen skog AB</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47591-2024</t>
        </is>
      </c>
      <c r="B262" t="inlineStr">
        <is>
          <t>avverkningsanmälan</t>
        </is>
      </c>
      <c r="C262" t="inlineStr">
        <is>
          <t>Föryngringsavverkning</t>
        </is>
      </c>
      <c r="D262" s="1" t="n">
        <v>45587</v>
      </c>
      <c r="E262" s="1" t="n">
        <v>46317</v>
      </c>
      <c r="F262" t="inlineStr">
        <is>
          <t>VÄSTERBOTTENS LÄN</t>
        </is>
      </c>
      <c r="G262" t="inlineStr">
        <is>
          <t>BJURHOLM</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25944-2023</t>
        </is>
      </c>
      <c r="B263" t="inlineStr">
        <is>
          <t>avverkningsanmälan</t>
        </is>
      </c>
      <c r="C263" t="inlineStr">
        <is>
          <t>Föryngringsavverkning</t>
        </is>
      </c>
      <c r="D263" s="1" t="n">
        <v>45090</v>
      </c>
      <c r="E263" s="1" t="n">
        <v>46317</v>
      </c>
      <c r="F263" t="inlineStr">
        <is>
          <t>VÄSTERBOTTENS LÄN</t>
        </is>
      </c>
      <c r="G263" t="inlineStr">
        <is>
          <t>BJURHOLM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6658-2022</t>
        </is>
      </c>
      <c r="B264" t="inlineStr">
        <is>
          <t>avverkningsanmälan</t>
        </is>
      </c>
      <c r="C264" t="inlineStr">
        <is>
          <t>Avverkning för annat ändamål</t>
        </is>
      </c>
      <c r="D264" s="1" t="n">
        <v>44602</v>
      </c>
      <c r="E264" s="1" t="n">
        <v>46317</v>
      </c>
      <c r="F264" t="inlineStr">
        <is>
          <t>VÄSTERBOTTENS LÄN</t>
        </is>
      </c>
      <c r="G264" t="inlineStr">
        <is>
          <t>BJURHOLM</t>
        </is>
      </c>
      <c r="H264" t="inlineStr">
        <is>
          <t>Holmen skog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19578-2024</t>
        </is>
      </c>
      <c r="B265" t="inlineStr">
        <is>
          <t>avverkningsanmälan</t>
        </is>
      </c>
      <c r="C265" t="inlineStr">
        <is>
          <t>Föryngringsavverkning</t>
        </is>
      </c>
      <c r="D265" s="1" t="n">
        <v>45429</v>
      </c>
      <c r="E265" s="1" t="n">
        <v>46317</v>
      </c>
      <c r="F265" t="inlineStr">
        <is>
          <t>VÄSTERBOTTENS LÄN</t>
        </is>
      </c>
      <c r="G265" t="inlineStr">
        <is>
          <t>BJURHOLM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46614-2023</t>
        </is>
      </c>
      <c r="B266" t="inlineStr">
        <is>
          <t>avverkningsanmälan</t>
        </is>
      </c>
      <c r="C266" t="inlineStr">
        <is>
          <t>Föryngringsavverkning</t>
        </is>
      </c>
      <c r="D266" s="1" t="n">
        <v>45198</v>
      </c>
      <c r="E266" s="1" t="n">
        <v>46317</v>
      </c>
      <c r="F266" t="inlineStr">
        <is>
          <t>VÄSTERBOTTENS LÄN</t>
        </is>
      </c>
      <c r="G266" t="inlineStr">
        <is>
          <t>BJURHOLM</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8502-2024</t>
        </is>
      </c>
      <c r="B267" t="inlineStr">
        <is>
          <t>avverkningsanmälan</t>
        </is>
      </c>
      <c r="C267" t="inlineStr">
        <is>
          <t>Föryngringsavverkning</t>
        </is>
      </c>
      <c r="D267" s="1" t="n">
        <v>45351</v>
      </c>
      <c r="E267" s="1" t="n">
        <v>46317</v>
      </c>
      <c r="F267" t="inlineStr">
        <is>
          <t>VÄSTERBOTTENS LÄN</t>
        </is>
      </c>
      <c r="G267" t="inlineStr">
        <is>
          <t>BJURHOLM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44777-2023</t>
        </is>
      </c>
      <c r="B268" t="inlineStr">
        <is>
          <t>avverkningsanmälan</t>
        </is>
      </c>
      <c r="C268" t="inlineStr">
        <is>
          <t>Föryngringsavverkning</t>
        </is>
      </c>
      <c r="D268" s="1" t="n">
        <v>45190</v>
      </c>
      <c r="E268" s="1" t="n">
        <v>46317</v>
      </c>
      <c r="F268" t="inlineStr">
        <is>
          <t>VÄSTERBOTTENS LÄN</t>
        </is>
      </c>
      <c r="G268" t="inlineStr">
        <is>
          <t>BJURHOLM</t>
        </is>
      </c>
      <c r="H268" t="inlineStr">
        <is>
          <t>Holmen skog AB</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10527-2025</t>
        </is>
      </c>
      <c r="B269" t="inlineStr">
        <is>
          <t>avverkningsanmälan</t>
        </is>
      </c>
      <c r="C269" t="inlineStr">
        <is>
          <t>Föryngringsavverkning</t>
        </is>
      </c>
      <c r="D269" s="1" t="n">
        <v>45721</v>
      </c>
      <c r="E269" s="1" t="n">
        <v>46317</v>
      </c>
      <c r="F269" t="inlineStr">
        <is>
          <t>VÄSTERBOTTENS LÄN</t>
        </is>
      </c>
      <c r="G269" t="inlineStr">
        <is>
          <t>BJURHOLM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60606-2023</t>
        </is>
      </c>
      <c r="B270" t="inlineStr">
        <is>
          <t>avverkningsanmälan</t>
        </is>
      </c>
      <c r="C270" t="inlineStr">
        <is>
          <t>Föryngringsavverkning</t>
        </is>
      </c>
      <c r="D270" s="1" t="n">
        <v>45260</v>
      </c>
      <c r="E270" s="1" t="n">
        <v>46317</v>
      </c>
      <c r="F270" t="inlineStr">
        <is>
          <t>VÄSTERBOTTENS LÄN</t>
        </is>
      </c>
      <c r="G270" t="inlineStr">
        <is>
          <t>BJURHOLM</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23731-2026</t>
        </is>
      </c>
      <c r="B271" t="inlineStr">
        <is>
          <t>avverkningsanmälan</t>
        </is>
      </c>
      <c r="C271" t="inlineStr">
        <is>
          <t>Föryngringsavverkning</t>
        </is>
      </c>
      <c r="D271" s="1" t="n">
        <v>46164</v>
      </c>
      <c r="E271" s="1" t="n">
        <v>46317</v>
      </c>
      <c r="F271" t="inlineStr">
        <is>
          <t>VÄSTERBOTTENS LÄN</t>
        </is>
      </c>
      <c r="G271" t="inlineStr">
        <is>
          <t>BJURHOLM</t>
        </is>
      </c>
      <c r="H271" t="inlineStr">
        <is>
          <t>Holmen skog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32129-2024</t>
        </is>
      </c>
      <c r="B272" t="inlineStr">
        <is>
          <t>avverkningsanmälan</t>
        </is>
      </c>
      <c r="C272" t="inlineStr">
        <is>
          <t>Föryngringsavverkning</t>
        </is>
      </c>
      <c r="D272" s="1" t="n">
        <v>45511</v>
      </c>
      <c r="E272" s="1" t="n">
        <v>46317</v>
      </c>
      <c r="F272" t="inlineStr">
        <is>
          <t>VÄSTERBOTTENS LÄN</t>
        </is>
      </c>
      <c r="G272" t="inlineStr">
        <is>
          <t>BJURHOLM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42557-2023</t>
        </is>
      </c>
      <c r="B273" t="inlineStr">
        <is>
          <t>avverkningsanmälan</t>
        </is>
      </c>
      <c r="C273" t="inlineStr">
        <is>
          <t>Föryngringsavverkning</t>
        </is>
      </c>
      <c r="D273" s="1" t="n">
        <v>45181</v>
      </c>
      <c r="E273" s="1" t="n">
        <v>46317</v>
      </c>
      <c r="F273" t="inlineStr">
        <is>
          <t>VÄSTERBOTTENS LÄN</t>
        </is>
      </c>
      <c r="G273" t="inlineStr">
        <is>
          <t>BJURHOLM</t>
        </is>
      </c>
      <c r="H273" t="inlineStr">
        <is>
          <t>Holmen skog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23967-2026</t>
        </is>
      </c>
      <c r="B274" t="inlineStr">
        <is>
          <t>avverkningsanmälan</t>
        </is>
      </c>
      <c r="C274" t="inlineStr">
        <is>
          <t>Föryngringsavverkning</t>
        </is>
      </c>
      <c r="D274" s="1" t="n">
        <v>46167</v>
      </c>
      <c r="E274" s="1" t="n">
        <v>46317</v>
      </c>
      <c r="F274" t="inlineStr">
        <is>
          <t>VÄSTERBOTTENS LÄN</t>
        </is>
      </c>
      <c r="G274" t="inlineStr">
        <is>
          <t>BJURHOLM</t>
        </is>
      </c>
      <c r="H274" t="inlineStr">
        <is>
          <t>Holmen skog AB</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23841-2026</t>
        </is>
      </c>
      <c r="B275" t="inlineStr">
        <is>
          <t>avverkningsanmälan</t>
        </is>
      </c>
      <c r="C275" t="inlineStr">
        <is>
          <t>Föryngringsavverkning</t>
        </is>
      </c>
      <c r="D275" s="1" t="n">
        <v>46167</v>
      </c>
      <c r="E275" s="1" t="n">
        <v>46317</v>
      </c>
      <c r="F275" t="inlineStr">
        <is>
          <t>VÄSTERBOTTENS LÄN</t>
        </is>
      </c>
      <c r="G275" t="inlineStr">
        <is>
          <t>BJURHOLM</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23868-2026</t>
        </is>
      </c>
      <c r="B276" t="inlineStr">
        <is>
          <t>avverkningsanmälan</t>
        </is>
      </c>
      <c r="C276" t="inlineStr">
        <is>
          <t>Föryngringsavverkning</t>
        </is>
      </c>
      <c r="D276" s="1" t="n">
        <v>46167</v>
      </c>
      <c r="E276" s="1" t="n">
        <v>46317</v>
      </c>
      <c r="F276" t="inlineStr">
        <is>
          <t>VÄSTERBOTTENS LÄN</t>
        </is>
      </c>
      <c r="G276" t="inlineStr">
        <is>
          <t>BJURHOLM</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23869-2026</t>
        </is>
      </c>
      <c r="B277" t="inlineStr">
        <is>
          <t>avverkningsanmälan</t>
        </is>
      </c>
      <c r="C277" t="inlineStr">
        <is>
          <t>Föryngringsavverkning</t>
        </is>
      </c>
      <c r="D277" s="1" t="n">
        <v>46167</v>
      </c>
      <c r="E277" s="1" t="n">
        <v>46317</v>
      </c>
      <c r="F277" t="inlineStr">
        <is>
          <t>VÄSTERBOTTENS LÄN</t>
        </is>
      </c>
      <c r="G277" t="inlineStr">
        <is>
          <t>BJURHOLM</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35251-2023</t>
        </is>
      </c>
      <c r="B278" t="inlineStr">
        <is>
          <t>avverkningsanmälan</t>
        </is>
      </c>
      <c r="C278" t="inlineStr">
        <is>
          <t>Föryngringsavverkning</t>
        </is>
      </c>
      <c r="D278" s="1" t="n">
        <v>45145</v>
      </c>
      <c r="E278" s="1" t="n">
        <v>46317</v>
      </c>
      <c r="F278" t="inlineStr">
        <is>
          <t>VÄSTERBOTTENS LÄN</t>
        </is>
      </c>
      <c r="G278" t="inlineStr">
        <is>
          <t>BJURHOLM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23835-2026</t>
        </is>
      </c>
      <c r="B279" t="inlineStr">
        <is>
          <t>avverkningsanmälan</t>
        </is>
      </c>
      <c r="C279" t="inlineStr">
        <is>
          <t>Föryngringsavverkning</t>
        </is>
      </c>
      <c r="D279" s="1" t="n">
        <v>46167</v>
      </c>
      <c r="E279" s="1" t="n">
        <v>46317</v>
      </c>
      <c r="F279" t="inlineStr">
        <is>
          <t>VÄSTERBOTTENS LÄN</t>
        </is>
      </c>
      <c r="G279" t="inlineStr">
        <is>
          <t>BJURHOLM</t>
        </is>
      </c>
      <c r="H279" t="inlineStr">
        <is>
          <t>Holmen skog AB</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20836-2022</t>
        </is>
      </c>
      <c r="B280" t="inlineStr">
        <is>
          <t>avverkningsanmälan</t>
        </is>
      </c>
      <c r="C280" t="inlineStr">
        <is>
          <t>Föryngringsavverkning</t>
        </is>
      </c>
      <c r="D280" s="1" t="n">
        <v>44701</v>
      </c>
      <c r="E280" s="1" t="n">
        <v>46317</v>
      </c>
      <c r="F280" t="inlineStr">
        <is>
          <t>VÄSTERBOTTENS LÄN</t>
        </is>
      </c>
      <c r="G280" t="inlineStr">
        <is>
          <t>BJURHOLM</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24657-2026</t>
        </is>
      </c>
      <c r="B281" t="inlineStr">
        <is>
          <t>avverkningsanmälan</t>
        </is>
      </c>
      <c r="C281" t="inlineStr">
        <is>
          <t>Föryngringsavverkning</t>
        </is>
      </c>
      <c r="D281" s="1" t="n">
        <v>46171</v>
      </c>
      <c r="E281" s="1" t="n">
        <v>46317</v>
      </c>
      <c r="F281" t="inlineStr">
        <is>
          <t>VÄSTERBOTTENS LÄN</t>
        </is>
      </c>
      <c r="G281" t="inlineStr">
        <is>
          <t>BJURHOLM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1877-2024</t>
        </is>
      </c>
      <c r="B282" t="inlineStr">
        <is>
          <t>avverkningsanmälan</t>
        </is>
      </c>
      <c r="C282" t="inlineStr">
        <is>
          <t>Föryngringsavverkning</t>
        </is>
      </c>
      <c r="D282" s="1" t="n">
        <v>45307</v>
      </c>
      <c r="E282" s="1" t="n">
        <v>46317</v>
      </c>
      <c r="F282" t="inlineStr">
        <is>
          <t>VÄSTERBOTTENS LÄN</t>
        </is>
      </c>
      <c r="G282" t="inlineStr">
        <is>
          <t>BJURHOLM</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24663-2026</t>
        </is>
      </c>
      <c r="B283" t="inlineStr">
        <is>
          <t>avverkningsanmälan</t>
        </is>
      </c>
      <c r="C283" t="inlineStr">
        <is>
          <t>Föryngringsavverkning</t>
        </is>
      </c>
      <c r="D283" s="1" t="n">
        <v>46171</v>
      </c>
      <c r="E283" s="1" t="n">
        <v>46317</v>
      </c>
      <c r="F283" t="inlineStr">
        <is>
          <t>VÄSTERBOTTENS LÄN</t>
        </is>
      </c>
      <c r="G283" t="inlineStr">
        <is>
          <t>BJURHOLM</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24757-2026</t>
        </is>
      </c>
      <c r="B284" t="inlineStr">
        <is>
          <t>avverkningsanmälan</t>
        </is>
      </c>
      <c r="C284" t="inlineStr">
        <is>
          <t>Föryngringsavverkning</t>
        </is>
      </c>
      <c r="D284" s="1" t="n">
        <v>46171</v>
      </c>
      <c r="E284" s="1" t="n">
        <v>46317</v>
      </c>
      <c r="F284" t="inlineStr">
        <is>
          <t>VÄSTERBOTTENS LÄN</t>
        </is>
      </c>
      <c r="G284" t="inlineStr">
        <is>
          <t>BJURHOLM</t>
        </is>
      </c>
      <c r="H284" t="inlineStr">
        <is>
          <t>SCA</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24667-2026</t>
        </is>
      </c>
      <c r="B285" t="inlineStr">
        <is>
          <t>avverkningsanmälan</t>
        </is>
      </c>
      <c r="C285" t="inlineStr">
        <is>
          <t>Föryngringsavverkning</t>
        </is>
      </c>
      <c r="D285" s="1" t="n">
        <v>46171</v>
      </c>
      <c r="E285" s="1" t="n">
        <v>46317</v>
      </c>
      <c r="F285" t="inlineStr">
        <is>
          <t>VÄSTERBOTTENS LÄN</t>
        </is>
      </c>
      <c r="G285" t="inlineStr">
        <is>
          <t>BJURHOLM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25226-2026</t>
        </is>
      </c>
      <c r="B286" t="inlineStr">
        <is>
          <t>avverkningsanmälan</t>
        </is>
      </c>
      <c r="C286" t="inlineStr">
        <is>
          <t>Föryngringsavverkning</t>
        </is>
      </c>
      <c r="D286" s="1" t="n">
        <v>46175</v>
      </c>
      <c r="E286" s="1" t="n">
        <v>46317</v>
      </c>
      <c r="F286" t="inlineStr">
        <is>
          <t>VÄSTERBOTTENS LÄN</t>
        </is>
      </c>
      <c r="G286" t="inlineStr">
        <is>
          <t>BJURHOLM</t>
        </is>
      </c>
      <c r="H286" t="inlineStr">
        <is>
          <t>Holmen skog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25215-2026</t>
        </is>
      </c>
      <c r="B287" t="inlineStr">
        <is>
          <t>avverkningsanmälan</t>
        </is>
      </c>
      <c r="C287" t="inlineStr">
        <is>
          <t>Föryngringsavverkning</t>
        </is>
      </c>
      <c r="D287" s="1" t="n">
        <v>46175</v>
      </c>
      <c r="E287" s="1" t="n">
        <v>46317</v>
      </c>
      <c r="F287" t="inlineStr">
        <is>
          <t>VÄSTERBOTTENS LÄN</t>
        </is>
      </c>
      <c r="G287" t="inlineStr">
        <is>
          <t>BJURHOLM</t>
        </is>
      </c>
      <c r="H287" t="inlineStr">
        <is>
          <t>Holmen skog AB</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24874-2026</t>
        </is>
      </c>
      <c r="B288" t="inlineStr">
        <is>
          <t>avverkningsanmälan</t>
        </is>
      </c>
      <c r="C288" t="inlineStr">
        <is>
          <t>Föryngringsavverkning</t>
        </is>
      </c>
      <c r="D288" s="1" t="n">
        <v>46174</v>
      </c>
      <c r="E288" s="1" t="n">
        <v>46317</v>
      </c>
      <c r="F288" t="inlineStr">
        <is>
          <t>VÄSTERBOTTENS LÄN</t>
        </is>
      </c>
      <c r="G288" t="inlineStr">
        <is>
          <t>BJURHOLM</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27256-2025</t>
        </is>
      </c>
      <c r="B289" t="inlineStr">
        <is>
          <t>avverkningsanmälan</t>
        </is>
      </c>
      <c r="C289" t="inlineStr">
        <is>
          <t>Föryngringsavverkning</t>
        </is>
      </c>
      <c r="D289" s="1" t="n">
        <v>45812</v>
      </c>
      <c r="E289" s="1" t="n">
        <v>46317</v>
      </c>
      <c r="F289" t="inlineStr">
        <is>
          <t>VÄSTERBOTTENS LÄN</t>
        </is>
      </c>
      <c r="G289" t="inlineStr">
        <is>
          <t>BJURHOLM</t>
        </is>
      </c>
      <c r="I289" t="n">
        <v>48.1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24870-2026</t>
        </is>
      </c>
      <c r="B290" t="inlineStr">
        <is>
          <t>avverkningsanmälan</t>
        </is>
      </c>
      <c r="C290" t="inlineStr">
        <is>
          <t>Föryngringsavverkning</t>
        </is>
      </c>
      <c r="D290" s="1" t="n">
        <v>46174</v>
      </c>
      <c r="E290" s="1" t="n">
        <v>46317</v>
      </c>
      <c r="F290" t="inlineStr">
        <is>
          <t>VÄSTERBOTTENS LÄN</t>
        </is>
      </c>
      <c r="G290" t="inlineStr">
        <is>
          <t>BJURHOLM</t>
        </is>
      </c>
      <c r="H290" t="inlineStr">
        <is>
          <t>Holmen skog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25534-2026</t>
        </is>
      </c>
      <c r="B291" t="inlineStr">
        <is>
          <t>avverkningsanmälan</t>
        </is>
      </c>
      <c r="C291" t="inlineStr">
        <is>
          <t>Föryngringsavverkning</t>
        </is>
      </c>
      <c r="D291" s="1" t="n">
        <v>46177</v>
      </c>
      <c r="E291" s="1" t="n">
        <v>46317</v>
      </c>
      <c r="F291" t="inlineStr">
        <is>
          <t>VÄSTERBOTTENS LÄN</t>
        </is>
      </c>
      <c r="G291" t="inlineStr">
        <is>
          <t>BJURHOLM</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63170-2025</t>
        </is>
      </c>
      <c r="B292" t="inlineStr">
        <is>
          <t>avverkningsanmälan</t>
        </is>
      </c>
      <c r="C292" t="inlineStr">
        <is>
          <t>Föryngringsavverkning</t>
        </is>
      </c>
      <c r="D292" s="1" t="n">
        <v>46010</v>
      </c>
      <c r="E292" s="1" t="n">
        <v>46317</v>
      </c>
      <c r="F292" t="inlineStr">
        <is>
          <t>VÄSTERBOTTENS LÄN</t>
        </is>
      </c>
      <c r="G292" t="inlineStr">
        <is>
          <t>BJURHOLM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23974-2022</t>
        </is>
      </c>
      <c r="B293" t="inlineStr">
        <is>
          <t>avverkningsanmälan</t>
        </is>
      </c>
      <c r="C293" t="inlineStr">
        <is>
          <t>Föryngringsavverkning</t>
        </is>
      </c>
      <c r="D293" s="1" t="n">
        <v>44722</v>
      </c>
      <c r="E293" s="1" t="n">
        <v>46317</v>
      </c>
      <c r="F293" t="inlineStr">
        <is>
          <t>VÄSTERBOTTENS LÄN</t>
        </is>
      </c>
      <c r="G293" t="inlineStr">
        <is>
          <t>BJURHOLM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1875-2024</t>
        </is>
      </c>
      <c r="B294" t="inlineStr">
        <is>
          <t>avverkningsanmälan</t>
        </is>
      </c>
      <c r="C294" t="inlineStr">
        <is>
          <t>Föryngringsavverkning</t>
        </is>
      </c>
      <c r="D294" s="1" t="n">
        <v>45307</v>
      </c>
      <c r="E294" s="1" t="n">
        <v>46317</v>
      </c>
      <c r="F294" t="inlineStr">
        <is>
          <t>VÄSTERBOTTENS LÄN</t>
        </is>
      </c>
      <c r="G294" t="inlineStr">
        <is>
          <t>BJURHOLM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25499-2026</t>
        </is>
      </c>
      <c r="B295" t="inlineStr">
        <is>
          <t>avverkningsanmälan</t>
        </is>
      </c>
      <c r="C295" t="inlineStr">
        <is>
          <t>Föryngringsavverkning</t>
        </is>
      </c>
      <c r="D295" s="1" t="n">
        <v>46177</v>
      </c>
      <c r="E295" s="1" t="n">
        <v>46317</v>
      </c>
      <c r="F295" t="inlineStr">
        <is>
          <t>VÄSTERBOTTENS LÄN</t>
        </is>
      </c>
      <c r="G295" t="inlineStr">
        <is>
          <t>BJURHOLM</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17237-2025</t>
        </is>
      </c>
      <c r="B296" t="inlineStr">
        <is>
          <t>avverkningsanmälan</t>
        </is>
      </c>
      <c r="C296" t="inlineStr">
        <is>
          <t>Föryngringsavverkning</t>
        </is>
      </c>
      <c r="D296" s="1" t="n">
        <v>45756</v>
      </c>
      <c r="E296" s="1" t="n">
        <v>46317</v>
      </c>
      <c r="F296" t="inlineStr">
        <is>
          <t>VÄSTERBOTTENS LÄN</t>
        </is>
      </c>
      <c r="G296" t="inlineStr">
        <is>
          <t>BJURHOLM</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57886-2023</t>
        </is>
      </c>
      <c r="B297" t="inlineStr">
        <is>
          <t>avverkningsanmälan</t>
        </is>
      </c>
      <c r="C297" t="inlineStr">
        <is>
          <t>Föryngringsavverkning</t>
        </is>
      </c>
      <c r="D297" s="1" t="n">
        <v>45247</v>
      </c>
      <c r="E297" s="1" t="n">
        <v>46317</v>
      </c>
      <c r="F297" t="inlineStr">
        <is>
          <t>VÄSTERBOTTENS LÄN</t>
        </is>
      </c>
      <c r="G297" t="inlineStr">
        <is>
          <t>BJURHOLM</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25301-2026</t>
        </is>
      </c>
      <c r="B298" t="inlineStr">
        <is>
          <t>avverkningsanmälan</t>
        </is>
      </c>
      <c r="C298" t="inlineStr">
        <is>
          <t>Föryngringsavverkning</t>
        </is>
      </c>
      <c r="D298" s="1" t="n">
        <v>46176</v>
      </c>
      <c r="E298" s="1" t="n">
        <v>46317</v>
      </c>
      <c r="F298" t="inlineStr">
        <is>
          <t>VÄSTERBOTTENS LÄN</t>
        </is>
      </c>
      <c r="G298" t="inlineStr">
        <is>
          <t>BJURHOLM</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26014-2026</t>
        </is>
      </c>
      <c r="B299" t="inlineStr">
        <is>
          <t>avverkningsanmälan</t>
        </is>
      </c>
      <c r="C299" t="inlineStr">
        <is>
          <t>Föryngringsavverkning</t>
        </is>
      </c>
      <c r="D299" s="1" t="n">
        <v>46181</v>
      </c>
      <c r="E299" s="1" t="n">
        <v>46317</v>
      </c>
      <c r="F299" t="inlineStr">
        <is>
          <t>VÄSTERBOTTENS LÄN</t>
        </is>
      </c>
      <c r="G299" t="inlineStr">
        <is>
          <t>BJURHOLM</t>
        </is>
      </c>
      <c r="H299" t="inlineStr">
        <is>
          <t>Holmen skog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44187-2023</t>
        </is>
      </c>
      <c r="B300" t="inlineStr">
        <is>
          <t>avverkningsanmälan</t>
        </is>
      </c>
      <c r="C300" t="inlineStr">
        <is>
          <t>Föryngringsavverkning</t>
        </is>
      </c>
      <c r="D300" s="1" t="n">
        <v>45183</v>
      </c>
      <c r="E300" s="1" t="n">
        <v>46317</v>
      </c>
      <c r="F300" t="inlineStr">
        <is>
          <t>VÄSTERBOTTENS LÄN</t>
        </is>
      </c>
      <c r="G300" t="inlineStr">
        <is>
          <t>BJURHOLM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9688-2024</t>
        </is>
      </c>
      <c r="B301" t="inlineStr">
        <is>
          <t>avverkningsanmälan</t>
        </is>
      </c>
      <c r="C301" t="inlineStr">
        <is>
          <t>Föryngringsavverkning</t>
        </is>
      </c>
      <c r="D301" s="1" t="n">
        <v>45362</v>
      </c>
      <c r="E301" s="1" t="n">
        <v>46317</v>
      </c>
      <c r="F301" t="inlineStr">
        <is>
          <t>VÄSTERBOTTENS LÄN</t>
        </is>
      </c>
      <c r="G301" t="inlineStr">
        <is>
          <t>BJURHOLM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25999-2026</t>
        </is>
      </c>
      <c r="B302" t="inlineStr">
        <is>
          <t>avverkningsanmälan</t>
        </is>
      </c>
      <c r="C302" t="inlineStr">
        <is>
          <t>Föryngringsavverkning</t>
        </is>
      </c>
      <c r="D302" s="1" t="n">
        <v>46181</v>
      </c>
      <c r="E302" s="1" t="n">
        <v>46317</v>
      </c>
      <c r="F302" t="inlineStr">
        <is>
          <t>VÄSTERBOTTENS LÄN</t>
        </is>
      </c>
      <c r="G302" t="inlineStr">
        <is>
          <t>BJURHOLM</t>
        </is>
      </c>
      <c r="H302" t="inlineStr">
        <is>
          <t>Holmen skog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26009-2026</t>
        </is>
      </c>
      <c r="B303" t="inlineStr">
        <is>
          <t>avverkningsanmälan</t>
        </is>
      </c>
      <c r="C303" t="inlineStr">
        <is>
          <t>Föryngringsavverkning</t>
        </is>
      </c>
      <c r="D303" s="1" t="n">
        <v>46181</v>
      </c>
      <c r="E303" s="1" t="n">
        <v>46317</v>
      </c>
      <c r="F303" t="inlineStr">
        <is>
          <t>VÄSTERBOTTENS LÄN</t>
        </is>
      </c>
      <c r="G303" t="inlineStr">
        <is>
          <t>BJURHOLM</t>
        </is>
      </c>
      <c r="H303" t="inlineStr">
        <is>
          <t>Holmen skog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26436-2026</t>
        </is>
      </c>
      <c r="B304" t="inlineStr">
        <is>
          <t>avverkningsanmälan</t>
        </is>
      </c>
      <c r="C304" t="inlineStr">
        <is>
          <t>Föryngringsavverkning</t>
        </is>
      </c>
      <c r="D304" s="1" t="n">
        <v>46183</v>
      </c>
      <c r="E304" s="1" t="n">
        <v>46317</v>
      </c>
      <c r="F304" t="inlineStr">
        <is>
          <t>VÄSTERBOTTENS LÄN</t>
        </is>
      </c>
      <c r="G304" t="inlineStr">
        <is>
          <t>BJURHOLM</t>
        </is>
      </c>
      <c r="H304" t="inlineStr">
        <is>
          <t>Sveaskog</t>
        </is>
      </c>
      <c r="I304" t="n">
        <v>20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17060-2025</t>
        </is>
      </c>
      <c r="B305" t="inlineStr">
        <is>
          <t>avverkningsanmälan</t>
        </is>
      </c>
      <c r="C305" t="inlineStr">
        <is>
          <t>Föryngringsavverkning</t>
        </is>
      </c>
      <c r="D305" s="1" t="n">
        <v>45755</v>
      </c>
      <c r="E305" s="1" t="n">
        <v>46317</v>
      </c>
      <c r="F305" t="inlineStr">
        <is>
          <t>VÄSTERBOTTENS LÄN</t>
        </is>
      </c>
      <c r="G305" t="inlineStr">
        <is>
          <t>BJURHOLM</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34712-2023</t>
        </is>
      </c>
      <c r="B306" t="inlineStr">
        <is>
          <t>avverkningsanmälan</t>
        </is>
      </c>
      <c r="C306" t="inlineStr">
        <is>
          <t>Föryngringsavverkning</t>
        </is>
      </c>
      <c r="D306" s="1" t="n">
        <v>45139</v>
      </c>
      <c r="E306" s="1" t="n">
        <v>46317</v>
      </c>
      <c r="F306" t="inlineStr">
        <is>
          <t>VÄSTERBOTTENS LÄN</t>
        </is>
      </c>
      <c r="G306" t="inlineStr">
        <is>
          <t>BJURHOLM</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80-2024</t>
        </is>
      </c>
      <c r="B307" t="inlineStr">
        <is>
          <t>avverkningsanmälan</t>
        </is>
      </c>
      <c r="C307" t="inlineStr">
        <is>
          <t>Föryngringsavverkning</t>
        </is>
      </c>
      <c r="D307" s="1" t="n">
        <v>45293</v>
      </c>
      <c r="E307" s="1" t="n">
        <v>46317</v>
      </c>
      <c r="F307" t="inlineStr">
        <is>
          <t>VÄSTERBOTTENS LÄN</t>
        </is>
      </c>
      <c r="G307" t="inlineStr">
        <is>
          <t>BJURHOLM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60659-2023</t>
        </is>
      </c>
      <c r="B308" t="inlineStr">
        <is>
          <t>avverkningsanmälan</t>
        </is>
      </c>
      <c r="C308" t="inlineStr">
        <is>
          <t>Föryngringsavverkning</t>
        </is>
      </c>
      <c r="D308" s="1" t="n">
        <v>45259</v>
      </c>
      <c r="E308" s="1" t="n">
        <v>46317</v>
      </c>
      <c r="F308" t="inlineStr">
        <is>
          <t>VÄSTERBOTTENS LÄN</t>
        </is>
      </c>
      <c r="G308" t="inlineStr">
        <is>
          <t>BJURHOLM</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23183-2024</t>
        </is>
      </c>
      <c r="B309" t="inlineStr">
        <is>
          <t>avverkningsanmälan</t>
        </is>
      </c>
      <c r="C309" t="inlineStr">
        <is>
          <t>Föryngringsavverkning</t>
        </is>
      </c>
      <c r="D309" s="1" t="n">
        <v>45450</v>
      </c>
      <c r="E309" s="1" t="n">
        <v>46317</v>
      </c>
      <c r="F309" t="inlineStr">
        <is>
          <t>VÄSTERBOTTENS LÄN</t>
        </is>
      </c>
      <c r="G309" t="inlineStr">
        <is>
          <t>BJURHOLM</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23206-2024</t>
        </is>
      </c>
      <c r="B310" t="inlineStr">
        <is>
          <t>avverkningsanmälan</t>
        </is>
      </c>
      <c r="C310" t="inlineStr">
        <is>
          <t>Föryngringsavverkning</t>
        </is>
      </c>
      <c r="D310" s="1" t="n">
        <v>45451</v>
      </c>
      <c r="E310" s="1" t="n">
        <v>46317</v>
      </c>
      <c r="F310" t="inlineStr">
        <is>
          <t>VÄSTERBOTTENS LÄN</t>
        </is>
      </c>
      <c r="G310" t="inlineStr">
        <is>
          <t>BJURHOLM</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27022-2026</t>
        </is>
      </c>
      <c r="B311" t="inlineStr">
        <is>
          <t>avverkningsanmälan</t>
        </is>
      </c>
      <c r="C311" t="inlineStr">
        <is>
          <t>Föryngringsavverkning</t>
        </is>
      </c>
      <c r="D311" s="1" t="n">
        <v>46185</v>
      </c>
      <c r="E311" s="1" t="n">
        <v>46317</v>
      </c>
      <c r="F311" t="inlineStr">
        <is>
          <t>VÄSTERBOTTENS LÄN</t>
        </is>
      </c>
      <c r="G311" t="inlineStr">
        <is>
          <t>BJURHOLM</t>
        </is>
      </c>
      <c r="H311" t="inlineStr">
        <is>
          <t>Sveaskog</t>
        </is>
      </c>
      <c r="I311" t="n">
        <v>18.6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27025-2026</t>
        </is>
      </c>
      <c r="B312" t="inlineStr">
        <is>
          <t>avverkningsanmälan</t>
        </is>
      </c>
      <c r="C312" t="inlineStr">
        <is>
          <t>Föryngringsavverkning</t>
        </is>
      </c>
      <c r="D312" s="1" t="n">
        <v>46185</v>
      </c>
      <c r="E312" s="1" t="n">
        <v>46317</v>
      </c>
      <c r="F312" t="inlineStr">
        <is>
          <t>VÄSTERBOTTENS LÄN</t>
        </is>
      </c>
      <c r="G312" t="inlineStr">
        <is>
          <t>BJURHOLM</t>
        </is>
      </c>
      <c r="H312" t="inlineStr">
        <is>
          <t>Sveaskog</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20778-2024</t>
        </is>
      </c>
      <c r="B313" t="inlineStr">
        <is>
          <t>avverkningsanmälan</t>
        </is>
      </c>
      <c r="C313" t="inlineStr">
        <is>
          <t>Föryngringsavverkning</t>
        </is>
      </c>
      <c r="D313" s="1" t="n">
        <v>45436</v>
      </c>
      <c r="E313" s="1" t="n">
        <v>46317</v>
      </c>
      <c r="F313" t="inlineStr">
        <is>
          <t>VÄSTERBOTTENS LÄN</t>
        </is>
      </c>
      <c r="G313" t="inlineStr">
        <is>
          <t>BJURHOLM</t>
        </is>
      </c>
      <c r="H313" t="inlineStr">
        <is>
          <t>SCA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59181-2023</t>
        </is>
      </c>
      <c r="B314" t="inlineStr">
        <is>
          <t>avverkningsanmälan</t>
        </is>
      </c>
      <c r="C314" t="inlineStr">
        <is>
          <t>Föryngringsavverkning</t>
        </is>
      </c>
      <c r="D314" s="1" t="n">
        <v>45251</v>
      </c>
      <c r="E314" s="1" t="n">
        <v>46317</v>
      </c>
      <c r="F314" t="inlineStr">
        <is>
          <t>VÄSTERBOTTENS LÄN</t>
        </is>
      </c>
      <c r="G314" t="inlineStr">
        <is>
          <t>BJURHOLM</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27172-2026</t>
        </is>
      </c>
      <c r="B315" t="inlineStr">
        <is>
          <t>avverkningsanmälan</t>
        </is>
      </c>
      <c r="C315" t="inlineStr">
        <is>
          <t>Föryngringsavverkning</t>
        </is>
      </c>
      <c r="D315" s="1" t="n">
        <v>46188</v>
      </c>
      <c r="E315" s="1" t="n">
        <v>46317</v>
      </c>
      <c r="F315" t="inlineStr">
        <is>
          <t>VÄSTERBOTTENS LÄN</t>
        </is>
      </c>
      <c r="G315" t="inlineStr">
        <is>
          <t>BJURHOLM</t>
        </is>
      </c>
      <c r="H315" t="inlineStr">
        <is>
          <t>Sveaskog</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7683-2024</t>
        </is>
      </c>
      <c r="B316" t="inlineStr">
        <is>
          <t>avverkningsanmälan</t>
        </is>
      </c>
      <c r="C316" t="inlineStr">
        <is>
          <t>Föryngringsavverkning</t>
        </is>
      </c>
      <c r="D316" s="1" t="n">
        <v>45348</v>
      </c>
      <c r="E316" s="1" t="n">
        <v>46317</v>
      </c>
      <c r="F316" t="inlineStr">
        <is>
          <t>VÄSTERBOTTENS LÄN</t>
        </is>
      </c>
      <c r="G316" t="inlineStr">
        <is>
          <t>BJURHOLM</t>
        </is>
      </c>
      <c r="I316" t="n">
        <v>11.5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7728-2024</t>
        </is>
      </c>
      <c r="B317" t="inlineStr">
        <is>
          <t>avverkningsanmälan</t>
        </is>
      </c>
      <c r="C317" t="inlineStr">
        <is>
          <t>Föryngringsavverkning</t>
        </is>
      </c>
      <c r="D317" s="1" t="n">
        <v>45348</v>
      </c>
      <c r="E317" s="1" t="n">
        <v>46317</v>
      </c>
      <c r="F317" t="inlineStr">
        <is>
          <t>VÄSTERBOTTENS LÄN</t>
        </is>
      </c>
      <c r="G317" t="inlineStr">
        <is>
          <t>BJURHOLM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7418-2024</t>
        </is>
      </c>
      <c r="B318" t="inlineStr">
        <is>
          <t>avverkningsanmälan</t>
        </is>
      </c>
      <c r="C318" t="inlineStr">
        <is>
          <t>Föryngringsavverkning</t>
        </is>
      </c>
      <c r="D318" s="1" t="n">
        <v>45345</v>
      </c>
      <c r="E318" s="1" t="n">
        <v>46317</v>
      </c>
      <c r="F318" t="inlineStr">
        <is>
          <t>VÄSTERBOTTENS LÄN</t>
        </is>
      </c>
      <c r="G318" t="inlineStr">
        <is>
          <t>BJURHOLM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5541-2025</t>
        </is>
      </c>
      <c r="B319" t="inlineStr">
        <is>
          <t>avverkningsanmälan</t>
        </is>
      </c>
      <c r="C319" t="inlineStr">
        <is>
          <t>Föryngringsavverkning</t>
        </is>
      </c>
      <c r="D319" s="1" t="n">
        <v>45693</v>
      </c>
      <c r="E319" s="1" t="n">
        <v>46317</v>
      </c>
      <c r="F319" t="inlineStr">
        <is>
          <t>VÄSTERBOTTENS LÄN</t>
        </is>
      </c>
      <c r="G319" t="inlineStr">
        <is>
          <t>BJURHOLM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27757-2026</t>
        </is>
      </c>
      <c r="B320" t="inlineStr">
        <is>
          <t>avverkningsanmälan</t>
        </is>
      </c>
      <c r="C320" t="inlineStr">
        <is>
          <t>Föryngringsavverkning</t>
        </is>
      </c>
      <c r="D320" s="1" t="n">
        <v>46191</v>
      </c>
      <c r="E320" s="1" t="n">
        <v>46317</v>
      </c>
      <c r="F320" t="inlineStr">
        <is>
          <t>VÄSTERBOTTENS LÄN</t>
        </is>
      </c>
      <c r="G320" t="inlineStr">
        <is>
          <t>BJURHOLM</t>
        </is>
      </c>
      <c r="H320" t="inlineStr">
        <is>
          <t>Holmen skog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34714-2023</t>
        </is>
      </c>
      <c r="B321" t="inlineStr">
        <is>
          <t>avverkningsanmälan</t>
        </is>
      </c>
      <c r="C321" t="inlineStr">
        <is>
          <t>Föryngringsavverkning</t>
        </is>
      </c>
      <c r="D321" s="1" t="n">
        <v>45141</v>
      </c>
      <c r="E321" s="1" t="n">
        <v>46317</v>
      </c>
      <c r="F321" t="inlineStr">
        <is>
          <t>VÄSTERBOTTENS LÄN</t>
        </is>
      </c>
      <c r="G321" t="inlineStr">
        <is>
          <t>BJURHOLM</t>
        </is>
      </c>
      <c r="H321" t="inlineStr">
        <is>
          <t>Holmen skog AB</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30182-2023</t>
        </is>
      </c>
      <c r="B322" t="inlineStr">
        <is>
          <t>avverkningsanmälan</t>
        </is>
      </c>
      <c r="C322" t="inlineStr">
        <is>
          <t>Föryngringsavverkning</t>
        </is>
      </c>
      <c r="D322" s="1" t="n">
        <v>45099</v>
      </c>
      <c r="E322" s="1" t="n">
        <v>46317</v>
      </c>
      <c r="F322" t="inlineStr">
        <is>
          <t>VÄSTERBOTTENS LÄN</t>
        </is>
      </c>
      <c r="G322" t="inlineStr">
        <is>
          <t>BJURHOLM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28053-2026</t>
        </is>
      </c>
      <c r="B323" t="inlineStr">
        <is>
          <t>avverkningsanmälan</t>
        </is>
      </c>
      <c r="C323" t="inlineStr">
        <is>
          <t>Föryngringsavverkning</t>
        </is>
      </c>
      <c r="D323" s="1" t="n">
        <v>46195</v>
      </c>
      <c r="E323" s="1" t="n">
        <v>46317</v>
      </c>
      <c r="F323" t="inlineStr">
        <is>
          <t>VÄSTERBOTTENS LÄN</t>
        </is>
      </c>
      <c r="G323" t="inlineStr">
        <is>
          <t>BJURHOLM</t>
        </is>
      </c>
      <c r="H323" t="inlineStr">
        <is>
          <t>Holmen skog AB</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28410-2026</t>
        </is>
      </c>
      <c r="B324" t="inlineStr">
        <is>
          <t>avverkningsanmälan</t>
        </is>
      </c>
      <c r="C324" t="inlineStr">
        <is>
          <t>Föryngringsavverkning</t>
        </is>
      </c>
      <c r="D324" s="1" t="n">
        <v>46197</v>
      </c>
      <c r="E324" s="1" t="n">
        <v>46317</v>
      </c>
      <c r="F324" t="inlineStr">
        <is>
          <t>VÄSTERBOTTENS LÄN</t>
        </is>
      </c>
      <c r="G324" t="inlineStr">
        <is>
          <t>BJURHOLM</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28413-2026</t>
        </is>
      </c>
      <c r="B325" t="inlineStr">
        <is>
          <t>avverkningsanmälan</t>
        </is>
      </c>
      <c r="C325" t="inlineStr">
        <is>
          <t>Föryngringsavverkning</t>
        </is>
      </c>
      <c r="D325" s="1" t="n">
        <v>46197</v>
      </c>
      <c r="E325" s="1" t="n">
        <v>46317</v>
      </c>
      <c r="F325" t="inlineStr">
        <is>
          <t>VÄSTERBOTTENS LÄN</t>
        </is>
      </c>
      <c r="G325" t="inlineStr">
        <is>
          <t>BJURHOLM</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36416-2024</t>
        </is>
      </c>
      <c r="B326" t="inlineStr">
        <is>
          <t>avverkningsanmälan</t>
        </is>
      </c>
      <c r="C326" t="inlineStr">
        <is>
          <t>Avverkning för annat ändamål</t>
        </is>
      </c>
      <c r="D326" s="1" t="n">
        <v>45536</v>
      </c>
      <c r="E326" s="1" t="n">
        <v>46317</v>
      </c>
      <c r="F326" t="inlineStr">
        <is>
          <t>VÄSTERBOTTENS LÄN</t>
        </is>
      </c>
      <c r="G326" t="inlineStr">
        <is>
          <t>BJURHOLM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64500-2023</t>
        </is>
      </c>
      <c r="B327" t="inlineStr">
        <is>
          <t>avverkningsanmälan</t>
        </is>
      </c>
      <c r="C327" t="inlineStr">
        <is>
          <t>Avverkning för att bevara och utveckla /försöksver</t>
        </is>
      </c>
      <c r="D327" s="1" t="n">
        <v>45280</v>
      </c>
      <c r="E327" s="1" t="n">
        <v>46317</v>
      </c>
      <c r="F327" t="inlineStr">
        <is>
          <t>VÄSTERBOTTENS LÄN</t>
        </is>
      </c>
      <c r="G327" t="inlineStr">
        <is>
          <t>BJURHOLM</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41592-2023</t>
        </is>
      </c>
      <c r="B328" t="inlineStr">
        <is>
          <t>avverkningsanmälan</t>
        </is>
      </c>
      <c r="C328" t="inlineStr">
        <is>
          <t>Föryngringsavverkning</t>
        </is>
      </c>
      <c r="D328" s="1" t="n">
        <v>45175</v>
      </c>
      <c r="E328" s="1" t="n">
        <v>46317</v>
      </c>
      <c r="F328" t="inlineStr">
        <is>
          <t>VÄSTERBOTTENS LÄN</t>
        </is>
      </c>
      <c r="G328" t="inlineStr">
        <is>
          <t>BJURHOLM</t>
        </is>
      </c>
      <c r="H328" t="inlineStr">
        <is>
          <t>Holmen skog AB</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28858-2026</t>
        </is>
      </c>
      <c r="B329" t="inlineStr">
        <is>
          <t>avverkningsanmälan</t>
        </is>
      </c>
      <c r="C329" t="inlineStr">
        <is>
          <t>Föryngringsavverkning</t>
        </is>
      </c>
      <c r="D329" s="1" t="n">
        <v>46198</v>
      </c>
      <c r="E329" s="1" t="n">
        <v>46317</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29189-2026</t>
        </is>
      </c>
      <c r="B330" t="inlineStr">
        <is>
          <t>avverkningsanmälan</t>
        </is>
      </c>
      <c r="C330" t="inlineStr">
        <is>
          <t>Föryngringsavverkning</t>
        </is>
      </c>
      <c r="D330" s="1" t="n">
        <v>46202</v>
      </c>
      <c r="E330" s="1" t="n">
        <v>46317</v>
      </c>
      <c r="F330" t="inlineStr">
        <is>
          <t>VÄSTERBOTTENS LÄN</t>
        </is>
      </c>
      <c r="G330" t="inlineStr">
        <is>
          <t>BJURHOLM</t>
        </is>
      </c>
      <c r="H330" t="inlineStr">
        <is>
          <t>Holmen skog AB</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29170-2026</t>
        </is>
      </c>
      <c r="B331" t="inlineStr">
        <is>
          <t>avverkningsanmälan</t>
        </is>
      </c>
      <c r="C331" t="inlineStr">
        <is>
          <t>Föryngringsavverkning</t>
        </is>
      </c>
      <c r="D331" s="1" t="n">
        <v>46202</v>
      </c>
      <c r="E331" s="1" t="n">
        <v>46317</v>
      </c>
      <c r="F331" t="inlineStr">
        <is>
          <t>VÄSTERBOTTENS LÄN</t>
        </is>
      </c>
      <c r="G331" t="inlineStr">
        <is>
          <t>BJURHOLM</t>
        </is>
      </c>
      <c r="H331" t="inlineStr">
        <is>
          <t>Holmen skog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29146-2026</t>
        </is>
      </c>
      <c r="B332" t="inlineStr">
        <is>
          <t>avverkningsanmälan</t>
        </is>
      </c>
      <c r="C332" t="inlineStr">
        <is>
          <t>Föryngringsavverkning</t>
        </is>
      </c>
      <c r="D332" s="1" t="n">
        <v>46202</v>
      </c>
      <c r="E332" s="1" t="n">
        <v>46317</v>
      </c>
      <c r="F332" t="inlineStr">
        <is>
          <t>VÄSTERBOTTENS LÄN</t>
        </is>
      </c>
      <c r="G332" t="inlineStr">
        <is>
          <t>BJURHOLM</t>
        </is>
      </c>
      <c r="H332" t="inlineStr">
        <is>
          <t>Holmen skog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29145-2026</t>
        </is>
      </c>
      <c r="B333" t="inlineStr">
        <is>
          <t>avverkningsanmälan</t>
        </is>
      </c>
      <c r="C333" t="inlineStr">
        <is>
          <t>Föryngringsavverkning</t>
        </is>
      </c>
      <c r="D333" s="1" t="n">
        <v>46202</v>
      </c>
      <c r="E333" s="1" t="n">
        <v>46317</v>
      </c>
      <c r="F333" t="inlineStr">
        <is>
          <t>VÄSTERBOTTENS LÄN</t>
        </is>
      </c>
      <c r="G333" t="inlineStr">
        <is>
          <t>BJURHOLM</t>
        </is>
      </c>
      <c r="H333" t="inlineStr">
        <is>
          <t>Holmen skog AB</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29368-2026</t>
        </is>
      </c>
      <c r="B334" t="inlineStr">
        <is>
          <t>avverkningsanmälan</t>
        </is>
      </c>
      <c r="C334" t="inlineStr">
        <is>
          <t>Föryngringsavverkning</t>
        </is>
      </c>
      <c r="D334" s="1" t="n">
        <v>46203</v>
      </c>
      <c r="E334" s="1" t="n">
        <v>46317</v>
      </c>
      <c r="F334" t="inlineStr">
        <is>
          <t>VÄSTERBOTTENS LÄN</t>
        </is>
      </c>
      <c r="G334" t="inlineStr">
        <is>
          <t>BJURHOLM</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14071-2023</t>
        </is>
      </c>
      <c r="B335" t="inlineStr">
        <is>
          <t>avverkningsanmälan</t>
        </is>
      </c>
      <c r="C335" t="inlineStr">
        <is>
          <t>Föryngringsavverkning</t>
        </is>
      </c>
      <c r="D335" s="1" t="n">
        <v>45009</v>
      </c>
      <c r="E335" s="1" t="n">
        <v>46317</v>
      </c>
      <c r="F335" t="inlineStr">
        <is>
          <t>VÄSTERBOTTENS LÄN</t>
        </is>
      </c>
      <c r="G335" t="inlineStr">
        <is>
          <t>BJURHOLM</t>
        </is>
      </c>
      <c r="H335" t="inlineStr">
        <is>
          <t>SCA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34296-2022</t>
        </is>
      </c>
      <c r="B336" t="inlineStr">
        <is>
          <t>avverkningsanmälan</t>
        </is>
      </c>
      <c r="C336" t="inlineStr">
        <is>
          <t>Föryngringsavverkning</t>
        </is>
      </c>
      <c r="D336" s="1" t="n">
        <v>44792</v>
      </c>
      <c r="E336" s="1" t="n">
        <v>46317</v>
      </c>
      <c r="F336" t="inlineStr">
        <is>
          <t>VÄSTERBOTTENS LÄN</t>
        </is>
      </c>
      <c r="G336" t="inlineStr">
        <is>
          <t>BJURHOLM</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43172-2023</t>
        </is>
      </c>
      <c r="B337" t="inlineStr">
        <is>
          <t>avverkningsanmälan</t>
        </is>
      </c>
      <c r="C337" t="inlineStr">
        <is>
          <t>Föryngringsavverkning</t>
        </is>
      </c>
      <c r="D337" s="1" t="n">
        <v>45183</v>
      </c>
      <c r="E337" s="1" t="n">
        <v>46317</v>
      </c>
      <c r="F337" t="inlineStr">
        <is>
          <t>VÄSTERBOTTENS LÄN</t>
        </is>
      </c>
      <c r="G337" t="inlineStr">
        <is>
          <t>BJURHOLM</t>
        </is>
      </c>
      <c r="H337" t="inlineStr">
        <is>
          <t>Holmen skog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30807-2026</t>
        </is>
      </c>
      <c r="B338" t="inlineStr">
        <is>
          <t>avverkningsanmälan</t>
        </is>
      </c>
      <c r="C338" t="inlineStr">
        <is>
          <t>Föryngringsavverkning</t>
        </is>
      </c>
      <c r="D338" s="1" t="n">
        <v>46205</v>
      </c>
      <c r="E338" s="1" t="n">
        <v>46317</v>
      </c>
      <c r="F338" t="inlineStr">
        <is>
          <t>VÄSTERBOTTENS LÄN</t>
        </is>
      </c>
      <c r="G338" t="inlineStr">
        <is>
          <t>BJURHOLM</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30847-2026</t>
        </is>
      </c>
      <c r="B339" t="inlineStr">
        <is>
          <t>avverkningsanmälan</t>
        </is>
      </c>
      <c r="C339" t="inlineStr">
        <is>
          <t>Föryngringsavverkning</t>
        </is>
      </c>
      <c r="D339" s="1" t="n">
        <v>46205</v>
      </c>
      <c r="E339" s="1" t="n">
        <v>46317</v>
      </c>
      <c r="F339" t="inlineStr">
        <is>
          <t>VÄSTERBOTTENS LÄN</t>
        </is>
      </c>
      <c r="G339" t="inlineStr">
        <is>
          <t>BJURHOLM</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30845-2026</t>
        </is>
      </c>
      <c r="B340" t="inlineStr">
        <is>
          <t>avverkningsanmälan</t>
        </is>
      </c>
      <c r="C340" t="inlineStr">
        <is>
          <t>Föryngringsavverkning</t>
        </is>
      </c>
      <c r="D340" s="1" t="n">
        <v>46205</v>
      </c>
      <c r="E340" s="1" t="n">
        <v>46317</v>
      </c>
      <c r="F340" t="inlineStr">
        <is>
          <t>VÄSTERBOTTENS LÄN</t>
        </is>
      </c>
      <c r="G340" t="inlineStr">
        <is>
          <t>BJURHOLM</t>
        </is>
      </c>
      <c r="I340" t="n">
        <v>27.9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30867-2026</t>
        </is>
      </c>
      <c r="B341" t="inlineStr">
        <is>
          <t>avverkningsanmälan</t>
        </is>
      </c>
      <c r="C341" t="inlineStr">
        <is>
          <t>Föryngringsavverkning</t>
        </is>
      </c>
      <c r="D341" s="1" t="n">
        <v>46205</v>
      </c>
      <c r="E341" s="1" t="n">
        <v>46317</v>
      </c>
      <c r="F341" t="inlineStr">
        <is>
          <t>VÄSTERBOTTENS LÄN</t>
        </is>
      </c>
      <c r="G341" t="inlineStr">
        <is>
          <t>BJURHOLM</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62712-2025</t>
        </is>
      </c>
      <c r="B342" t="inlineStr">
        <is>
          <t>avverkningsanmälan</t>
        </is>
      </c>
      <c r="C342" t="inlineStr">
        <is>
          <t>Föryngringsavverkning</t>
        </is>
      </c>
      <c r="D342" s="1" t="n">
        <v>46008</v>
      </c>
      <c r="E342" s="1" t="n">
        <v>46317</v>
      </c>
      <c r="F342" t="inlineStr">
        <is>
          <t>VÄSTERBOTTENS LÄN</t>
        </is>
      </c>
      <c r="G342" t="inlineStr">
        <is>
          <t>BJURHOLM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30886-2026</t>
        </is>
      </c>
      <c r="B343" t="inlineStr">
        <is>
          <t>avverkningsanmälan</t>
        </is>
      </c>
      <c r="C343" t="inlineStr">
        <is>
          <t>Föryngringsavverkning</t>
        </is>
      </c>
      <c r="D343" s="1" t="n">
        <v>46212</v>
      </c>
      <c r="E343" s="1" t="n">
        <v>46317</v>
      </c>
      <c r="F343" t="inlineStr">
        <is>
          <t>VÄSTERBOTTENS LÄN</t>
        </is>
      </c>
      <c r="G343" t="inlineStr">
        <is>
          <t>BJURHOLM</t>
        </is>
      </c>
      <c r="I343" t="n">
        <v>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7908-2022</t>
        </is>
      </c>
      <c r="B344" t="inlineStr">
        <is>
          <t>avverkningsanmälan</t>
        </is>
      </c>
      <c r="C344" t="inlineStr">
        <is>
          <t>Föryngringsavverkning</t>
        </is>
      </c>
      <c r="D344" s="1" t="n">
        <v>44608</v>
      </c>
      <c r="E344" s="1" t="n">
        <v>46317</v>
      </c>
      <c r="F344" t="inlineStr">
        <is>
          <t>VÄSTERBOTTENS LÄN</t>
        </is>
      </c>
      <c r="G344" t="inlineStr">
        <is>
          <t>BJURHOLM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27592-2026</t>
        </is>
      </c>
      <c r="B345" t="inlineStr">
        <is>
          <t>avverkningsanmälan</t>
        </is>
      </c>
      <c r="C345" t="inlineStr">
        <is>
          <t>Föryngringsavverkning</t>
        </is>
      </c>
      <c r="D345" s="1" t="n">
        <v>46190</v>
      </c>
      <c r="E345" s="1" t="n">
        <v>46317</v>
      </c>
      <c r="F345" t="inlineStr">
        <is>
          <t>VÄSTERBOTTENS LÄN</t>
        </is>
      </c>
      <c r="G345" t="inlineStr">
        <is>
          <t>BJURHOLM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31554-2026</t>
        </is>
      </c>
      <c r="B346" t="inlineStr">
        <is>
          <t>avverkningsanmälan</t>
        </is>
      </c>
      <c r="C346" t="inlineStr">
        <is>
          <t>Föryngringsavverkning</t>
        </is>
      </c>
      <c r="D346" s="1" t="n">
        <v>46224</v>
      </c>
      <c r="E346" s="1" t="n">
        <v>46317</v>
      </c>
      <c r="F346" t="inlineStr">
        <is>
          <t>VÄSTERBOTTENS LÄN</t>
        </is>
      </c>
      <c r="G346" t="inlineStr">
        <is>
          <t>BJURHOLM</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37826-2025</t>
        </is>
      </c>
      <c r="B347" t="inlineStr">
        <is>
          <t>avverkningsanmälan</t>
        </is>
      </c>
      <c r="C347" t="inlineStr">
        <is>
          <t>Föryngringsavverkning</t>
        </is>
      </c>
      <c r="D347" s="1" t="n">
        <v>45881</v>
      </c>
      <c r="E347" s="1" t="n">
        <v>46317</v>
      </c>
      <c r="F347" t="inlineStr">
        <is>
          <t>VÄSTERBOTTENS LÄN</t>
        </is>
      </c>
      <c r="G347" t="inlineStr">
        <is>
          <t>BJURHOLM</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31840-2026</t>
        </is>
      </c>
      <c r="B348" t="inlineStr">
        <is>
          <t>avverkningsanmälan</t>
        </is>
      </c>
      <c r="C348" t="inlineStr">
        <is>
          <t>Föryngringsavverkning</t>
        </is>
      </c>
      <c r="D348" s="1" t="n">
        <v>46230</v>
      </c>
      <c r="E348" s="1" t="n">
        <v>46317</v>
      </c>
      <c r="F348" t="inlineStr">
        <is>
          <t>VÄSTERBOTTENS LÄN</t>
        </is>
      </c>
      <c r="G348" t="inlineStr">
        <is>
          <t>BJURHOLM</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31841-2026</t>
        </is>
      </c>
      <c r="B349" t="inlineStr">
        <is>
          <t>avverkningsanmälan</t>
        </is>
      </c>
      <c r="C349" t="inlineStr">
        <is>
          <t>Föryngringsavverkning</t>
        </is>
      </c>
      <c r="D349" s="1" t="n">
        <v>46230</v>
      </c>
      <c r="E349" s="1" t="n">
        <v>46317</v>
      </c>
      <c r="F349" t="inlineStr">
        <is>
          <t>VÄSTERBOTTENS LÄN</t>
        </is>
      </c>
      <c r="G349" t="inlineStr">
        <is>
          <t>BJURHOLM</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37419-2026</t>
        </is>
      </c>
      <c r="B350" t="inlineStr">
        <is>
          <t>avverkningsanmälan</t>
        </is>
      </c>
      <c r="C350" t="inlineStr">
        <is>
          <t>Föryngringsavverkning</t>
        </is>
      </c>
      <c r="D350" s="1" t="n">
        <v>46275</v>
      </c>
      <c r="E350" s="1" t="n">
        <v>46317</v>
      </c>
      <c r="F350" t="inlineStr">
        <is>
          <t>VÄSTERBOTTENS LÄN</t>
        </is>
      </c>
      <c r="G350" t="inlineStr">
        <is>
          <t>BJURHOLM</t>
        </is>
      </c>
      <c r="H350" t="inlineStr">
        <is>
          <t>Sveaskog</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37422-2026</t>
        </is>
      </c>
      <c r="B351" t="inlineStr">
        <is>
          <t>avverkningsanmälan</t>
        </is>
      </c>
      <c r="C351" t="inlineStr">
        <is>
          <t>Föryngringsavverkning</t>
        </is>
      </c>
      <c r="D351" s="1" t="n">
        <v>46275</v>
      </c>
      <c r="E351" s="1" t="n">
        <v>46317</v>
      </c>
      <c r="F351" t="inlineStr">
        <is>
          <t>VÄSTERBOTTENS LÄN</t>
        </is>
      </c>
      <c r="G351" t="inlineStr">
        <is>
          <t>BJURHOLM</t>
        </is>
      </c>
      <c r="H351" t="inlineStr">
        <is>
          <t>Sveaskog</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37415-2026</t>
        </is>
      </c>
      <c r="B352" t="inlineStr">
        <is>
          <t>avverkningsanmälan</t>
        </is>
      </c>
      <c r="C352" t="inlineStr">
        <is>
          <t>Föryngringsavverkning</t>
        </is>
      </c>
      <c r="D352" s="1" t="n">
        <v>46275</v>
      </c>
      <c r="E352" s="1" t="n">
        <v>46317</v>
      </c>
      <c r="F352" t="inlineStr">
        <is>
          <t>VÄSTERBOTTENS LÄN</t>
        </is>
      </c>
      <c r="G352" t="inlineStr">
        <is>
          <t>BJURHOLM</t>
        </is>
      </c>
      <c r="H352" t="inlineStr">
        <is>
          <t>Sveaskog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37461-2026</t>
        </is>
      </c>
      <c r="B353" t="inlineStr">
        <is>
          <t>avverkningsanmälan</t>
        </is>
      </c>
      <c r="C353" t="inlineStr">
        <is>
          <t>Föryngringsavverkning</t>
        </is>
      </c>
      <c r="D353" s="1" t="n">
        <v>46275</v>
      </c>
      <c r="E353" s="1" t="n">
        <v>46317</v>
      </c>
      <c r="F353" t="inlineStr">
        <is>
          <t>VÄSTERBOTTENS LÄN</t>
        </is>
      </c>
      <c r="G353" t="inlineStr">
        <is>
          <t>BJURHOLM</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62087-2022</t>
        </is>
      </c>
      <c r="B354" t="inlineStr">
        <is>
          <t>avverkningsanmälan</t>
        </is>
      </c>
      <c r="C354" t="inlineStr">
        <is>
          <t>Föryngringsavverkning</t>
        </is>
      </c>
      <c r="D354" s="1" t="n">
        <v>44919</v>
      </c>
      <c r="E354" s="1" t="n">
        <v>46317</v>
      </c>
      <c r="F354" t="inlineStr">
        <is>
          <t>VÄSTERBOTTENS LÄN</t>
        </is>
      </c>
      <c r="G354" t="inlineStr">
        <is>
          <t>BJURHOLM</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34751-2022</t>
        </is>
      </c>
      <c r="B355" t="inlineStr">
        <is>
          <t>avverkningsanmälan</t>
        </is>
      </c>
      <c r="C355" t="inlineStr">
        <is>
          <t>Föryngringsavverkning</t>
        </is>
      </c>
      <c r="D355" s="1" t="n">
        <v>44795</v>
      </c>
      <c r="E355" s="1" t="n">
        <v>46317</v>
      </c>
      <c r="F355" t="inlineStr">
        <is>
          <t>VÄSTERBOTTENS LÄN</t>
        </is>
      </c>
      <c r="G355" t="inlineStr">
        <is>
          <t>BJURHOLM</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10918-2023</t>
        </is>
      </c>
      <c r="B356" t="inlineStr">
        <is>
          <t>avverkningsanmälan</t>
        </is>
      </c>
      <c r="C356" t="inlineStr">
        <is>
          <t>Föryngringsavverkning</t>
        </is>
      </c>
      <c r="D356" s="1" t="n">
        <v>44991</v>
      </c>
      <c r="E356" s="1" t="n">
        <v>46317</v>
      </c>
      <c r="F356" t="inlineStr">
        <is>
          <t>VÄSTERBOTTENS LÄN</t>
        </is>
      </c>
      <c r="G356" t="inlineStr">
        <is>
          <t>BJURHOLM</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52584-2024</t>
        </is>
      </c>
      <c r="B357" t="inlineStr">
        <is>
          <t>avverkningsanmälan</t>
        </is>
      </c>
      <c r="C357" t="inlineStr">
        <is>
          <t>Föryngringsavverkning</t>
        </is>
      </c>
      <c r="D357" s="1" t="n">
        <v>45609</v>
      </c>
      <c r="E357" s="1" t="n">
        <v>46317</v>
      </c>
      <c r="F357" t="inlineStr">
        <is>
          <t>VÄSTERBOTTENS LÄN</t>
        </is>
      </c>
      <c r="G357" t="inlineStr">
        <is>
          <t>BJURHOLM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37790-2026</t>
        </is>
      </c>
      <c r="B358" t="inlineStr">
        <is>
          <t>avverkningsanmälan</t>
        </is>
      </c>
      <c r="C358" t="inlineStr">
        <is>
          <t>Föryngringsavverkning</t>
        </is>
      </c>
      <c r="D358" s="1" t="n">
        <v>46279</v>
      </c>
      <c r="E358" s="1" t="n">
        <v>46317</v>
      </c>
      <c r="F358" t="inlineStr">
        <is>
          <t>VÄSTERBOTTENS LÄN</t>
        </is>
      </c>
      <c r="G358" t="inlineStr">
        <is>
          <t>BJURHOLM</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44488-2023</t>
        </is>
      </c>
      <c r="B359" t="inlineStr">
        <is>
          <t>avverkningsanmälan</t>
        </is>
      </c>
      <c r="C359" t="inlineStr">
        <is>
          <t>Föryngringsavverkning</t>
        </is>
      </c>
      <c r="D359" s="1" t="n">
        <v>45189</v>
      </c>
      <c r="E359" s="1" t="n">
        <v>46317</v>
      </c>
      <c r="F359" t="inlineStr">
        <is>
          <t>VÄSTERBOTTENS LÄN</t>
        </is>
      </c>
      <c r="G359" t="inlineStr">
        <is>
          <t>BJURHOLM</t>
        </is>
      </c>
      <c r="H359" t="inlineStr">
        <is>
          <t>Holmen skog AB</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82-2025</t>
        </is>
      </c>
      <c r="B360" t="inlineStr">
        <is>
          <t>avverkningsanmälan</t>
        </is>
      </c>
      <c r="C360" t="inlineStr">
        <is>
          <t>Föryngringsavverkning</t>
        </is>
      </c>
      <c r="D360" s="1" t="n">
        <v>45659</v>
      </c>
      <c r="E360" s="1" t="n">
        <v>46317</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52386-2023</t>
        </is>
      </c>
      <c r="B361" t="inlineStr">
        <is>
          <t>avverkningsanmälan</t>
        </is>
      </c>
      <c r="C361" t="inlineStr">
        <is>
          <t>Föryngringsavverkning</t>
        </is>
      </c>
      <c r="D361" s="1" t="n">
        <v>45224</v>
      </c>
      <c r="E361" s="1" t="n">
        <v>46317</v>
      </c>
      <c r="F361" t="inlineStr">
        <is>
          <t>VÄSTERBOTTENS LÄN</t>
        </is>
      </c>
      <c r="G361" t="inlineStr">
        <is>
          <t>BJURHOLM</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16081-2024</t>
        </is>
      </c>
      <c r="B362" t="inlineStr">
        <is>
          <t>avverkningsanmälan</t>
        </is>
      </c>
      <c r="C362" t="inlineStr">
        <is>
          <t>Föryngringsavverkning</t>
        </is>
      </c>
      <c r="D362" s="1" t="n">
        <v>45406</v>
      </c>
      <c r="E362" s="1" t="n">
        <v>46317</v>
      </c>
      <c r="F362" t="inlineStr">
        <is>
          <t>VÄSTERBOTTENS LÄN</t>
        </is>
      </c>
      <c r="G362" t="inlineStr">
        <is>
          <t>BJURHOLM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38138-2026</t>
        </is>
      </c>
      <c r="B363" t="inlineStr">
        <is>
          <t>avverkningsanmälan</t>
        </is>
      </c>
      <c r="C363" t="inlineStr">
        <is>
          <t>Föryngringsavverkning</t>
        </is>
      </c>
      <c r="D363" s="1" t="n">
        <v>46281</v>
      </c>
      <c r="E363" s="1" t="n">
        <v>46317</v>
      </c>
      <c r="F363" t="inlineStr">
        <is>
          <t>VÄSTERBOTTENS LÄN</t>
        </is>
      </c>
      <c r="G363" t="inlineStr">
        <is>
          <t>BJURHOLM</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3705-2023</t>
        </is>
      </c>
      <c r="B364" t="inlineStr">
        <is>
          <t>avverkningsanmälan</t>
        </is>
      </c>
      <c r="C364" t="inlineStr">
        <is>
          <t>Föryngringsavverkning</t>
        </is>
      </c>
      <c r="D364" s="1" t="n">
        <v>44950</v>
      </c>
      <c r="E364" s="1" t="n">
        <v>46317</v>
      </c>
      <c r="F364" t="inlineStr">
        <is>
          <t>VÄSTERBOTTENS LÄN</t>
        </is>
      </c>
      <c r="G364" t="inlineStr">
        <is>
          <t>BJURHOLM</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32401-2026</t>
        </is>
      </c>
      <c r="B365" t="inlineStr">
        <is>
          <t>avverkningsanmälan</t>
        </is>
      </c>
      <c r="C365" t="inlineStr">
        <is>
          <t>Föryngringsavverkning</t>
        </is>
      </c>
      <c r="D365" s="1" t="n">
        <v>46238</v>
      </c>
      <c r="E365" s="1" t="n">
        <v>46317</v>
      </c>
      <c r="F365" t="inlineStr">
        <is>
          <t>VÄSTERBOTTENS LÄN</t>
        </is>
      </c>
      <c r="G365" t="inlineStr">
        <is>
          <t>BJURHOLM</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38137-2026</t>
        </is>
      </c>
      <c r="B366" t="inlineStr">
        <is>
          <t>avverkningsanmälan</t>
        </is>
      </c>
      <c r="C366" t="inlineStr">
        <is>
          <t>Föryngringsavverkning</t>
        </is>
      </c>
      <c r="D366" s="1" t="n">
        <v>46281</v>
      </c>
      <c r="E366" s="1" t="n">
        <v>46317</v>
      </c>
      <c r="F366" t="inlineStr">
        <is>
          <t>VÄSTERBOTTENS LÄN</t>
        </is>
      </c>
      <c r="G366" t="inlineStr">
        <is>
          <t>BJURHOLM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28426-2023</t>
        </is>
      </c>
      <c r="B367" t="inlineStr">
        <is>
          <t>avverkningsanmälan</t>
        </is>
      </c>
      <c r="C367" t="inlineStr">
        <is>
          <t>Föryngringsavverkning</t>
        </is>
      </c>
      <c r="D367" s="1" t="n">
        <v>45102</v>
      </c>
      <c r="E367" s="1" t="n">
        <v>46317</v>
      </c>
      <c r="F367" t="inlineStr">
        <is>
          <t>VÄSTERBOTTENS LÄN</t>
        </is>
      </c>
      <c r="G367" t="inlineStr">
        <is>
          <t>BJURHOLM</t>
        </is>
      </c>
      <c r="H367" t="inlineStr">
        <is>
          <t>Holmen skog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50189-2024</t>
        </is>
      </c>
      <c r="B368" t="inlineStr">
        <is>
          <t>avverkningsanmälan</t>
        </is>
      </c>
      <c r="C368" t="inlineStr">
        <is>
          <t>Föryngringsavverkning</t>
        </is>
      </c>
      <c r="D368" s="1" t="n">
        <v>45600</v>
      </c>
      <c r="E368" s="1" t="n">
        <v>46317</v>
      </c>
      <c r="F368" t="inlineStr">
        <is>
          <t>VÄSTERBOTTENS LÄN</t>
        </is>
      </c>
      <c r="G368" t="inlineStr">
        <is>
          <t>BJURHOLM</t>
        </is>
      </c>
      <c r="H368" t="inlineStr">
        <is>
          <t>Holmen skog AB</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10984-2023</t>
        </is>
      </c>
      <c r="B369" t="inlineStr">
        <is>
          <t>avverkningsanmälan</t>
        </is>
      </c>
      <c r="C369" t="inlineStr">
        <is>
          <t>Föryngringsavverkning</t>
        </is>
      </c>
      <c r="D369" s="1" t="n">
        <v>44985</v>
      </c>
      <c r="E369" s="1" t="n">
        <v>46317</v>
      </c>
      <c r="F369" t="inlineStr">
        <is>
          <t>VÄSTERBOTTENS LÄN</t>
        </is>
      </c>
      <c r="G369" t="inlineStr">
        <is>
          <t>BJURHOLM</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38783-2026</t>
        </is>
      </c>
      <c r="B370" t="inlineStr">
        <is>
          <t>avverkningsanmälan</t>
        </is>
      </c>
      <c r="C370" t="inlineStr">
        <is>
          <t>Föryngringsavverkning</t>
        </is>
      </c>
      <c r="D370" s="1" t="n">
        <v>46286</v>
      </c>
      <c r="E370" s="1" t="n">
        <v>46317</v>
      </c>
      <c r="F370" t="inlineStr">
        <is>
          <t>VÄSTERBOTTENS LÄN</t>
        </is>
      </c>
      <c r="G370" t="inlineStr">
        <is>
          <t>BJURHOLM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57883-2022</t>
        </is>
      </c>
      <c r="B371" t="inlineStr">
        <is>
          <t>avverkningsanmälan</t>
        </is>
      </c>
      <c r="C371" t="inlineStr">
        <is>
          <t>Föryngringsavverkning</t>
        </is>
      </c>
      <c r="D371" s="1" t="n">
        <v>44899</v>
      </c>
      <c r="E371" s="1" t="n">
        <v>46317</v>
      </c>
      <c r="F371" t="inlineStr">
        <is>
          <t>VÄSTERBOTTENS LÄN</t>
        </is>
      </c>
      <c r="G371" t="inlineStr">
        <is>
          <t>BJURHOLM</t>
        </is>
      </c>
      <c r="H371" t="inlineStr">
        <is>
          <t>SCA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56693-2024</t>
        </is>
      </c>
      <c r="B372" t="inlineStr">
        <is>
          <t>avverkningsanmälan</t>
        </is>
      </c>
      <c r="C372" t="inlineStr">
        <is>
          <t>Föryngringsavverkning</t>
        </is>
      </c>
      <c r="D372" s="1" t="n">
        <v>45627</v>
      </c>
      <c r="E372" s="1" t="n">
        <v>46317</v>
      </c>
      <c r="F372" t="inlineStr">
        <is>
          <t>VÄSTERBOTTENS LÄN</t>
        </is>
      </c>
      <c r="G372" t="inlineStr">
        <is>
          <t>BJURHOLM</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57799-2023</t>
        </is>
      </c>
      <c r="B373" t="inlineStr">
        <is>
          <t>avverkningsanmälan</t>
        </is>
      </c>
      <c r="C373" t="inlineStr">
        <is>
          <t>Föryngringsavverkning</t>
        </is>
      </c>
      <c r="D373" s="1" t="n">
        <v>45246</v>
      </c>
      <c r="E373" s="1" t="n">
        <v>46317</v>
      </c>
      <c r="F373" t="inlineStr">
        <is>
          <t>VÄSTERBOTTENS LÄN</t>
        </is>
      </c>
      <c r="G373" t="inlineStr">
        <is>
          <t>BJURHOLM</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15581-2023</t>
        </is>
      </c>
      <c r="B374" t="inlineStr">
        <is>
          <t>avverkningsanmälan</t>
        </is>
      </c>
      <c r="C374" t="inlineStr">
        <is>
          <t>Föryngringsavverkning</t>
        </is>
      </c>
      <c r="D374" s="1" t="n">
        <v>45019</v>
      </c>
      <c r="E374" s="1" t="n">
        <v>46317</v>
      </c>
      <c r="F374" t="inlineStr">
        <is>
          <t>VÄSTERBOTTENS LÄN</t>
        </is>
      </c>
      <c r="G374" t="inlineStr">
        <is>
          <t>BJURHOLM</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57798-2024</t>
        </is>
      </c>
      <c r="B375" t="inlineStr">
        <is>
          <t>avverkningsanmälan</t>
        </is>
      </c>
      <c r="C375" t="inlineStr">
        <is>
          <t>Föryngringsavverkning</t>
        </is>
      </c>
      <c r="D375" s="1" t="n">
        <v>45631</v>
      </c>
      <c r="E375" s="1" t="n">
        <v>46317</v>
      </c>
      <c r="F375" t="inlineStr">
        <is>
          <t>VÄSTERBOTTENS LÄN</t>
        </is>
      </c>
      <c r="G375" t="inlineStr">
        <is>
          <t>BJURHOLM</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33157-2022</t>
        </is>
      </c>
      <c r="B376" t="inlineStr">
        <is>
          <t>avverkningsanmälan</t>
        </is>
      </c>
      <c r="C376" t="inlineStr">
        <is>
          <t>Föryngringsavverkning</t>
        </is>
      </c>
      <c r="D376" s="1" t="n">
        <v>44785</v>
      </c>
      <c r="E376" s="1" t="n">
        <v>46317</v>
      </c>
      <c r="F376" t="inlineStr">
        <is>
          <t>VÄSTERBOTTENS LÄN</t>
        </is>
      </c>
      <c r="G376" t="inlineStr">
        <is>
          <t>BJURHOLM</t>
        </is>
      </c>
      <c r="H376" t="inlineStr">
        <is>
          <t>Holmen skog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33368-2026</t>
        </is>
      </c>
      <c r="B377" t="inlineStr">
        <is>
          <t>avverkningsanmälan</t>
        </is>
      </c>
      <c r="C377" t="inlineStr">
        <is>
          <t>Föryngringsavverkning</t>
        </is>
      </c>
      <c r="D377" s="1" t="n">
        <v>46247</v>
      </c>
      <c r="E377" s="1" t="n">
        <v>46317</v>
      </c>
      <c r="F377" t="inlineStr">
        <is>
          <t>VÄSTERBOTTENS LÄN</t>
        </is>
      </c>
      <c r="G377" t="inlineStr">
        <is>
          <t>BJURHOLM</t>
        </is>
      </c>
      <c r="H377" t="inlineStr">
        <is>
          <t>Holmen skog AB</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23563-2026</t>
        </is>
      </c>
      <c r="B378" t="inlineStr">
        <is>
          <t>avverkningsanmälan</t>
        </is>
      </c>
      <c r="C378" t="inlineStr">
        <is>
          <t>Föryngringsavverkning</t>
        </is>
      </c>
      <c r="D378" s="1" t="n">
        <v>46163</v>
      </c>
      <c r="E378" s="1" t="n">
        <v>46317</v>
      </c>
      <c r="F378" t="inlineStr">
        <is>
          <t>VÄSTERBOTTENS LÄN</t>
        </is>
      </c>
      <c r="G378" t="inlineStr">
        <is>
          <t>BJURHOLM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39525-2026</t>
        </is>
      </c>
      <c r="B379" t="inlineStr">
        <is>
          <t>avverkningsanmälan</t>
        </is>
      </c>
      <c r="C379" t="inlineStr">
        <is>
          <t>Föryngringsavverkning</t>
        </is>
      </c>
      <c r="D379" s="1" t="n">
        <v>46289</v>
      </c>
      <c r="E379" s="1" t="n">
        <v>46317</v>
      </c>
      <c r="F379" t="inlineStr">
        <is>
          <t>VÄSTERBOTTENS LÄN</t>
        </is>
      </c>
      <c r="G379" t="inlineStr">
        <is>
          <t>BJURHOLM</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39934-2026</t>
        </is>
      </c>
      <c r="B380" t="inlineStr">
        <is>
          <t>avverkningsanmälan</t>
        </is>
      </c>
      <c r="C380" t="inlineStr">
        <is>
          <t>Föryngringsavverkning</t>
        </is>
      </c>
      <c r="D380" s="1" t="n">
        <v>46290</v>
      </c>
      <c r="E380" s="1" t="n">
        <v>46317</v>
      </c>
      <c r="F380" t="inlineStr">
        <is>
          <t>VÄSTERBOTTENS LÄN</t>
        </is>
      </c>
      <c r="G380" t="inlineStr">
        <is>
          <t>BJURHOLM</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33256-2026</t>
        </is>
      </c>
      <c r="B381" t="inlineStr">
        <is>
          <t>avverkningsanmälan</t>
        </is>
      </c>
      <c r="C381" t="inlineStr">
        <is>
          <t>Föryngringsavverkning</t>
        </is>
      </c>
      <c r="D381" s="1" t="n">
        <v>46246</v>
      </c>
      <c r="E381" s="1" t="n">
        <v>46317</v>
      </c>
      <c r="F381" t="inlineStr">
        <is>
          <t>VÄSTERBOTTENS LÄN</t>
        </is>
      </c>
      <c r="G381" t="inlineStr">
        <is>
          <t>BJURHOLM</t>
        </is>
      </c>
      <c r="H381" t="inlineStr">
        <is>
          <t>Holmen skog AB</t>
        </is>
      </c>
      <c r="I381" t="n">
        <v>11.3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40142-2023</t>
        </is>
      </c>
      <c r="B382" t="inlineStr">
        <is>
          <t>avverkningsanmälan</t>
        </is>
      </c>
      <c r="C382" t="inlineStr">
        <is>
          <t>Föryngringsavverkning</t>
        </is>
      </c>
      <c r="D382" s="1" t="n">
        <v>45168</v>
      </c>
      <c r="E382" s="1" t="n">
        <v>46317</v>
      </c>
      <c r="F382" t="inlineStr">
        <is>
          <t>VÄSTERBOTTENS LÄN</t>
        </is>
      </c>
      <c r="G382" t="inlineStr">
        <is>
          <t>BJURHOLM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40293-2026</t>
        </is>
      </c>
      <c r="B383" t="inlineStr">
        <is>
          <t>avverkningsanmälan</t>
        </is>
      </c>
      <c r="C383" t="inlineStr">
        <is>
          <t>Avverkning för att bevara och utveckla /försöksver</t>
        </is>
      </c>
      <c r="D383" s="1" t="n">
        <v>46294</v>
      </c>
      <c r="E383" s="1" t="n">
        <v>46317</v>
      </c>
      <c r="F383" t="inlineStr">
        <is>
          <t>VÄSTERBOTTENS LÄN</t>
        </is>
      </c>
      <c r="G383" t="inlineStr">
        <is>
          <t>BJURHOLM</t>
        </is>
      </c>
      <c r="H383" t="inlineStr">
        <is>
          <t>Sveaskog</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33681-2026</t>
        </is>
      </c>
      <c r="B384" t="inlineStr">
        <is>
          <t>avverkningsanmälan</t>
        </is>
      </c>
      <c r="C384" t="inlineStr">
        <is>
          <t>Föryngringsavverkning</t>
        </is>
      </c>
      <c r="D384" s="1" t="n">
        <v>46248</v>
      </c>
      <c r="E384" s="1" t="n">
        <v>46317</v>
      </c>
      <c r="F384" t="inlineStr">
        <is>
          <t>VÄSTERBOTTENS LÄN</t>
        </is>
      </c>
      <c r="G384" t="inlineStr">
        <is>
          <t>BJURHOLM</t>
        </is>
      </c>
      <c r="H384" t="inlineStr">
        <is>
          <t>SCA</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50727-2024</t>
        </is>
      </c>
      <c r="B385" t="inlineStr">
        <is>
          <t>avverkningsanmälan</t>
        </is>
      </c>
      <c r="C385" t="inlineStr">
        <is>
          <t>Föryngringsavverkning</t>
        </is>
      </c>
      <c r="D385" s="1" t="n">
        <v>45602</v>
      </c>
      <c r="E385" s="1" t="n">
        <v>46317</v>
      </c>
      <c r="F385" t="inlineStr">
        <is>
          <t>VÄSTERBOTTENS LÄN</t>
        </is>
      </c>
      <c r="G385" t="inlineStr">
        <is>
          <t>BJURHOLM</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50729-2024</t>
        </is>
      </c>
      <c r="B386" t="inlineStr">
        <is>
          <t>avverkningsanmälan</t>
        </is>
      </c>
      <c r="C386" t="inlineStr">
        <is>
          <t>Föryngringsavverkning</t>
        </is>
      </c>
      <c r="D386" s="1" t="n">
        <v>45602</v>
      </c>
      <c r="E386" s="1" t="n">
        <v>46317</v>
      </c>
      <c r="F386" t="inlineStr">
        <is>
          <t>VÄSTERBOTTENS LÄN</t>
        </is>
      </c>
      <c r="G386" t="inlineStr">
        <is>
          <t>BJURHOLM</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40254-2026</t>
        </is>
      </c>
      <c r="B387" t="inlineStr">
        <is>
          <t>avverkningsanmälan</t>
        </is>
      </c>
      <c r="C387" t="inlineStr">
        <is>
          <t>Föryngringsavverkning</t>
        </is>
      </c>
      <c r="D387" s="1" t="n">
        <v>46294</v>
      </c>
      <c r="E387" s="1" t="n">
        <v>46317</v>
      </c>
      <c r="F387" t="inlineStr">
        <is>
          <t>VÄSTERBOTTENS LÄN</t>
        </is>
      </c>
      <c r="G387" t="inlineStr">
        <is>
          <t>BJURHOLM</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40416-2026</t>
        </is>
      </c>
      <c r="B388" t="inlineStr">
        <is>
          <t>avverkningsanmälan</t>
        </is>
      </c>
      <c r="C388" t="inlineStr">
        <is>
          <t>Föryngringsavverkning</t>
        </is>
      </c>
      <c r="D388" s="1" t="n">
        <v>46294</v>
      </c>
      <c r="E388" s="1" t="n">
        <v>46317</v>
      </c>
      <c r="F388" t="inlineStr">
        <is>
          <t>VÄSTERBOTTENS LÄN</t>
        </is>
      </c>
      <c r="G388" t="inlineStr">
        <is>
          <t>BJURHOLM</t>
        </is>
      </c>
      <c r="H388" t="inlineStr">
        <is>
          <t>Sveaskog</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40409-2026</t>
        </is>
      </c>
      <c r="B389" t="inlineStr">
        <is>
          <t>avverkningsanmälan</t>
        </is>
      </c>
      <c r="C389" t="inlineStr">
        <is>
          <t>Föryngringsavverkning</t>
        </is>
      </c>
      <c r="D389" s="1" t="n">
        <v>46294</v>
      </c>
      <c r="E389" s="1" t="n">
        <v>46317</v>
      </c>
      <c r="F389" t="inlineStr">
        <is>
          <t>VÄSTERBOTTENS LÄN</t>
        </is>
      </c>
      <c r="G389" t="inlineStr">
        <is>
          <t>BJURHOLM</t>
        </is>
      </c>
      <c r="H389" t="inlineStr">
        <is>
          <t>Sveaskog</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33680-2026</t>
        </is>
      </c>
      <c r="B390" t="inlineStr">
        <is>
          <t>avverkningsanmälan</t>
        </is>
      </c>
      <c r="C390" t="inlineStr">
        <is>
          <t>Föryngringsavverkning</t>
        </is>
      </c>
      <c r="D390" s="1" t="n">
        <v>46248</v>
      </c>
      <c r="E390" s="1" t="n">
        <v>46317</v>
      </c>
      <c r="F390" t="inlineStr">
        <is>
          <t>VÄSTERBOTTENS LÄN</t>
        </is>
      </c>
      <c r="G390" t="inlineStr">
        <is>
          <t>BJURHOLM</t>
        </is>
      </c>
      <c r="H390" t="inlineStr">
        <is>
          <t>SCA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53900-2024</t>
        </is>
      </c>
      <c r="B391" t="inlineStr">
        <is>
          <t>avverkningsanmälan</t>
        </is>
      </c>
      <c r="C391" t="inlineStr">
        <is>
          <t>Föryngringsavverkning</t>
        </is>
      </c>
      <c r="D391" s="1" t="n">
        <v>45615</v>
      </c>
      <c r="E391" s="1" t="n">
        <v>46317</v>
      </c>
      <c r="F391" t="inlineStr">
        <is>
          <t>VÄSTERBOTTENS LÄN</t>
        </is>
      </c>
      <c r="G391" t="inlineStr">
        <is>
          <t>BJURHOLM</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40536-2026</t>
        </is>
      </c>
      <c r="B392" t="inlineStr">
        <is>
          <t>avverkningsanmälan</t>
        </is>
      </c>
      <c r="C392" t="inlineStr">
        <is>
          <t>Föryngringsavverkning</t>
        </is>
      </c>
      <c r="D392" s="1" t="n">
        <v>46295</v>
      </c>
      <c r="E392" s="1" t="n">
        <v>46317</v>
      </c>
      <c r="F392" t="inlineStr">
        <is>
          <t>VÄSTERBOTTENS LÄN</t>
        </is>
      </c>
      <c r="G392" t="inlineStr">
        <is>
          <t>BJURHOLM</t>
        </is>
      </c>
      <c r="H392" t="inlineStr">
        <is>
          <t>Holmen skog AB</t>
        </is>
      </c>
      <c r="I392" t="n">
        <v>15.5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53899-2024</t>
        </is>
      </c>
      <c r="B393" t="inlineStr">
        <is>
          <t>avverkningsanmälan</t>
        </is>
      </c>
      <c r="C393" t="inlineStr">
        <is>
          <t>Föryngringsavverkning</t>
        </is>
      </c>
      <c r="D393" s="1" t="n">
        <v>45615</v>
      </c>
      <c r="E393" s="1" t="n">
        <v>46317</v>
      </c>
      <c r="F393" t="inlineStr">
        <is>
          <t>VÄSTERBOTTENS LÄN</t>
        </is>
      </c>
      <c r="G393" t="inlineStr">
        <is>
          <t>BJURHOLM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52550-2024</t>
        </is>
      </c>
      <c r="B394" t="inlineStr">
        <is>
          <t>avverkningsanmälan</t>
        </is>
      </c>
      <c r="C394" t="inlineStr">
        <is>
          <t>Föryngringsavverkning</t>
        </is>
      </c>
      <c r="D394" s="1" t="n">
        <v>45609</v>
      </c>
      <c r="E394" s="1" t="n">
        <v>46317</v>
      </c>
      <c r="F394" t="inlineStr">
        <is>
          <t>VÄSTERBOTTENS LÄN</t>
        </is>
      </c>
      <c r="G394" t="inlineStr">
        <is>
          <t>BJURHOLM</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33665-2026</t>
        </is>
      </c>
      <c r="B395" t="inlineStr">
        <is>
          <t>avverkningsanmälan</t>
        </is>
      </c>
      <c r="C395" t="inlineStr">
        <is>
          <t>Föryngringsavverkning</t>
        </is>
      </c>
      <c r="D395" s="1" t="n">
        <v>46248</v>
      </c>
      <c r="E395" s="1" t="n">
        <v>46317</v>
      </c>
      <c r="F395" t="inlineStr">
        <is>
          <t>VÄSTERBOTTENS LÄN</t>
        </is>
      </c>
      <c r="G395" t="inlineStr">
        <is>
          <t>BJURHOLM</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34473-2026</t>
        </is>
      </c>
      <c r="B396" t="inlineStr">
        <is>
          <t>avverkningsanmälan</t>
        </is>
      </c>
      <c r="C396" t="inlineStr">
        <is>
          <t>Föryngringsavverkning</t>
        </is>
      </c>
      <c r="D396" s="1" t="n">
        <v>46254</v>
      </c>
      <c r="E396" s="1" t="n">
        <v>46317</v>
      </c>
      <c r="F396" t="inlineStr">
        <is>
          <t>VÄSTERBOTTENS LÄN</t>
        </is>
      </c>
      <c r="G396" t="inlineStr">
        <is>
          <t>BJURHOLM</t>
        </is>
      </c>
      <c r="H396" t="inlineStr">
        <is>
          <t>SCA</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34452-2026</t>
        </is>
      </c>
      <c r="B397" t="inlineStr">
        <is>
          <t>avverkningsanmälan</t>
        </is>
      </c>
      <c r="C397" t="inlineStr">
        <is>
          <t>Föryngringsavverkning</t>
        </is>
      </c>
      <c r="D397" s="1" t="n">
        <v>46254</v>
      </c>
      <c r="E397" s="1" t="n">
        <v>46317</v>
      </c>
      <c r="F397" t="inlineStr">
        <is>
          <t>VÄSTERBOTTENS LÄN</t>
        </is>
      </c>
      <c r="G397" t="inlineStr">
        <is>
          <t>BJURHOLM</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34460-2026</t>
        </is>
      </c>
      <c r="B398" t="inlineStr">
        <is>
          <t>avverkningsanmälan</t>
        </is>
      </c>
      <c r="C398" t="inlineStr">
        <is>
          <t>Föryngringsavverkning</t>
        </is>
      </c>
      <c r="D398" s="1" t="n">
        <v>46254</v>
      </c>
      <c r="E398" s="1" t="n">
        <v>46317</v>
      </c>
      <c r="F398" t="inlineStr">
        <is>
          <t>VÄSTERBOTTENS LÄN</t>
        </is>
      </c>
      <c r="G398" t="inlineStr">
        <is>
          <t>BJURHOLM</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30805-2026</t>
        </is>
      </c>
      <c r="B399" t="inlineStr">
        <is>
          <t>avverkningsanmälan</t>
        </is>
      </c>
      <c r="C399" t="inlineStr">
        <is>
          <t>Föryngringsavverkning</t>
        </is>
      </c>
      <c r="D399" s="1" t="n">
        <v>46205</v>
      </c>
      <c r="E399" s="1" t="n">
        <v>46317</v>
      </c>
      <c r="F399" t="inlineStr">
        <is>
          <t>VÄSTERBOTTENS LÄN</t>
        </is>
      </c>
      <c r="G399" t="inlineStr">
        <is>
          <t>BJURHOLM</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34454-2026</t>
        </is>
      </c>
      <c r="B400" t="inlineStr">
        <is>
          <t>avverkningsanmälan</t>
        </is>
      </c>
      <c r="C400" t="inlineStr">
        <is>
          <t>Föryngringsavverkning</t>
        </is>
      </c>
      <c r="D400" s="1" t="n">
        <v>46254</v>
      </c>
      <c r="E400" s="1" t="n">
        <v>46317</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34502-2026</t>
        </is>
      </c>
      <c r="B401" t="inlineStr">
        <is>
          <t>avverkningsanmälan</t>
        </is>
      </c>
      <c r="C401" t="inlineStr">
        <is>
          <t>Föryngringsavverkning</t>
        </is>
      </c>
      <c r="D401" s="1" t="n">
        <v>46255</v>
      </c>
      <c r="E401" s="1" t="n">
        <v>46317</v>
      </c>
      <c r="F401" t="inlineStr">
        <is>
          <t>VÄSTERBOTTENS LÄN</t>
        </is>
      </c>
      <c r="G401" t="inlineStr">
        <is>
          <t>BJURHOLM</t>
        </is>
      </c>
      <c r="H401" t="inlineStr">
        <is>
          <t>SCA</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34377-2026</t>
        </is>
      </c>
      <c r="B402" t="inlineStr">
        <is>
          <t>avverkningsanmälan</t>
        </is>
      </c>
      <c r="C402" t="inlineStr">
        <is>
          <t>Föryngringsavverkning</t>
        </is>
      </c>
      <c r="D402" s="1" t="n">
        <v>46254</v>
      </c>
      <c r="E402" s="1" t="n">
        <v>46317</v>
      </c>
      <c r="F402" t="inlineStr">
        <is>
          <t>VÄSTERBOTTENS LÄN</t>
        </is>
      </c>
      <c r="G402" t="inlineStr">
        <is>
          <t>BJURHOLM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32471-2026</t>
        </is>
      </c>
      <c r="B403" t="inlineStr">
        <is>
          <t>avverkningsanmälan</t>
        </is>
      </c>
      <c r="C403" t="inlineStr">
        <is>
          <t>Föryngringsavverkning</t>
        </is>
      </c>
      <c r="D403" s="1" t="n">
        <v>46239</v>
      </c>
      <c r="E403" s="1" t="n">
        <v>46317</v>
      </c>
      <c r="F403" t="inlineStr">
        <is>
          <t>VÄSTERBOTTENS LÄN</t>
        </is>
      </c>
      <c r="G403" t="inlineStr">
        <is>
          <t>BJURHOLM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44144-2025</t>
        </is>
      </c>
      <c r="B404" t="inlineStr">
        <is>
          <t>avverkningsanmälan</t>
        </is>
      </c>
      <c r="C404" t="inlineStr">
        <is>
          <t>Föryngringsavverkning</t>
        </is>
      </c>
      <c r="D404" s="1" t="n">
        <v>45915</v>
      </c>
      <c r="E404" s="1" t="n">
        <v>46317</v>
      </c>
      <c r="F404" t="inlineStr">
        <is>
          <t>VÄSTERBOTTENS LÄN</t>
        </is>
      </c>
      <c r="G404" t="inlineStr">
        <is>
          <t>BJURHOLM</t>
        </is>
      </c>
      <c r="H404" t="inlineStr">
        <is>
          <t>Sveaskog</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30861-2026</t>
        </is>
      </c>
      <c r="B405" t="inlineStr">
        <is>
          <t>avverkningsanmälan</t>
        </is>
      </c>
      <c r="C405" t="inlineStr">
        <is>
          <t>Föryngringsavverkning</t>
        </is>
      </c>
      <c r="D405" s="1" t="n">
        <v>46205</v>
      </c>
      <c r="E405" s="1" t="n">
        <v>46317</v>
      </c>
      <c r="F405" t="inlineStr">
        <is>
          <t>VÄSTERBOTTENS LÄN</t>
        </is>
      </c>
      <c r="G405" t="inlineStr">
        <is>
          <t>BJURHOLM</t>
        </is>
      </c>
      <c r="I405" t="n">
        <v>12.4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41623-2026</t>
        </is>
      </c>
      <c r="B406" t="inlineStr">
        <is>
          <t>avverkningsanmälan</t>
        </is>
      </c>
      <c r="C406" t="inlineStr">
        <is>
          <t>Föryngringsavverkning</t>
        </is>
      </c>
      <c r="D406" s="1" t="n">
        <v>46302</v>
      </c>
      <c r="E406" s="1" t="n">
        <v>46317</v>
      </c>
      <c r="F406" t="inlineStr">
        <is>
          <t>VÄSTERBOTTENS LÄN</t>
        </is>
      </c>
      <c r="G406" t="inlineStr">
        <is>
          <t>BJURHOLM</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35056-2026</t>
        </is>
      </c>
      <c r="B407" t="inlineStr">
        <is>
          <t>avverkningsanmälan</t>
        </is>
      </c>
      <c r="C407" t="inlineStr">
        <is>
          <t>Föryngringsavverkning</t>
        </is>
      </c>
      <c r="D407" s="1" t="n">
        <v>46259</v>
      </c>
      <c r="E407" s="1" t="n">
        <v>46317</v>
      </c>
      <c r="F407" t="inlineStr">
        <is>
          <t>VÄSTERBOTTENS LÄN</t>
        </is>
      </c>
      <c r="G407" t="inlineStr">
        <is>
          <t>BJURHOLM</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41625-2026</t>
        </is>
      </c>
      <c r="B408" t="inlineStr">
        <is>
          <t>avverkningsanmälan</t>
        </is>
      </c>
      <c r="C408" t="inlineStr">
        <is>
          <t>Föryngringsavverkning</t>
        </is>
      </c>
      <c r="D408" s="1" t="n">
        <v>46302</v>
      </c>
      <c r="E408" s="1" t="n">
        <v>46317</v>
      </c>
      <c r="F408" t="inlineStr">
        <is>
          <t>VÄSTERBOTTENS LÄN</t>
        </is>
      </c>
      <c r="G408" t="inlineStr">
        <is>
          <t>BJURHOLM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41934-2026</t>
        </is>
      </c>
      <c r="B409" t="inlineStr">
        <is>
          <t>avverkningsanmälan</t>
        </is>
      </c>
      <c r="C409" t="inlineStr">
        <is>
          <t>Föryngringsavverkning</t>
        </is>
      </c>
      <c r="D409" s="1" t="n">
        <v>46303</v>
      </c>
      <c r="E409" s="1" t="n">
        <v>46317</v>
      </c>
      <c r="F409" t="inlineStr">
        <is>
          <t>VÄSTERBOTTENS LÄN</t>
        </is>
      </c>
      <c r="G409" t="inlineStr">
        <is>
          <t>BJURHOLM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41891-2026</t>
        </is>
      </c>
      <c r="B410" t="inlineStr">
        <is>
          <t>avverkningsanmälan</t>
        </is>
      </c>
      <c r="C410" t="inlineStr">
        <is>
          <t>Föryngringsavverkning</t>
        </is>
      </c>
      <c r="D410" s="1" t="n">
        <v>46303</v>
      </c>
      <c r="E410" s="1" t="n">
        <v>46317</v>
      </c>
      <c r="F410" t="inlineStr">
        <is>
          <t>VÄSTERBOTTENS LÄN</t>
        </is>
      </c>
      <c r="G410" t="inlineStr">
        <is>
          <t>BJURHOLM</t>
        </is>
      </c>
      <c r="H410" t="inlineStr">
        <is>
          <t>Holmen skog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41954-2026</t>
        </is>
      </c>
      <c r="B411" t="inlineStr">
        <is>
          <t>avverkningsanmälan</t>
        </is>
      </c>
      <c r="C411" t="inlineStr">
        <is>
          <t>Föryngringsavverkning</t>
        </is>
      </c>
      <c r="D411" s="1" t="n">
        <v>46303</v>
      </c>
      <c r="E411" s="1" t="n">
        <v>46317</v>
      </c>
      <c r="F411" t="inlineStr">
        <is>
          <t>VÄSTERBOTTENS LÄN</t>
        </is>
      </c>
      <c r="G411" t="inlineStr">
        <is>
          <t>BJURHOLM</t>
        </is>
      </c>
      <c r="H411" t="inlineStr">
        <is>
          <t>Holmen skog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41904-2026</t>
        </is>
      </c>
      <c r="B412" t="inlineStr">
        <is>
          <t>avverkningsanmälan</t>
        </is>
      </c>
      <c r="C412" t="inlineStr">
        <is>
          <t>Föryngringsavverkning</t>
        </is>
      </c>
      <c r="D412" s="1" t="n">
        <v>46303</v>
      </c>
      <c r="E412" s="1" t="n">
        <v>46317</v>
      </c>
      <c r="F412" t="inlineStr">
        <is>
          <t>VÄSTERBOTTENS LÄN</t>
        </is>
      </c>
      <c r="G412" t="inlineStr">
        <is>
          <t>BJURHOLM</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41951-2026</t>
        </is>
      </c>
      <c r="B413" t="inlineStr">
        <is>
          <t>avverkningsanmälan</t>
        </is>
      </c>
      <c r="C413" t="inlineStr">
        <is>
          <t>Föryngringsavverkning</t>
        </is>
      </c>
      <c r="D413" s="1" t="n">
        <v>46303</v>
      </c>
      <c r="E413" s="1" t="n">
        <v>46317</v>
      </c>
      <c r="F413" t="inlineStr">
        <is>
          <t>VÄSTERBOTTENS LÄN</t>
        </is>
      </c>
      <c r="G413" t="inlineStr">
        <is>
          <t>BJURHOLM</t>
        </is>
      </c>
      <c r="H413" t="inlineStr">
        <is>
          <t>Holmen skog AB</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42031-2026</t>
        </is>
      </c>
      <c r="B414" t="inlineStr">
        <is>
          <t>avverkningsanmälan</t>
        </is>
      </c>
      <c r="C414" t="inlineStr">
        <is>
          <t>Föryngringsavverkning</t>
        </is>
      </c>
      <c r="D414" s="1" t="n">
        <v>46304</v>
      </c>
      <c r="E414" s="1" t="n">
        <v>46317</v>
      </c>
      <c r="F414" t="inlineStr">
        <is>
          <t>VÄSTERBOTTENS LÄN</t>
        </is>
      </c>
      <c r="G414" t="inlineStr">
        <is>
          <t>BJURHOLM</t>
        </is>
      </c>
      <c r="H414" t="inlineStr">
        <is>
          <t>SCA</t>
        </is>
      </c>
      <c r="I414" t="n">
        <v>18.2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42025-2026</t>
        </is>
      </c>
      <c r="B415" t="inlineStr">
        <is>
          <t>avverkningsanmälan</t>
        </is>
      </c>
      <c r="C415" t="inlineStr">
        <is>
          <t>Föryngringsavverkning</t>
        </is>
      </c>
      <c r="D415" s="1" t="n">
        <v>46304</v>
      </c>
      <c r="E415" s="1" t="n">
        <v>46317</v>
      </c>
      <c r="F415" t="inlineStr">
        <is>
          <t>VÄSTERBOTTENS LÄN</t>
        </is>
      </c>
      <c r="G415" t="inlineStr">
        <is>
          <t>BJURHOLM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41902-2026</t>
        </is>
      </c>
      <c r="B416" t="inlineStr">
        <is>
          <t>avverkningsanmälan</t>
        </is>
      </c>
      <c r="C416" t="inlineStr">
        <is>
          <t>Föryngringsavverkning</t>
        </is>
      </c>
      <c r="D416" s="1" t="n">
        <v>46303</v>
      </c>
      <c r="E416" s="1" t="n">
        <v>46317</v>
      </c>
      <c r="F416" t="inlineStr">
        <is>
          <t>VÄSTERBOTTENS LÄN</t>
        </is>
      </c>
      <c r="G416" t="inlineStr">
        <is>
          <t>BJURHOLM</t>
        </is>
      </c>
      <c r="H416" t="inlineStr">
        <is>
          <t>Holmen skog AB</t>
        </is>
      </c>
      <c r="I416" t="n">
        <v>15.5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41915-2026</t>
        </is>
      </c>
      <c r="B417" t="inlineStr">
        <is>
          <t>avverkningsanmälan</t>
        </is>
      </c>
      <c r="C417" t="inlineStr">
        <is>
          <t>Föryngringsavverkning</t>
        </is>
      </c>
      <c r="D417" s="1" t="n">
        <v>46303</v>
      </c>
      <c r="E417" s="1" t="n">
        <v>46317</v>
      </c>
      <c r="F417" t="inlineStr">
        <is>
          <t>VÄSTERBOTTENS LÄN</t>
        </is>
      </c>
      <c r="G417" t="inlineStr">
        <is>
          <t>BJURHOLM</t>
        </is>
      </c>
      <c r="H417" t="inlineStr">
        <is>
          <t>Holmen skog AB</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41925-2026</t>
        </is>
      </c>
      <c r="B418" t="inlineStr">
        <is>
          <t>avverkningsanmälan</t>
        </is>
      </c>
      <c r="C418" t="inlineStr">
        <is>
          <t>Föryngringsavverkning</t>
        </is>
      </c>
      <c r="D418" s="1" t="n">
        <v>46303</v>
      </c>
      <c r="E418" s="1" t="n">
        <v>46317</v>
      </c>
      <c r="F418" t="inlineStr">
        <is>
          <t>VÄSTERBOTTENS LÄN</t>
        </is>
      </c>
      <c r="G418" t="inlineStr">
        <is>
          <t>BJURHOLM</t>
        </is>
      </c>
      <c r="H418" t="inlineStr">
        <is>
          <t>SCA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42062-2026</t>
        </is>
      </c>
      <c r="B419" t="inlineStr">
        <is>
          <t>avverkningsanmälan</t>
        </is>
      </c>
      <c r="C419" t="inlineStr">
        <is>
          <t>Föryngringsavverkning</t>
        </is>
      </c>
      <c r="D419" s="1" t="n">
        <v>46304</v>
      </c>
      <c r="E419" s="1" t="n">
        <v>46317</v>
      </c>
      <c r="F419" t="inlineStr">
        <is>
          <t>VÄSTERBOTTENS LÄN</t>
        </is>
      </c>
      <c r="G419" t="inlineStr">
        <is>
          <t>BJURHOLM</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42119-2026</t>
        </is>
      </c>
      <c r="B420" t="inlineStr">
        <is>
          <t>avverkningsanmälan</t>
        </is>
      </c>
      <c r="C420" t="inlineStr">
        <is>
          <t>Föryngringsavverkning</t>
        </is>
      </c>
      <c r="D420" s="1" t="n">
        <v>46304</v>
      </c>
      <c r="E420" s="1" t="n">
        <v>46317</v>
      </c>
      <c r="F420" t="inlineStr">
        <is>
          <t>VÄSTERBOTTENS LÄN</t>
        </is>
      </c>
      <c r="G420" t="inlineStr">
        <is>
          <t>BJURHOLM</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42449-2026</t>
        </is>
      </c>
      <c r="B421" t="inlineStr">
        <is>
          <t>avverkningsanmälan</t>
        </is>
      </c>
      <c r="C421" t="inlineStr">
        <is>
          <t>Föryngringsavverkning</t>
        </is>
      </c>
      <c r="D421" s="1" t="n">
        <v>46308</v>
      </c>
      <c r="E421" s="1" t="n">
        <v>46317</v>
      </c>
      <c r="F421" t="inlineStr">
        <is>
          <t>VÄSTERBOTTENS LÄN</t>
        </is>
      </c>
      <c r="G421" t="inlineStr">
        <is>
          <t>BJURHOLM</t>
        </is>
      </c>
      <c r="H421" t="inlineStr">
        <is>
          <t>Holmen skog AB</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42445-2026</t>
        </is>
      </c>
      <c r="B422" t="inlineStr">
        <is>
          <t>avverkningsanmälan</t>
        </is>
      </c>
      <c r="C422" t="inlineStr">
        <is>
          <t>Föryngringsavverkning</t>
        </is>
      </c>
      <c r="D422" s="1" t="n">
        <v>46308</v>
      </c>
      <c r="E422" s="1" t="n">
        <v>46317</v>
      </c>
      <c r="F422" t="inlineStr">
        <is>
          <t>VÄSTERBOTTENS LÄN</t>
        </is>
      </c>
      <c r="G422" t="inlineStr">
        <is>
          <t>BJURHOLM</t>
        </is>
      </c>
      <c r="H422" t="inlineStr">
        <is>
          <t>Holmen skog AB</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42455-2026</t>
        </is>
      </c>
      <c r="B423" t="inlineStr">
        <is>
          <t>avverkningsanmälan</t>
        </is>
      </c>
      <c r="C423" t="inlineStr">
        <is>
          <t>Föryngringsavverkning</t>
        </is>
      </c>
      <c r="D423" s="1" t="n">
        <v>46308</v>
      </c>
      <c r="E423" s="1" t="n">
        <v>46317</v>
      </c>
      <c r="F423" t="inlineStr">
        <is>
          <t>VÄSTERBOTTENS LÄN</t>
        </is>
      </c>
      <c r="G423" t="inlineStr">
        <is>
          <t>BJURHOLM</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35608-2026</t>
        </is>
      </c>
      <c r="B424" t="inlineStr">
        <is>
          <t>avverkningsanmälan</t>
        </is>
      </c>
      <c r="C424" t="inlineStr">
        <is>
          <t>Föryngringsavverkning</t>
        </is>
      </c>
      <c r="D424" s="1" t="n">
        <v>46264</v>
      </c>
      <c r="E424" s="1" t="n">
        <v>46317</v>
      </c>
      <c r="F424" t="inlineStr">
        <is>
          <t>VÄSTERBOTTENS LÄN</t>
        </is>
      </c>
      <c r="G424" t="inlineStr">
        <is>
          <t>BJURHOLM</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36212-2026</t>
        </is>
      </c>
      <c r="B425" t="inlineStr">
        <is>
          <t>avverkningsanmälan</t>
        </is>
      </c>
      <c r="C425" t="inlineStr">
        <is>
          <t>Föryngringsavverkning</t>
        </is>
      </c>
      <c r="D425" s="1" t="n">
        <v>46267</v>
      </c>
      <c r="E425" s="1" t="n">
        <v>46317</v>
      </c>
      <c r="F425" t="inlineStr">
        <is>
          <t>VÄSTERBOTTENS LÄN</t>
        </is>
      </c>
      <c r="G425" t="inlineStr">
        <is>
          <t>BJURHOLM</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42961-2026</t>
        </is>
      </c>
      <c r="B426" t="inlineStr">
        <is>
          <t>avverkningsanmälan</t>
        </is>
      </c>
      <c r="C426" t="inlineStr">
        <is>
          <t>Föryngringsavverkning</t>
        </is>
      </c>
      <c r="D426" s="1" t="n">
        <v>46310</v>
      </c>
      <c r="E426" s="1" t="n">
        <v>46317</v>
      </c>
      <c r="F426" t="inlineStr">
        <is>
          <t>VÄSTERBOTTENS LÄN</t>
        </is>
      </c>
      <c r="G426" t="inlineStr">
        <is>
          <t>BJURHOLM</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42797-2026</t>
        </is>
      </c>
      <c r="B427" t="inlineStr">
        <is>
          <t>avverkningsanmälan</t>
        </is>
      </c>
      <c r="C427" t="inlineStr">
        <is>
          <t>Föryngringsavverkning</t>
        </is>
      </c>
      <c r="D427" s="1" t="n">
        <v>46309</v>
      </c>
      <c r="E427" s="1" t="n">
        <v>46317</v>
      </c>
      <c r="F427" t="inlineStr">
        <is>
          <t>VÄSTERBOTTENS LÄN</t>
        </is>
      </c>
      <c r="G427" t="inlineStr">
        <is>
          <t>BJURHOLM</t>
        </is>
      </c>
      <c r="H427" t="inlineStr">
        <is>
          <t>SCA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42804-2026</t>
        </is>
      </c>
      <c r="B428" t="inlineStr">
        <is>
          <t>avverkningsanmälan</t>
        </is>
      </c>
      <c r="C428" t="inlineStr">
        <is>
          <t>Föryngringsavverkning</t>
        </is>
      </c>
      <c r="D428" s="1" t="n">
        <v>46309</v>
      </c>
      <c r="E428" s="1" t="n">
        <v>46317</v>
      </c>
      <c r="F428" t="inlineStr">
        <is>
          <t>VÄSTERBOTTENS LÄN</t>
        </is>
      </c>
      <c r="G428" t="inlineStr">
        <is>
          <t>BJURHOLM</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42966-2026</t>
        </is>
      </c>
      <c r="B429" t="inlineStr">
        <is>
          <t>avverkningsanmälan</t>
        </is>
      </c>
      <c r="C429" t="inlineStr">
        <is>
          <t>Föryngringsavverkning</t>
        </is>
      </c>
      <c r="D429" s="1" t="n">
        <v>46310</v>
      </c>
      <c r="E429" s="1" t="n">
        <v>46317</v>
      </c>
      <c r="F429" t="inlineStr">
        <is>
          <t>VÄSTERBOTTENS LÄN</t>
        </is>
      </c>
      <c r="G429" t="inlineStr">
        <is>
          <t>BJURHOLM</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42715-2026</t>
        </is>
      </c>
      <c r="B430" t="inlineStr">
        <is>
          <t>avverkningsanmälan</t>
        </is>
      </c>
      <c r="C430" t="inlineStr">
        <is>
          <t>Föryngringsavverkning</t>
        </is>
      </c>
      <c r="D430" s="1" t="n">
        <v>46309</v>
      </c>
      <c r="E430" s="1" t="n">
        <v>46317</v>
      </c>
      <c r="F430" t="inlineStr">
        <is>
          <t>VÄSTERBOTTENS LÄN</t>
        </is>
      </c>
      <c r="G430" t="inlineStr">
        <is>
          <t>BJURHOLM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35953-2026</t>
        </is>
      </c>
      <c r="B431" t="inlineStr">
        <is>
          <t>avverkningsanmälan</t>
        </is>
      </c>
      <c r="C431" t="inlineStr">
        <is>
          <t>Föryngringsavverkning</t>
        </is>
      </c>
      <c r="D431" s="1" t="n">
        <v>46266</v>
      </c>
      <c r="E431" s="1" t="n">
        <v>46317</v>
      </c>
      <c r="F431" t="inlineStr">
        <is>
          <t>VÄSTERBOTTENS LÄN</t>
        </is>
      </c>
      <c r="G431" t="inlineStr">
        <is>
          <t>BJURHOLM</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42768-2026</t>
        </is>
      </c>
      <c r="B432" t="inlineStr">
        <is>
          <t>avverkningsanmälan</t>
        </is>
      </c>
      <c r="C432" t="inlineStr">
        <is>
          <t>Föryngringsavverkning</t>
        </is>
      </c>
      <c r="D432" s="1" t="n">
        <v>46309</v>
      </c>
      <c r="E432" s="1" t="n">
        <v>46317</v>
      </c>
      <c r="F432" t="inlineStr">
        <is>
          <t>VÄSTERBOTTENS LÄN</t>
        </is>
      </c>
      <c r="G432" t="inlineStr">
        <is>
          <t>BJURHOLM</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36515-2026</t>
        </is>
      </c>
      <c r="B433" t="inlineStr">
        <is>
          <t>avverkningsanmälan</t>
        </is>
      </c>
      <c r="C433" t="inlineStr">
        <is>
          <t>Föryngringsavverkning</t>
        </is>
      </c>
      <c r="D433" s="1" t="n">
        <v>46269</v>
      </c>
      <c r="E433" s="1" t="n">
        <v>46317</v>
      </c>
      <c r="F433" t="inlineStr">
        <is>
          <t>VÄSTERBOTTENS LÄN</t>
        </is>
      </c>
      <c r="G433" t="inlineStr">
        <is>
          <t>BJURHOLM</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43056-2026</t>
        </is>
      </c>
      <c r="B434" t="inlineStr">
        <is>
          <t>avverkningsanmälan</t>
        </is>
      </c>
      <c r="C434" t="inlineStr">
        <is>
          <t>Föryngringsavverkning</t>
        </is>
      </c>
      <c r="D434" s="1" t="n">
        <v>46311</v>
      </c>
      <c r="E434" s="1" t="n">
        <v>46317</v>
      </c>
      <c r="F434" t="inlineStr">
        <is>
          <t>VÄSTERBOTTENS LÄN</t>
        </is>
      </c>
      <c r="G434" t="inlineStr">
        <is>
          <t>BJURHOLM</t>
        </is>
      </c>
      <c r="H434" t="inlineStr">
        <is>
          <t>Holmen skog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36618-2026</t>
        </is>
      </c>
      <c r="B435" t="inlineStr">
        <is>
          <t>avverkningsanmälan</t>
        </is>
      </c>
      <c r="C435" t="inlineStr">
        <is>
          <t>Föryngringsavverkning</t>
        </is>
      </c>
      <c r="D435" s="1" t="n">
        <v>46270</v>
      </c>
      <c r="E435" s="1" t="n">
        <v>46317</v>
      </c>
      <c r="F435" t="inlineStr">
        <is>
          <t>VÄSTERBOTTENS LÄN</t>
        </is>
      </c>
      <c r="G435" t="inlineStr">
        <is>
          <t>BJURHOLM</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43153-2026</t>
        </is>
      </c>
      <c r="B436" t="inlineStr">
        <is>
          <t>avverkningsanmälan</t>
        </is>
      </c>
      <c r="C436" t="inlineStr">
        <is>
          <t>Föryngringsavverkning</t>
        </is>
      </c>
      <c r="D436" s="1" t="n">
        <v>46311</v>
      </c>
      <c r="E436" s="1" t="n">
        <v>46317</v>
      </c>
      <c r="F436" t="inlineStr">
        <is>
          <t>VÄSTERBOTTENS LÄN</t>
        </is>
      </c>
      <c r="G436" t="inlineStr">
        <is>
          <t>BJURHOLM</t>
        </is>
      </c>
      <c r="H436" t="inlineStr">
        <is>
          <t>Holmen skog AB</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43134-2026</t>
        </is>
      </c>
      <c r="B437" t="inlineStr">
        <is>
          <t>avverkningsanmälan</t>
        </is>
      </c>
      <c r="C437" t="inlineStr">
        <is>
          <t>Föryngringsavverkning</t>
        </is>
      </c>
      <c r="D437" s="1" t="n">
        <v>46311</v>
      </c>
      <c r="E437" s="1" t="n">
        <v>46317</v>
      </c>
      <c r="F437" t="inlineStr">
        <is>
          <t>VÄSTERBOTTENS LÄN</t>
        </is>
      </c>
      <c r="G437" t="inlineStr">
        <is>
          <t>BJURHOLM</t>
        </is>
      </c>
      <c r="H437" t="inlineStr">
        <is>
          <t>Holmen skog AB</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37287-2026</t>
        </is>
      </c>
      <c r="B438" t="inlineStr">
        <is>
          <t>avverkningsanmälan</t>
        </is>
      </c>
      <c r="C438" t="inlineStr">
        <is>
          <t>Föryngringsavverkning</t>
        </is>
      </c>
      <c r="D438" s="1" t="n">
        <v>46274</v>
      </c>
      <c r="E438" s="1" t="n">
        <v>46317</v>
      </c>
      <c r="F438" t="inlineStr">
        <is>
          <t>VÄSTERBOTTENS LÄN</t>
        </is>
      </c>
      <c r="G438" t="inlineStr">
        <is>
          <t>BJURHOLM</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1541-2022</t>
        </is>
      </c>
      <c r="B439" t="inlineStr">
        <is>
          <t>samrådsanmälan</t>
        </is>
      </c>
      <c r="C439" t="inlineStr">
        <is>
          <t>Skogsgödsling</t>
        </is>
      </c>
      <c r="D439" s="1" t="n">
        <v>44642</v>
      </c>
      <c r="E439" s="1" t="n">
        <v>46317</v>
      </c>
      <c r="F439" t="inlineStr">
        <is>
          <t>VÄSTERBOTTENS LÄN</t>
        </is>
      </c>
      <c r="G439" t="inlineStr">
        <is>
          <t>BJURHOLM</t>
        </is>
      </c>
      <c r="I439" t="n">
        <v>8.5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20-2022</t>
        </is>
      </c>
      <c r="B440" t="inlineStr">
        <is>
          <t>samrådsanmälan</t>
        </is>
      </c>
      <c r="C440" t="inlineStr">
        <is>
          <t>Skogsgödsling</t>
        </is>
      </c>
      <c r="D440" s="1" t="n">
        <v>44559</v>
      </c>
      <c r="E440" s="1" t="n">
        <v>46317</v>
      </c>
      <c r="F440" t="inlineStr">
        <is>
          <t>VÄSTERBOTTENS LÄN</t>
        </is>
      </c>
      <c r="G440" t="inlineStr">
        <is>
          <t>BJURHOLM</t>
        </is>
      </c>
      <c r="H440" t="inlineStr">
        <is>
          <t>Holmen skog AB</t>
        </is>
      </c>
      <c r="I440" t="n">
        <v>199.4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5075-2024</t>
        </is>
      </c>
      <c r="B441" t="inlineStr">
        <is>
          <t>samrådsanmälan</t>
        </is>
      </c>
      <c r="C441" t="inlineStr">
        <is>
          <t>Annan skogsbruksåtgärd</t>
        </is>
      </c>
      <c r="D441" s="1" t="n">
        <v>45638</v>
      </c>
      <c r="E441" s="1" t="n">
        <v>46317</v>
      </c>
      <c r="F441" t="inlineStr">
        <is>
          <t>VÄSTERBOTTENS LÄN</t>
        </is>
      </c>
      <c r="G441" t="inlineStr">
        <is>
          <t>BJURHOLM</t>
        </is>
      </c>
      <c r="H441" t="inlineStr">
        <is>
          <t>SCA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1118-2024</t>
        </is>
      </c>
      <c r="B442" t="inlineStr">
        <is>
          <t>samrådsanmälan</t>
        </is>
      </c>
      <c r="C442" t="inlineStr">
        <is>
          <t>Annan skogsbruksåtgärd</t>
        </is>
      </c>
      <c r="D442" s="1" t="n">
        <v>45393</v>
      </c>
      <c r="E442" s="1" t="n">
        <v>46317</v>
      </c>
      <c r="F442" t="inlineStr">
        <is>
          <t>VÄSTERBOTTENS LÄN</t>
        </is>
      </c>
      <c r="G442" t="inlineStr">
        <is>
          <t>BJURHOLM</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1122-2024</t>
        </is>
      </c>
      <c r="B443" t="inlineStr">
        <is>
          <t>samrådsanmälan</t>
        </is>
      </c>
      <c r="C443" t="inlineStr">
        <is>
          <t>Annan skogsbruksåtgärd</t>
        </is>
      </c>
      <c r="D443" s="1" t="n">
        <v>45393</v>
      </c>
      <c r="E443" s="1" t="n">
        <v>46317</v>
      </c>
      <c r="F443" t="inlineStr">
        <is>
          <t>VÄSTERBOTTENS LÄN</t>
        </is>
      </c>
      <c r="G443" t="inlineStr">
        <is>
          <t>BJURHOLM</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4196-2023</t>
        </is>
      </c>
      <c r="B444" t="inlineStr">
        <is>
          <t>samrådsanmälan</t>
        </is>
      </c>
      <c r="C444" t="inlineStr">
        <is>
          <t>Skogsgödsling</t>
        </is>
      </c>
      <c r="D444" s="1" t="n">
        <v>45250</v>
      </c>
      <c r="E444" s="1" t="n">
        <v>46317</v>
      </c>
      <c r="F444" t="inlineStr">
        <is>
          <t>VÄSTERBOTTENS LÄN</t>
        </is>
      </c>
      <c r="G444" t="inlineStr">
        <is>
          <t>BJURHOLM</t>
        </is>
      </c>
      <c r="H444" t="inlineStr">
        <is>
          <t>Holmen skog AB</t>
        </is>
      </c>
      <c r="I444" t="n">
        <v>69.8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1196-2025</t>
        </is>
      </c>
      <c r="B445" t="inlineStr">
        <is>
          <t>samrådsanmälan</t>
        </is>
      </c>
      <c r="C445" t="inlineStr">
        <is>
          <t>Annan skogsbruksåtgärd</t>
        </is>
      </c>
      <c r="D445" s="1" t="n">
        <v>45756</v>
      </c>
      <c r="E445" s="1" t="n">
        <v>46317</v>
      </c>
      <c r="F445" t="inlineStr">
        <is>
          <t>VÄSTERBOTTENS LÄN</t>
        </is>
      </c>
      <c r="G445" t="inlineStr">
        <is>
          <t>BJURHOLM</t>
        </is>
      </c>
      <c r="H445" t="inlineStr">
        <is>
          <t>SCA</t>
        </is>
      </c>
      <c r="I445" t="n">
        <v>14.7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3066-2025</t>
        </is>
      </c>
      <c r="B446" t="inlineStr">
        <is>
          <t>samrådsanmälan</t>
        </is>
      </c>
      <c r="C446" t="inlineStr">
        <is>
          <t>Annan skogsbruksåtgärd</t>
        </is>
      </c>
      <c r="D446" s="1" t="n">
        <v>45964</v>
      </c>
      <c r="E446" s="1" t="n">
        <v>46317</v>
      </c>
      <c r="F446" t="inlineStr">
        <is>
          <t>VÄSTERBOTTENS LÄN</t>
        </is>
      </c>
      <c r="G446" t="inlineStr">
        <is>
          <t>BJURHOLM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1169-2026</t>
        </is>
      </c>
      <c r="B447" t="inlineStr">
        <is>
          <t>samrådsanmälan</t>
        </is>
      </c>
      <c r="C447" t="inlineStr">
        <is>
          <t>Skogsgödsling</t>
        </is>
      </c>
      <c r="D447" s="1" t="n">
        <v>46135</v>
      </c>
      <c r="E447" s="1" t="n">
        <v>46317</v>
      </c>
      <c r="F447" t="inlineStr">
        <is>
          <t>VÄSTERBOTTENS LÄN</t>
        </is>
      </c>
      <c r="G447" t="inlineStr">
        <is>
          <t>BJURHOLM</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1349-2026</t>
        </is>
      </c>
      <c r="B448" t="inlineStr">
        <is>
          <t>samrådsanmälan</t>
        </is>
      </c>
      <c r="C448" t="inlineStr">
        <is>
          <t>Skogsgödsling</t>
        </is>
      </c>
      <c r="D448" s="1" t="n">
        <v>46150</v>
      </c>
      <c r="E448" s="1" t="n">
        <v>46317</v>
      </c>
      <c r="F448" t="inlineStr">
        <is>
          <t>VÄSTERBOTTENS LÄN</t>
        </is>
      </c>
      <c r="G448" t="inlineStr">
        <is>
          <t>BJURHOLM</t>
        </is>
      </c>
      <c r="I448" t="n">
        <v>6.3</v>
      </c>
      <c r="J448" t="n">
        <v>0</v>
      </c>
      <c r="K448" t="n">
        <v>0</v>
      </c>
      <c r="L448" t="n">
        <v>0</v>
      </c>
      <c r="M448" t="n">
        <v>0</v>
      </c>
      <c r="N448" t="n">
        <v>0</v>
      </c>
      <c r="O448" t="n">
        <v>0</v>
      </c>
      <c r="P448" t="n">
        <v>0</v>
      </c>
      <c r="Q448" t="n">
        <v>0</v>
      </c>
      <c r="R448" t="n">
        <v>0</v>
      </c>
      <c r="S448" t="n">
        <v>0</v>
      </c>
      <c r="T448" t="n">
        <v>0</v>
      </c>
      <c r="U448" t="n">
        <v>0</v>
      </c>
      <c r="V448" s="2" t="inlineStr"/>
    </row>
    <row r="449">
      <c r="A449" t="inlineStr">
        <is>
          <t>S 2553-2026</t>
        </is>
      </c>
      <c r="B449" t="inlineStr">
        <is>
          <t>samrådsanmälan</t>
        </is>
      </c>
      <c r="C449" t="inlineStr">
        <is>
          <t>Annan skogsbruksåtgärd</t>
        </is>
      </c>
      <c r="D449" s="1" t="n">
        <v>46294</v>
      </c>
      <c r="E449" s="1" t="n">
        <v>46317</v>
      </c>
      <c r="F449" t="inlineStr">
        <is>
          <t>VÄSTERBOTTENS LÄN</t>
        </is>
      </c>
      <c r="G449" t="inlineStr">
        <is>
          <t>BJURHOLM</t>
        </is>
      </c>
      <c r="H449" t="inlineStr">
        <is>
          <t>Sveaskog</t>
        </is>
      </c>
      <c r="I449" t="n">
        <v>5.7</v>
      </c>
      <c r="J449" t="n">
        <v>0</v>
      </c>
      <c r="K449" t="n">
        <v>0</v>
      </c>
      <c r="L449" t="n">
        <v>0</v>
      </c>
      <c r="M449" t="n">
        <v>0</v>
      </c>
      <c r="N449" t="n">
        <v>0</v>
      </c>
      <c r="O449" t="n">
        <v>0</v>
      </c>
      <c r="P449" t="n">
        <v>0</v>
      </c>
      <c r="Q449" t="n">
        <v>0</v>
      </c>
      <c r="R449" t="n">
        <v>0</v>
      </c>
      <c r="S449" t="n">
        <v>0</v>
      </c>
      <c r="T449" t="n">
        <v>0</v>
      </c>
      <c r="U449" t="n">
        <v>0</v>
      </c>
      <c r="V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2026-10-22T01:56:46Z</dcterms:created>
  <dcterms:modified xmlns:dcterms="http://purl.org/dc/terms/" xmlns:xsi="http://www.w3.org/2001/XMLSchema-instance" xsi:type="dcterms:W3CDTF">2026-10-22T01:56:47Z</dcterms:modified>
</cp:coreProperties>
</file>