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46219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46219</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46219</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46219</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5">
        <f>HYPERLINK("https://klasma.github.io/Logging_2403/artfynd/A 31193-2024 artfynd.xlsx", "A 31193-2024")</f>
        <v/>
      </c>
      <c r="W5">
        <f>HYPERLINK("https://klasma.github.io/Logging_2403/kartor/A 31193-2024 karta.png", "A 31193-2024")</f>
        <v/>
      </c>
      <c r="X5">
        <f>HYPERLINK("https://klasma.github.io/Logging_2403/knärot/A 31193-2024 karta knärot.png", "A 31193-2024")</f>
        <v/>
      </c>
      <c r="Y5">
        <f>HYPERLINK("https://klasma.github.io/Logging_2403/klagomål/A 31193-2024 FSC-klagomål.docx", "A 31193-2024")</f>
        <v/>
      </c>
      <c r="Z5">
        <f>HYPERLINK("https://klasma.github.io/Logging_2403/klagomålsmail/A 31193-2024 FSC-klagomål mail.docx", "A 31193-2024")</f>
        <v/>
      </c>
      <c r="AA5">
        <f>HYPERLINK("https://klasma.github.io/Logging_2403/tillsyn/A 31193-2024 tillsynsbegäran.docx", "A 31193-2024")</f>
        <v/>
      </c>
      <c r="AB5">
        <f>HYPERLINK("https://klasma.github.io/Logging_2403/tillsynsmail/A 31193-2024 tillsynsbegäran mail.docx", "A 31193-2024")</f>
        <v/>
      </c>
      <c r="AC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46219</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6">
        <f>HYPERLINK("https://klasma.github.io/Logging_2403/artfynd/A 64501-2023 artfynd.xlsx", "A 64501-2023")</f>
        <v/>
      </c>
      <c r="W6">
        <f>HYPERLINK("https://klasma.github.io/Logging_2403/kartor/A 64501-2023 karta.png", "A 64501-2023")</f>
        <v/>
      </c>
      <c r="X6">
        <f>HYPERLINK("https://klasma.github.io/Logging_2403/knärot/A 64501-2023 karta knärot.png", "A 64501-2023")</f>
        <v/>
      </c>
      <c r="Y6">
        <f>HYPERLINK("https://klasma.github.io/Logging_2403/klagomål/A 64501-2023 FSC-klagomål.docx", "A 64501-2023")</f>
        <v/>
      </c>
      <c r="Z6">
        <f>HYPERLINK("https://klasma.github.io/Logging_2403/klagomålsmail/A 64501-2023 FSC-klagomål mail.docx", "A 64501-2023")</f>
        <v/>
      </c>
      <c r="AA6">
        <f>HYPERLINK("https://klasma.github.io/Logging_2403/tillsyn/A 64501-2023 tillsynsbegäran.docx", "A 64501-2023")</f>
        <v/>
      </c>
      <c r="AB6">
        <f>HYPERLINK("https://klasma.github.io/Logging_2403/tillsynsmail/A 64501-2023 tillsynsbegäran mail.docx", "A 64501-2023")</f>
        <v/>
      </c>
      <c r="AC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46219</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HYPERLINK("https://klasma.github.io/Logging_2403/knärot/A 33362-2024 karta knärot.png", "A 33362-2024")</f>
        <v/>
      </c>
      <c r="Y7">
        <f>HYPERLINK("https://klasma.github.io/Logging_2403/klagomål/A 33362-2024 FSC-klagomål.docx", "A 33362-2024")</f>
        <v/>
      </c>
      <c r="Z7">
        <f>HYPERLINK("https://klasma.github.io/Logging_2403/klagomålsmail/A 33362-2024 FSC-klagomål mail.docx", "A 33362-2024")</f>
        <v/>
      </c>
      <c r="AA7">
        <f>HYPERLINK("https://klasma.github.io/Logging_2403/tillsyn/A 33362-2024 tillsynsbegäran.docx", "A 33362-2024")</f>
        <v/>
      </c>
      <c r="AB7">
        <f>HYPERLINK("https://klasma.github.io/Logging_2403/tillsynsmail/A 33362-2024 tillsynsbegäran mail.docx", "A 33362-2024")</f>
        <v/>
      </c>
      <c r="AC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46219</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HYPERLINK("https://klasma.github.io/Logging_2403/knärot/A 33355-2024 karta knärot.png", "A 33355-2024")</f>
        <v/>
      </c>
      <c r="Y8">
        <f>HYPERLINK("https://klasma.github.io/Logging_2403/klagomål/A 33355-2024 FSC-klagomål.docx", "A 33355-2024")</f>
        <v/>
      </c>
      <c r="Z8">
        <f>HYPERLINK("https://klasma.github.io/Logging_2403/klagomålsmail/A 33355-2024 FSC-klagomål mail.docx", "A 33355-2024")</f>
        <v/>
      </c>
      <c r="AA8">
        <f>HYPERLINK("https://klasma.github.io/Logging_2403/tillsyn/A 33355-2024 tillsynsbegäran.docx", "A 33355-2024")</f>
        <v/>
      </c>
      <c r="AB8">
        <f>HYPERLINK("https://klasma.github.io/Logging_2403/tillsynsmail/A 33355-2024 tillsynsbegäran mail.docx", "A 33355-2024")</f>
        <v/>
      </c>
      <c r="AC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46219</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46219</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46219</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s="2" t="inlineStr">
        <is>
          <t>Garnlav
Knärot
Dropptaggsvamp
Kolflarnlav
Lunglav
Mörk kolflarnlav
Tallticka
Tretåig hackspett
Vedskivlav
Violettgrå tagellav
Bårdlav
Dvärgtufs
Luddlav
Plattlummer
Skinnlav
Stor aspticka
Stuplav</t>
        </is>
      </c>
      <c r="V11">
        <f>HYPERLINK("https://klasma.github.io/Logging_2403/artfynd/A 30467-2025 artfynd.xlsx", "A 30467-2025")</f>
        <v/>
      </c>
      <c r="W11">
        <f>HYPERLINK("https://klasma.github.io/Logging_2403/kartor/A 30467-2025 karta.png", "A 30467-2025")</f>
        <v/>
      </c>
      <c r="X11">
        <f>HYPERLINK("https://klasma.github.io/Logging_2403/knärot/A 30467-2025 karta knärot.png", "A 30467-2025")</f>
        <v/>
      </c>
      <c r="Y11">
        <f>HYPERLINK("https://klasma.github.io/Logging_2403/klagomål/A 30467-2025 FSC-klagomål.docx", "A 30467-2025")</f>
        <v/>
      </c>
      <c r="Z11">
        <f>HYPERLINK("https://klasma.github.io/Logging_2403/klagomålsmail/A 30467-2025 FSC-klagomål mail.docx", "A 30467-2025")</f>
        <v/>
      </c>
      <c r="AA11">
        <f>HYPERLINK("https://klasma.github.io/Logging_2403/tillsyn/A 30467-2025 tillsynsbegäran.docx", "A 30467-2025")</f>
        <v/>
      </c>
      <c r="AB11">
        <f>HYPERLINK("https://klasma.github.io/Logging_2403/tillsynsmail/A 30467-2025 tillsynsbegäran mail.docx", "A 30467-2025")</f>
        <v/>
      </c>
      <c r="AC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46219</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s="2" t="inlineStr">
        <is>
          <t>Fläckporing
Garnlav
Knärot
Barkporlav
Dropptaggsvamp
Kolflarnlav
Kortskaftad ärgspik
Lunglav
Mörk kolflarnlav
Skrovellav
Talltita
Tretåig hackspett
Vedskivlav
Skinnlav
Stuplav
Spillkråka
Fläcknycklar</t>
        </is>
      </c>
      <c r="V12">
        <f>HYPERLINK("https://klasma.github.io/Logging_2403/artfynd/A 57334-2022 artfynd.xlsx", "A 57334-2022")</f>
        <v/>
      </c>
      <c r="W12">
        <f>HYPERLINK("https://klasma.github.io/Logging_2403/kartor/A 57334-2022 karta.png", "A 57334-2022")</f>
        <v/>
      </c>
      <c r="X12">
        <f>HYPERLINK("https://klasma.github.io/Logging_2403/knärot/A 57334-2022 karta knärot.png", "A 57334-2022")</f>
        <v/>
      </c>
      <c r="Y12">
        <f>HYPERLINK("https://klasma.github.io/Logging_2403/klagomål/A 57334-2022 FSC-klagomål.docx", "A 57334-2022")</f>
        <v/>
      </c>
      <c r="Z12">
        <f>HYPERLINK("https://klasma.github.io/Logging_2403/klagomålsmail/A 57334-2022 FSC-klagomål mail.docx", "A 57334-2022")</f>
        <v/>
      </c>
      <c r="AA12">
        <f>HYPERLINK("https://klasma.github.io/Logging_2403/tillsyn/A 57334-2022 tillsynsbegäran.docx", "A 57334-2022")</f>
        <v/>
      </c>
      <c r="AB12">
        <f>HYPERLINK("https://klasma.github.io/Logging_2403/tillsynsmail/A 57334-2022 tillsynsbegäran mail.docx", "A 57334-2022")</f>
        <v/>
      </c>
      <c r="AC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46219</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s="2" t="inlineStr">
        <is>
          <t>Fläckporing
Garnlav
Blanksvart spiklav
Blågrå svartspik
Dvärgbägarlav
Kolflarnlav
Mörk kolflarnlav
Nordtagging
Talltagel
Vedskivlav
Luddlav
Nästlav
Spindelblomster
Stuplav
Spillkråka
Tjäder</t>
        </is>
      </c>
      <c r="V13">
        <f>HYPERLINK("https://klasma.github.io/Logging_2403/artfynd/A 44790-2023 artfynd.xlsx", "A 44790-2023")</f>
        <v/>
      </c>
      <c r="W13">
        <f>HYPERLINK("https://klasma.github.io/Logging_2403/kartor/A 44790-2023 karta.png", "A 44790-2023")</f>
        <v/>
      </c>
      <c r="Y13">
        <f>HYPERLINK("https://klasma.github.io/Logging_2403/klagomål/A 44790-2023 FSC-klagomål.docx", "A 44790-2023")</f>
        <v/>
      </c>
      <c r="Z13">
        <f>HYPERLINK("https://klasma.github.io/Logging_2403/klagomålsmail/A 44790-2023 FSC-klagomål mail.docx", "A 44790-2023")</f>
        <v/>
      </c>
      <c r="AA13">
        <f>HYPERLINK("https://klasma.github.io/Logging_2403/tillsyn/A 44790-2023 tillsynsbegäran.docx", "A 44790-2023")</f>
        <v/>
      </c>
      <c r="AB13">
        <f>HYPERLINK("https://klasma.github.io/Logging_2403/tillsynsmail/A 44790-2023 tillsynsbegäran mail.docx", "A 44790-2023")</f>
        <v/>
      </c>
      <c r="AC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46219</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s="2" t="inlineStr">
        <is>
          <t>Garnlav
Goliatmusseron
Skrovlig taggsvamp
Tallgråticka
Blå taggsvamp
Dropptaggsvamp
Kolflarnlav
Kortskaftad ärgspik
Orange taggsvamp
Svart taggsvamp
Vaddporing
Vedskivlav</t>
        </is>
      </c>
      <c r="V14">
        <f>HYPERLINK("https://klasma.github.io/Logging_2403/artfynd/A 20608-2023 artfynd.xlsx", "A 20608-2023")</f>
        <v/>
      </c>
      <c r="W14">
        <f>HYPERLINK("https://klasma.github.io/Logging_2403/kartor/A 20608-2023 karta.png", "A 20608-2023")</f>
        <v/>
      </c>
      <c r="Y14">
        <f>HYPERLINK("https://klasma.github.io/Logging_2403/klagomål/A 20608-2023 FSC-klagomål.docx", "A 20608-2023")</f>
        <v/>
      </c>
      <c r="Z14">
        <f>HYPERLINK("https://klasma.github.io/Logging_2403/klagomålsmail/A 20608-2023 FSC-klagomål mail.docx", "A 20608-2023")</f>
        <v/>
      </c>
      <c r="AA14">
        <f>HYPERLINK("https://klasma.github.io/Logging_2403/tillsyn/A 20608-2023 tillsynsbegäran.docx", "A 20608-2023")</f>
        <v/>
      </c>
      <c r="AB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46219</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s="2" t="inlineStr">
        <is>
          <t>Garnlav
Lappticka
Duvhök
Lunglav
Stjärntagging
Ullticka
Stuplav
Vedticka
Tjäder
Fläcknycklar
Nattviol
Revlummer</t>
        </is>
      </c>
      <c r="V15">
        <f>HYPERLINK("https://klasma.github.io/Logging_2403/artfynd/A 22677-2024 artfynd.xlsx", "A 22677-2024")</f>
        <v/>
      </c>
      <c r="W15">
        <f>HYPERLINK("https://klasma.github.io/Logging_2403/kartor/A 22677-2024 karta.png", "A 22677-2024")</f>
        <v/>
      </c>
      <c r="Y15">
        <f>HYPERLINK("https://klasma.github.io/Logging_2403/klagomål/A 22677-2024 FSC-klagomål.docx", "A 22677-2024")</f>
        <v/>
      </c>
      <c r="Z15">
        <f>HYPERLINK("https://klasma.github.io/Logging_2403/klagomålsmail/A 22677-2024 FSC-klagomål mail.docx", "A 22677-2024")</f>
        <v/>
      </c>
      <c r="AA15">
        <f>HYPERLINK("https://klasma.github.io/Logging_2403/tillsyn/A 22677-2024 tillsynsbegäran.docx", "A 22677-2024")</f>
        <v/>
      </c>
      <c r="AB15">
        <f>HYPERLINK("https://klasma.github.io/Logging_2403/tillsynsmail/A 22677-2024 tillsynsbegäran mail.docx", "A 22677-2024")</f>
        <v/>
      </c>
      <c r="AC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46219</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s="2" t="inlineStr">
        <is>
          <t>Garnlav
Gammelgransskål
Lavskrika
Lunglav
Talltita
Tretåig hackspett
Ullticka
Bårdlav
Skör kvastmossa
Stuplav
Spillkråka</t>
        </is>
      </c>
      <c r="V16">
        <f>HYPERLINK("https://klasma.github.io/Logging_2403/artfynd/A 51874-2024 artfynd.xlsx", "A 51874-2024")</f>
        <v/>
      </c>
      <c r="W16">
        <f>HYPERLINK("https://klasma.github.io/Logging_2403/kartor/A 51874-2024 karta.png", "A 51874-2024")</f>
        <v/>
      </c>
      <c r="Y16">
        <f>HYPERLINK("https://klasma.github.io/Logging_2403/klagomål/A 51874-2024 FSC-klagomål.docx", "A 51874-2024")</f>
        <v/>
      </c>
      <c r="Z16">
        <f>HYPERLINK("https://klasma.github.io/Logging_2403/klagomålsmail/A 51874-2024 FSC-klagomål mail.docx", "A 51874-2024")</f>
        <v/>
      </c>
      <c r="AA16">
        <f>HYPERLINK("https://klasma.github.io/Logging_2403/tillsyn/A 51874-2024 tillsynsbegäran.docx", "A 51874-2024")</f>
        <v/>
      </c>
      <c r="AB16">
        <f>HYPERLINK("https://klasma.github.io/Logging_2403/tillsynsmail/A 51874-2024 tillsynsbegäran mail.docx", "A 51874-2024")</f>
        <v/>
      </c>
      <c r="AC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46219</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s="2" t="inlineStr">
        <is>
          <t>Garnlav
Knärot
Lunglav
Ullticka
Violettgrå tagellav
Stuplav
Vedticka
Spillkråka
Tjäder
Fläcknycklar
Nattviol</t>
        </is>
      </c>
      <c r="V17">
        <f>HYPERLINK("https://klasma.github.io/Logging_2403/artfynd/A 14646-2025 artfynd.xlsx", "A 14646-2025")</f>
        <v/>
      </c>
      <c r="W17">
        <f>HYPERLINK("https://klasma.github.io/Logging_2403/kartor/A 14646-2025 karta.png", "A 14646-2025")</f>
        <v/>
      </c>
      <c r="X17">
        <f>HYPERLINK("https://klasma.github.io/Logging_2403/knärot/A 14646-2025 karta knärot.png", "A 14646-2025")</f>
        <v/>
      </c>
      <c r="Y17">
        <f>HYPERLINK("https://klasma.github.io/Logging_2403/klagomål/A 14646-2025 FSC-klagomål.docx", "A 14646-2025")</f>
        <v/>
      </c>
      <c r="Z17">
        <f>HYPERLINK("https://klasma.github.io/Logging_2403/klagomålsmail/A 14646-2025 FSC-klagomål mail.docx", "A 14646-2025")</f>
        <v/>
      </c>
      <c r="AA17">
        <f>HYPERLINK("https://klasma.github.io/Logging_2403/tillsyn/A 14646-2025 tillsynsbegäran.docx", "A 14646-2025")</f>
        <v/>
      </c>
      <c r="AB17">
        <f>HYPERLINK("https://klasma.github.io/Logging_2403/tillsynsmail/A 14646-2025 tillsynsbegäran mail.docx", "A 14646-2025")</f>
        <v/>
      </c>
      <c r="AC17">
        <f>HYPERLINK("https://klasma.github.io/Logging_2403/fåglar/A 14646-2025 prioriterade fågelarter.docx", "A 14646-2025")</f>
        <v/>
      </c>
    </row>
    <row r="18" ht="15" customHeight="1">
      <c r="A18" t="inlineStr">
        <is>
          <t>A 14108-2023</t>
        </is>
      </c>
      <c r="B18" t="inlineStr">
        <is>
          <t>avverkningsanmälan</t>
        </is>
      </c>
      <c r="C18" t="inlineStr">
        <is>
          <t>Föryngringsavverkning</t>
        </is>
      </c>
      <c r="D18" s="1" t="n">
        <v>45009</v>
      </c>
      <c r="E18" s="1" t="n">
        <v>46219</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s="2" t="inlineStr">
        <is>
          <t>Garnlav
Knärot
Rosenticka
Rynkskinn
Ullticka
Bronshjon
Mörk husmossa
Skogshakmossa
Vedticka
Spillkråka</t>
        </is>
      </c>
      <c r="V18">
        <f>HYPERLINK("https://klasma.github.io/Logging_2403/artfynd/A 14108-2023 artfynd.xlsx", "A 14108-2023")</f>
        <v/>
      </c>
      <c r="W18">
        <f>HYPERLINK("https://klasma.github.io/Logging_2403/kartor/A 14108-2023 karta.png", "A 14108-2023")</f>
        <v/>
      </c>
      <c r="X18">
        <f>HYPERLINK("https://klasma.github.io/Logging_2403/knärot/A 14108-2023 karta knärot.png", "A 14108-2023")</f>
        <v/>
      </c>
      <c r="Y18">
        <f>HYPERLINK("https://klasma.github.io/Logging_2403/klagomål/A 14108-2023 FSC-klagomål.docx", "A 14108-2023")</f>
        <v/>
      </c>
      <c r="Z18">
        <f>HYPERLINK("https://klasma.github.io/Logging_2403/klagomålsmail/A 14108-2023 FSC-klagomål mail.docx", "A 14108-2023")</f>
        <v/>
      </c>
      <c r="AA18">
        <f>HYPERLINK("https://klasma.github.io/Logging_2403/tillsyn/A 14108-2023 tillsynsbegäran.docx", "A 14108-2023")</f>
        <v/>
      </c>
      <c r="AB18">
        <f>HYPERLINK("https://klasma.github.io/Logging_2403/tillsynsmail/A 14108-2023 tillsynsbegäran mail.docx", "A 14108-2023")</f>
        <v/>
      </c>
      <c r="AC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46219</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s="2" t="inlineStr">
        <is>
          <t>Garnlav
Lunglav
Rynkskinn
Ullticka
Bollvitmossa
Skinnlav
Spindelblomster
Stuplav
Järpe
Fläcknycklar</t>
        </is>
      </c>
      <c r="V19">
        <f>HYPERLINK("https://klasma.github.io/Logging_2403/artfynd/A 24124-2024 artfynd.xlsx", "A 24124-2024")</f>
        <v/>
      </c>
      <c r="W19">
        <f>HYPERLINK("https://klasma.github.io/Logging_2403/kartor/A 24124-2024 karta.png", "A 24124-2024")</f>
        <v/>
      </c>
      <c r="Y19">
        <f>HYPERLINK("https://klasma.github.io/Logging_2403/klagomål/A 24124-2024 FSC-klagomål.docx", "A 24124-2024")</f>
        <v/>
      </c>
      <c r="Z19">
        <f>HYPERLINK("https://klasma.github.io/Logging_2403/klagomålsmail/A 24124-2024 FSC-klagomål mail.docx", "A 24124-2024")</f>
        <v/>
      </c>
      <c r="AA19">
        <f>HYPERLINK("https://klasma.github.io/Logging_2403/tillsyn/A 24124-2024 tillsynsbegäran.docx", "A 24124-2024")</f>
        <v/>
      </c>
      <c r="AB19">
        <f>HYPERLINK("https://klasma.github.io/Logging_2403/tillsynsmail/A 24124-2024 tillsynsbegäran mail.docx", "A 24124-2024")</f>
        <v/>
      </c>
      <c r="AC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46219</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s="2" t="inlineStr">
        <is>
          <t>Garnlav
Knärot
Rödvingetrast
Stiftgelélav
Talltita
Ullticka
Skinnlav
Stor aspticka
Vedticka
Kungsfågel</t>
        </is>
      </c>
      <c r="V20">
        <f>HYPERLINK("https://klasma.github.io/Logging_2403/artfynd/A 13605-2022 artfynd.xlsx", "A 13605-2022")</f>
        <v/>
      </c>
      <c r="W20">
        <f>HYPERLINK("https://klasma.github.io/Logging_2403/kartor/A 13605-2022 karta.png", "A 13605-2022")</f>
        <v/>
      </c>
      <c r="X20">
        <f>HYPERLINK("https://klasma.github.io/Logging_2403/knärot/A 13605-2022 karta knärot.png", "A 13605-2022")</f>
        <v/>
      </c>
      <c r="Y20">
        <f>HYPERLINK("https://klasma.github.io/Logging_2403/klagomål/A 13605-2022 FSC-klagomål.docx", "A 13605-2022")</f>
        <v/>
      </c>
      <c r="Z20">
        <f>HYPERLINK("https://klasma.github.io/Logging_2403/klagomålsmail/A 13605-2022 FSC-klagomål mail.docx", "A 13605-2022")</f>
        <v/>
      </c>
      <c r="AA20">
        <f>HYPERLINK("https://klasma.github.io/Logging_2403/tillsyn/A 13605-2022 tillsynsbegäran.docx", "A 13605-2022")</f>
        <v/>
      </c>
      <c r="AB20">
        <f>HYPERLINK("https://klasma.github.io/Logging_2403/tillsynsmail/A 13605-2022 tillsynsbegäran mail.docx", "A 13605-2022")</f>
        <v/>
      </c>
      <c r="AC20">
        <f>HYPERLINK("https://klasma.github.io/Logging_2403/fåglar/A 13605-2022 prioriterade fågelarter.docx", "A 13605-2022")</f>
        <v/>
      </c>
    </row>
    <row r="21" ht="15" customHeight="1">
      <c r="A21" t="inlineStr">
        <is>
          <t>A 38585-2025</t>
        </is>
      </c>
      <c r="B21" t="inlineStr">
        <is>
          <t>avverkningsanmälan</t>
        </is>
      </c>
      <c r="C21" t="inlineStr">
        <is>
          <t>Föryngringsavverkning</t>
        </is>
      </c>
      <c r="D21" s="1" t="n">
        <v>45884</v>
      </c>
      <c r="E21" s="1" t="n">
        <v>46219</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s="2" t="inlineStr">
        <is>
          <t>Garnlav
Dvärgbägarlav
Mörk kolflarnlav
Talltita
Tretåig hackspett
Huggorm</t>
        </is>
      </c>
      <c r="V21">
        <f>HYPERLINK("https://klasma.github.io/Logging_2403/artfynd/A 38585-2025 artfynd.xlsx", "A 38585-2025")</f>
        <v/>
      </c>
      <c r="W21">
        <f>HYPERLINK("https://klasma.github.io/Logging_2403/kartor/A 38585-2025 karta.png", "A 38585-2025")</f>
        <v/>
      </c>
      <c r="Y21">
        <f>HYPERLINK("https://klasma.github.io/Logging_2403/klagomål/A 38585-2025 FSC-klagomål.docx", "A 38585-2025")</f>
        <v/>
      </c>
      <c r="Z21">
        <f>HYPERLINK("https://klasma.github.io/Logging_2403/klagomålsmail/A 38585-2025 FSC-klagomål mail.docx", "A 38585-2025")</f>
        <v/>
      </c>
      <c r="AA21">
        <f>HYPERLINK("https://klasma.github.io/Logging_2403/tillsyn/A 38585-2025 tillsynsbegäran.docx", "A 38585-2025")</f>
        <v/>
      </c>
      <c r="AB21">
        <f>HYPERLINK("https://klasma.github.io/Logging_2403/tillsynsmail/A 38585-2025 tillsynsbegäran mail.docx", "A 38585-2025")</f>
        <v/>
      </c>
      <c r="AC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46219</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s="2" t="inlineStr">
        <is>
          <t>Lunglav
Småflikig brosklav
Violettgrå tagellav
Skinnlav
Stuplav
Vedticka</t>
        </is>
      </c>
      <c r="V22">
        <f>HYPERLINK("https://klasma.github.io/Logging_2403/artfynd/A 18951-2023 artfynd.xlsx", "A 18951-2023")</f>
        <v/>
      </c>
      <c r="W22">
        <f>HYPERLINK("https://klasma.github.io/Logging_2403/kartor/A 18951-2023 karta.png", "A 18951-2023")</f>
        <v/>
      </c>
      <c r="Y22">
        <f>HYPERLINK("https://klasma.github.io/Logging_2403/klagomål/A 18951-2023 FSC-klagomål.docx", "A 18951-2023")</f>
        <v/>
      </c>
      <c r="Z22">
        <f>HYPERLINK("https://klasma.github.io/Logging_2403/klagomålsmail/A 18951-2023 FSC-klagomål mail.docx", "A 18951-2023")</f>
        <v/>
      </c>
      <c r="AA22">
        <f>HYPERLINK("https://klasma.github.io/Logging_2403/tillsyn/A 18951-2023 tillsynsbegäran.docx", "A 18951-2023")</f>
        <v/>
      </c>
      <c r="AB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46219</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s="2" t="inlineStr">
        <is>
          <t>Gräddporing
Lunglav
Skrovellav
Tallticka
Bårdlav
Stuplav</t>
        </is>
      </c>
      <c r="V23">
        <f>HYPERLINK("https://klasma.github.io/Logging_2403/artfynd/S 5069-2024 artfynd.xlsx", "S 5069-2024")</f>
        <v/>
      </c>
      <c r="W23">
        <f>HYPERLINK("https://klasma.github.io/Logging_2403/kartor/S 5069-2024 karta.png", "S 5069-2024")</f>
        <v/>
      </c>
      <c r="Y23">
        <f>HYPERLINK("https://klasma.github.io/Logging_2403/klagomål/S 5069-2024 FSC-klagomål.docx", "S 5069-2024")</f>
        <v/>
      </c>
      <c r="Z23">
        <f>HYPERLINK("https://klasma.github.io/Logging_2403/klagomålsmail/S 5069-2024 FSC-klagomål mail.docx", "S 5069-2024")</f>
        <v/>
      </c>
      <c r="AA23">
        <f>HYPERLINK("https://klasma.github.io/Logging_2403/tillsyn/S 5069-2024 tillsynsbegäran.docx", "S 5069-2024")</f>
        <v/>
      </c>
      <c r="AB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46219</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s="2" t="inlineStr">
        <is>
          <t>Lunglav
Mörk kolflarnlav
Skinnlav
Stuplav
Vedticka</t>
        </is>
      </c>
      <c r="V24">
        <f>HYPERLINK("https://klasma.github.io/Logging_2403/artfynd/A 55009-2022 artfynd.xlsx", "A 55009-2022")</f>
        <v/>
      </c>
      <c r="W24">
        <f>HYPERLINK("https://klasma.github.io/Logging_2403/kartor/A 55009-2022 karta.png", "A 55009-2022")</f>
        <v/>
      </c>
      <c r="Y24">
        <f>HYPERLINK("https://klasma.github.io/Logging_2403/klagomål/A 55009-2022 FSC-klagomål.docx", "A 55009-2022")</f>
        <v/>
      </c>
      <c r="Z24">
        <f>HYPERLINK("https://klasma.github.io/Logging_2403/klagomålsmail/A 55009-2022 FSC-klagomål mail.docx", "A 55009-2022")</f>
        <v/>
      </c>
      <c r="AA24">
        <f>HYPERLINK("https://klasma.github.io/Logging_2403/tillsyn/A 55009-2022 tillsynsbegäran.docx", "A 55009-2022")</f>
        <v/>
      </c>
      <c r="AB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46219</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s="2" t="inlineStr">
        <is>
          <t>Talltita
Ullticka
Skinnlav
Vedticka
Revlummer</t>
        </is>
      </c>
      <c r="V25">
        <f>HYPERLINK("https://klasma.github.io/Logging_2403/artfynd/A 19644-2022 artfynd.xlsx", "A 19644-2022")</f>
        <v/>
      </c>
      <c r="W25">
        <f>HYPERLINK("https://klasma.github.io/Logging_2403/kartor/A 19644-2022 karta.png", "A 19644-2022")</f>
        <v/>
      </c>
      <c r="Y25">
        <f>HYPERLINK("https://klasma.github.io/Logging_2403/klagomål/A 19644-2022 FSC-klagomål.docx", "A 19644-2022")</f>
        <v/>
      </c>
      <c r="Z25">
        <f>HYPERLINK("https://klasma.github.io/Logging_2403/klagomålsmail/A 19644-2022 FSC-klagomål mail.docx", "A 19644-2022")</f>
        <v/>
      </c>
      <c r="AA25">
        <f>HYPERLINK("https://klasma.github.io/Logging_2403/tillsyn/A 19644-2022 tillsynsbegäran.docx", "A 19644-2022")</f>
        <v/>
      </c>
      <c r="AB25">
        <f>HYPERLINK("https://klasma.github.io/Logging_2403/tillsynsmail/A 19644-2022 tillsynsbegäran mail.docx", "A 19644-2022")</f>
        <v/>
      </c>
      <c r="AC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46219</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s="2" t="inlineStr">
        <is>
          <t>Garnlav
Järnsparv
Torta
Fläcknycklar</t>
        </is>
      </c>
      <c r="V26">
        <f>HYPERLINK("https://klasma.github.io/Logging_2403/artfynd/A 14407-2024 artfynd.xlsx", "A 14407-2024")</f>
        <v/>
      </c>
      <c r="W26">
        <f>HYPERLINK("https://klasma.github.io/Logging_2403/kartor/A 14407-2024 karta.png", "A 14407-2024")</f>
        <v/>
      </c>
      <c r="Y26">
        <f>HYPERLINK("https://klasma.github.io/Logging_2403/klagomål/A 14407-2024 FSC-klagomål.docx", "A 14407-2024")</f>
        <v/>
      </c>
      <c r="Z26">
        <f>HYPERLINK("https://klasma.github.io/Logging_2403/klagomålsmail/A 14407-2024 FSC-klagomål mail.docx", "A 14407-2024")</f>
        <v/>
      </c>
      <c r="AA26">
        <f>HYPERLINK("https://klasma.github.io/Logging_2403/tillsyn/A 14407-2024 tillsynsbegäran.docx", "A 14407-2024")</f>
        <v/>
      </c>
      <c r="AB26">
        <f>HYPERLINK("https://klasma.github.io/Logging_2403/tillsynsmail/A 14407-2024 tillsynsbegäran mail.docx", "A 14407-2024")</f>
        <v/>
      </c>
      <c r="AC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46219</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s="2" t="inlineStr">
        <is>
          <t>Mörk kolflarnlav
Talltita
Vedskivlav
Tjäder</t>
        </is>
      </c>
      <c r="V27">
        <f>HYPERLINK("https://klasma.github.io/Logging_2403/artfynd/A 61089-2025 artfynd.xlsx", "A 61089-2025")</f>
        <v/>
      </c>
      <c r="W27">
        <f>HYPERLINK("https://klasma.github.io/Logging_2403/kartor/A 61089-2025 karta.png", "A 61089-2025")</f>
        <v/>
      </c>
      <c r="Y27">
        <f>HYPERLINK("https://klasma.github.io/Logging_2403/klagomål/A 61089-2025 FSC-klagomål.docx", "A 61089-2025")</f>
        <v/>
      </c>
      <c r="Z27">
        <f>HYPERLINK("https://klasma.github.io/Logging_2403/klagomålsmail/A 61089-2025 FSC-klagomål mail.docx", "A 61089-2025")</f>
        <v/>
      </c>
      <c r="AA27">
        <f>HYPERLINK("https://klasma.github.io/Logging_2403/tillsyn/A 61089-2025 tillsynsbegäran.docx", "A 61089-2025")</f>
        <v/>
      </c>
      <c r="AB27">
        <f>HYPERLINK("https://klasma.github.io/Logging_2403/tillsynsmail/A 61089-2025 tillsynsbegäran mail.docx", "A 61089-2025")</f>
        <v/>
      </c>
      <c r="AC27">
        <f>HYPERLINK("https://klasma.github.io/Logging_2403/fåglar/A 61089-2025 prioriterade fågelarter.docx", "A 61089-2025")</f>
        <v/>
      </c>
    </row>
    <row r="28" ht="15" customHeight="1">
      <c r="A28" t="inlineStr">
        <is>
          <t>A 44274-2023</t>
        </is>
      </c>
      <c r="B28" t="inlineStr">
        <is>
          <t>avverkningsanmälan</t>
        </is>
      </c>
      <c r="C28" t="inlineStr">
        <is>
          <t>Föryngringsavverkning</t>
        </is>
      </c>
      <c r="D28" s="1" t="n">
        <v>45188</v>
      </c>
      <c r="E28" s="1" t="n">
        <v>46219</v>
      </c>
      <c r="F28" t="inlineStr">
        <is>
          <t>VÄSTERBOTTENS LÄN</t>
        </is>
      </c>
      <c r="G28" t="inlineStr">
        <is>
          <t>BJURHOLM</t>
        </is>
      </c>
      <c r="H28" t="inlineStr">
        <is>
          <t>Holmen skog AB</t>
        </is>
      </c>
      <c r="I28" t="n">
        <v>6.6</v>
      </c>
      <c r="J28" t="n">
        <v>2</v>
      </c>
      <c r="K28" t="n">
        <v>2</v>
      </c>
      <c r="L28" t="n">
        <v>1</v>
      </c>
      <c r="M28" t="n">
        <v>1</v>
      </c>
      <c r="N28" t="n">
        <v>0</v>
      </c>
      <c r="O28" t="n">
        <v>0</v>
      </c>
      <c r="P28" t="n">
        <v>0</v>
      </c>
      <c r="Q28" t="n">
        <v>2</v>
      </c>
      <c r="R28" t="n">
        <v>1</v>
      </c>
      <c r="S28" t="n">
        <v>4</v>
      </c>
      <c r="T28" t="n">
        <v>7</v>
      </c>
      <c r="U28" s="2" t="inlineStr">
        <is>
          <t>Garnlav
Tretåig hackspett
Norrlandslav
Spindelblomster</t>
        </is>
      </c>
      <c r="V28">
        <f>HYPERLINK("https://klasma.github.io/Logging_2403/artfynd/A 44274-2023 artfynd.xlsx", "A 44274-2023")</f>
        <v/>
      </c>
      <c r="W28">
        <f>HYPERLINK("https://klasma.github.io/Logging_2403/kartor/A 44274-2023 karta.png", "A 44274-2023")</f>
        <v/>
      </c>
      <c r="Y28">
        <f>HYPERLINK("https://klasma.github.io/Logging_2403/klagomål/A 44274-2023 FSC-klagomål.docx", "A 44274-2023")</f>
        <v/>
      </c>
      <c r="Z28">
        <f>HYPERLINK("https://klasma.github.io/Logging_2403/klagomålsmail/A 44274-2023 FSC-klagomål mail.docx", "A 44274-2023")</f>
        <v/>
      </c>
      <c r="AA28">
        <f>HYPERLINK("https://klasma.github.io/Logging_2403/tillsyn/A 44274-2023 tillsynsbegäran.docx", "A 44274-2023")</f>
        <v/>
      </c>
      <c r="AB28">
        <f>HYPERLINK("https://klasma.github.io/Logging_2403/tillsynsmail/A 44274-2023 tillsynsbegäran mail.docx", "A 44274-2023")</f>
        <v/>
      </c>
      <c r="AC28">
        <f>HYPERLINK("https://klasma.github.io/Logging_2403/fåglar/A 44274-2023 prioriterade fågelarter.docx", "A 44274-2023")</f>
        <v/>
      </c>
    </row>
    <row r="29" ht="15" customHeight="1">
      <c r="A29" t="inlineStr">
        <is>
          <t>A 4365-2022</t>
        </is>
      </c>
      <c r="B29" t="inlineStr">
        <is>
          <t>avverkningsanmälan</t>
        </is>
      </c>
      <c r="C29" t="inlineStr">
        <is>
          <t>Föryngringsavverkning</t>
        </is>
      </c>
      <c r="D29" s="1" t="n">
        <v>44588</v>
      </c>
      <c r="E29" s="1" t="n">
        <v>46219</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s="2" t="inlineStr">
        <is>
          <t>Garnlav
Rynkskinn
Ullticka
Spillkråka</t>
        </is>
      </c>
      <c r="V29">
        <f>HYPERLINK("https://klasma.github.io/Logging_2403/artfynd/A 4365-2022 artfynd.xlsx", "A 4365-2022")</f>
        <v/>
      </c>
      <c r="W29">
        <f>HYPERLINK("https://klasma.github.io/Logging_2403/kartor/A 4365-2022 karta.png", "A 4365-2022")</f>
        <v/>
      </c>
      <c r="Y29">
        <f>HYPERLINK("https://klasma.github.io/Logging_2403/klagomål/A 4365-2022 FSC-klagomål.docx", "A 4365-2022")</f>
        <v/>
      </c>
      <c r="Z29">
        <f>HYPERLINK("https://klasma.github.io/Logging_2403/klagomålsmail/A 4365-2022 FSC-klagomål mail.docx", "A 4365-2022")</f>
        <v/>
      </c>
      <c r="AA29">
        <f>HYPERLINK("https://klasma.github.io/Logging_2403/tillsyn/A 4365-2022 tillsynsbegäran.docx", "A 4365-2022")</f>
        <v/>
      </c>
      <c r="AB29">
        <f>HYPERLINK("https://klasma.github.io/Logging_2403/tillsynsmail/A 4365-2022 tillsynsbegäran mail.docx", "A 4365-2022")</f>
        <v/>
      </c>
      <c r="AC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46219</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s="2" t="inlineStr">
        <is>
          <t>Lavskrika
Talltita
Kungsfågel</t>
        </is>
      </c>
      <c r="V30">
        <f>HYPERLINK("https://klasma.github.io/Logging_2403/artfynd/A 47593-2024 artfynd.xlsx", "A 47593-2024")</f>
        <v/>
      </c>
      <c r="W30">
        <f>HYPERLINK("https://klasma.github.io/Logging_2403/kartor/A 47593-2024 karta.png", "A 47593-2024")</f>
        <v/>
      </c>
      <c r="Y30">
        <f>HYPERLINK("https://klasma.github.io/Logging_2403/klagomål/A 47593-2024 FSC-klagomål.docx", "A 47593-2024")</f>
        <v/>
      </c>
      <c r="Z30">
        <f>HYPERLINK("https://klasma.github.io/Logging_2403/klagomålsmail/A 47593-2024 FSC-klagomål mail.docx", "A 47593-2024")</f>
        <v/>
      </c>
      <c r="AA30">
        <f>HYPERLINK("https://klasma.github.io/Logging_2403/tillsyn/A 47593-2024 tillsynsbegäran.docx", "A 47593-2024")</f>
        <v/>
      </c>
      <c r="AB30">
        <f>HYPERLINK("https://klasma.github.io/Logging_2403/tillsynsmail/A 47593-2024 tillsynsbegäran mail.docx", "A 47593-2024")</f>
        <v/>
      </c>
      <c r="AC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46219</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s="2" t="inlineStr">
        <is>
          <t>Garnlav
Gräddporing
Dropptaggsvamp</t>
        </is>
      </c>
      <c r="V31">
        <f>HYPERLINK("https://klasma.github.io/Logging_2403/artfynd/S 853-2025 artfynd.xlsx", "S 853-2025")</f>
        <v/>
      </c>
      <c r="W31">
        <f>HYPERLINK("https://klasma.github.io/Logging_2403/kartor/S 853-2025 karta.png", "S 853-2025")</f>
        <v/>
      </c>
      <c r="Y31">
        <f>HYPERLINK("https://klasma.github.io/Logging_2403/klagomål/S 853-2025 FSC-klagomål.docx", "S 853-2025")</f>
        <v/>
      </c>
      <c r="Z31">
        <f>HYPERLINK("https://klasma.github.io/Logging_2403/klagomålsmail/S 853-2025 FSC-klagomål mail.docx", "S 853-2025")</f>
        <v/>
      </c>
      <c r="AA31">
        <f>HYPERLINK("https://klasma.github.io/Logging_2403/tillsyn/S 853-2025 tillsynsbegäran.docx", "S 853-2025")</f>
        <v/>
      </c>
      <c r="AB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46219</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s="2" t="inlineStr">
        <is>
          <t>Lunglav
Spillkråka</t>
        </is>
      </c>
      <c r="V32">
        <f>HYPERLINK("https://klasma.github.io/Logging_2403/artfynd/A 6053-2022 artfynd.xlsx", "A 6053-2022")</f>
        <v/>
      </c>
      <c r="W32">
        <f>HYPERLINK("https://klasma.github.io/Logging_2403/kartor/A 6053-2022 karta.png", "A 6053-2022")</f>
        <v/>
      </c>
      <c r="Y32">
        <f>HYPERLINK("https://klasma.github.io/Logging_2403/klagomål/A 6053-2022 FSC-klagomål.docx", "A 6053-2022")</f>
        <v/>
      </c>
      <c r="Z32">
        <f>HYPERLINK("https://klasma.github.io/Logging_2403/klagomålsmail/A 6053-2022 FSC-klagomål mail.docx", "A 6053-2022")</f>
        <v/>
      </c>
      <c r="AA32">
        <f>HYPERLINK("https://klasma.github.io/Logging_2403/tillsyn/A 6053-2022 tillsynsbegäran.docx", "A 6053-2022")</f>
        <v/>
      </c>
      <c r="AB32">
        <f>HYPERLINK("https://klasma.github.io/Logging_2403/tillsynsmail/A 6053-2022 tillsynsbegäran mail.docx", "A 6053-2022")</f>
        <v/>
      </c>
      <c r="AC32">
        <f>HYPERLINK("https://klasma.github.io/Logging_2403/fåglar/A 6053-2022 prioriterade fågelarter.docx", "A 6053-2022")</f>
        <v/>
      </c>
    </row>
    <row r="33" ht="15" customHeight="1">
      <c r="A33" t="inlineStr">
        <is>
          <t>A 47592-2024</t>
        </is>
      </c>
      <c r="B33" t="inlineStr">
        <is>
          <t>avverkningsanmälan</t>
        </is>
      </c>
      <c r="C33" t="inlineStr">
        <is>
          <t>Föryngringsavverkning</t>
        </is>
      </c>
      <c r="D33" s="1" t="n">
        <v>45587</v>
      </c>
      <c r="E33" s="1" t="n">
        <v>46219</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s="2" t="inlineStr">
        <is>
          <t>Knärot
Lunglav</t>
        </is>
      </c>
      <c r="V33">
        <f>HYPERLINK("https://klasma.github.io/Logging_2403/artfynd/A 47592-2024 artfynd.xlsx", "A 47592-2024")</f>
        <v/>
      </c>
      <c r="W33">
        <f>HYPERLINK("https://klasma.github.io/Logging_2403/kartor/A 47592-2024 karta.png", "A 47592-2024")</f>
        <v/>
      </c>
      <c r="X33">
        <f>HYPERLINK("https://klasma.github.io/Logging_2403/knärot/A 47592-2024 karta knärot.png", "A 47592-2024")</f>
        <v/>
      </c>
      <c r="Y33">
        <f>HYPERLINK("https://klasma.github.io/Logging_2403/klagomål/A 47592-2024 FSC-klagomål.docx", "A 47592-2024")</f>
        <v/>
      </c>
      <c r="Z33">
        <f>HYPERLINK("https://klasma.github.io/Logging_2403/klagomålsmail/A 47592-2024 FSC-klagomål mail.docx", "A 47592-2024")</f>
        <v/>
      </c>
      <c r="AA33">
        <f>HYPERLINK("https://klasma.github.io/Logging_2403/tillsyn/A 47592-2024 tillsynsbegäran.docx", "A 47592-2024")</f>
        <v/>
      </c>
      <c r="AB33">
        <f>HYPERLINK("https://klasma.github.io/Logging_2403/tillsynsmail/A 47592-2024 tillsynsbegäran mail.docx", "A 47592-2024")</f>
        <v/>
      </c>
    </row>
    <row r="34" ht="15" customHeight="1">
      <c r="A34" t="inlineStr">
        <is>
          <t>A 21386-2024</t>
        </is>
      </c>
      <c r="B34" t="inlineStr">
        <is>
          <t>avverkningsanmälan</t>
        </is>
      </c>
      <c r="C34" t="inlineStr">
        <is>
          <t>Föryngringsavverkning</t>
        </is>
      </c>
      <c r="D34" s="1" t="n">
        <v>45440</v>
      </c>
      <c r="E34" s="1" t="n">
        <v>46219</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s="2" t="inlineStr">
        <is>
          <t>Gammelgransskål
Ullticka</t>
        </is>
      </c>
      <c r="V34">
        <f>HYPERLINK("https://klasma.github.io/Logging_2403/artfynd/A 21386-2024 artfynd.xlsx", "A 21386-2024")</f>
        <v/>
      </c>
      <c r="W34">
        <f>HYPERLINK("https://klasma.github.io/Logging_2403/kartor/A 21386-2024 karta.png", "A 21386-2024")</f>
        <v/>
      </c>
      <c r="Y34">
        <f>HYPERLINK("https://klasma.github.io/Logging_2403/klagomål/A 21386-2024 FSC-klagomål.docx", "A 21386-2024")</f>
        <v/>
      </c>
      <c r="Z34">
        <f>HYPERLINK("https://klasma.github.io/Logging_2403/klagomålsmail/A 21386-2024 FSC-klagomål mail.docx", "A 21386-2024")</f>
        <v/>
      </c>
      <c r="AA34">
        <f>HYPERLINK("https://klasma.github.io/Logging_2403/tillsyn/A 21386-2024 tillsynsbegäran.docx", "A 21386-2024")</f>
        <v/>
      </c>
      <c r="AB34">
        <f>HYPERLINK("https://klasma.github.io/Logging_2403/tillsynsmail/A 21386-2024 tillsynsbegäran mail.docx", "A 21386-2024")</f>
        <v/>
      </c>
    </row>
    <row r="35" ht="15" customHeight="1">
      <c r="A35" t="inlineStr">
        <is>
          <t>A 40911-2025</t>
        </is>
      </c>
      <c r="B35" t="inlineStr">
        <is>
          <t>avverkningsanmälan</t>
        </is>
      </c>
      <c r="C35" t="inlineStr">
        <is>
          <t>Föryngringsavverkning</t>
        </is>
      </c>
      <c r="D35" s="1" t="n">
        <v>45897</v>
      </c>
      <c r="E35" s="1" t="n">
        <v>46219</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s="2" t="inlineStr">
        <is>
          <t>Blå taggsvamp
Vaddporing</t>
        </is>
      </c>
      <c r="V35">
        <f>HYPERLINK("https://klasma.github.io/Logging_2403/artfynd/A 40911-2025 artfynd.xlsx", "A 40911-2025")</f>
        <v/>
      </c>
      <c r="W35">
        <f>HYPERLINK("https://klasma.github.io/Logging_2403/kartor/A 40911-2025 karta.png", "A 40911-2025")</f>
        <v/>
      </c>
      <c r="Y35">
        <f>HYPERLINK("https://klasma.github.io/Logging_2403/klagomål/A 40911-2025 FSC-klagomål.docx", "A 40911-2025")</f>
        <v/>
      </c>
      <c r="Z35">
        <f>HYPERLINK("https://klasma.github.io/Logging_2403/klagomålsmail/A 40911-2025 FSC-klagomål mail.docx", "A 40911-2025")</f>
        <v/>
      </c>
      <c r="AA35">
        <f>HYPERLINK("https://klasma.github.io/Logging_2403/tillsyn/A 40911-2025 tillsynsbegäran.docx", "A 40911-2025")</f>
        <v/>
      </c>
      <c r="AB35">
        <f>HYPERLINK("https://klasma.github.io/Logging_2403/tillsynsmail/A 40911-2025 tillsynsbegäran mail.docx", "A 40911-2025")</f>
        <v/>
      </c>
    </row>
    <row r="36" ht="15" customHeight="1">
      <c r="A36" t="inlineStr">
        <is>
          <t>A 30801-2026</t>
        </is>
      </c>
      <c r="B36" t="inlineStr">
        <is>
          <t>avverkningsanmälan</t>
        </is>
      </c>
      <c r="C36" t="inlineStr">
        <is>
          <t>Föryngringsavverkning</t>
        </is>
      </c>
      <c r="D36" s="1" t="n">
        <v>46205</v>
      </c>
      <c r="E36" s="1" t="n">
        <v>46219</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s="2" t="inlineStr">
        <is>
          <t>Blå taggsvamp
Skarp dropptaggsvamp</t>
        </is>
      </c>
      <c r="V36">
        <f>HYPERLINK("https://klasma.github.io/Logging_2403/artfynd/A 30801-2026 artfynd.xlsx", "A 30801-2026")</f>
        <v/>
      </c>
      <c r="W36">
        <f>HYPERLINK("https://klasma.github.io/Logging_2403/kartor/A 30801-2026 karta.png", "A 30801-2026")</f>
        <v/>
      </c>
      <c r="Y36">
        <f>HYPERLINK("https://klasma.github.io/Logging_2403/klagomål/A 30801-2026 FSC-klagomål.docx", "A 30801-2026")</f>
        <v/>
      </c>
      <c r="Z36">
        <f>HYPERLINK("https://klasma.github.io/Logging_2403/klagomålsmail/A 30801-2026 FSC-klagomål mail.docx", "A 30801-2026")</f>
        <v/>
      </c>
      <c r="AA36">
        <f>HYPERLINK("https://klasma.github.io/Logging_2403/tillsyn/A 30801-2026 tillsynsbegäran.docx", "A 30801-2026")</f>
        <v/>
      </c>
      <c r="AB36">
        <f>HYPERLINK("https://klasma.github.io/Logging_2403/tillsynsmail/A 30801-2026 tillsynsbegäran mail.docx", "A 30801-2026")</f>
        <v/>
      </c>
    </row>
    <row r="37" ht="15" customHeight="1">
      <c r="A37" t="inlineStr">
        <is>
          <t>A 20949-2023</t>
        </is>
      </c>
      <c r="B37" t="inlineStr">
        <is>
          <t>avverkningsanmälan</t>
        </is>
      </c>
      <c r="C37" t="inlineStr">
        <is>
          <t>Föryngringsavverkning</t>
        </is>
      </c>
      <c r="D37" s="1" t="n">
        <v>45056</v>
      </c>
      <c r="E37" s="1" t="n">
        <v>46219</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s="2" t="inlineStr">
        <is>
          <t>Silverblåvinge
Vitfläckig guldvinge</t>
        </is>
      </c>
      <c r="V37">
        <f>HYPERLINK("https://klasma.github.io/Logging_2403/artfynd/A 20949-2023 artfynd.xlsx", "A 20949-2023")</f>
        <v/>
      </c>
      <c r="W37">
        <f>HYPERLINK("https://klasma.github.io/Logging_2403/kartor/A 20949-2023 karta.png", "A 20949-2023")</f>
        <v/>
      </c>
      <c r="Y37">
        <f>HYPERLINK("https://klasma.github.io/Logging_2403/klagomål/A 20949-2023 FSC-klagomål.docx", "A 20949-2023")</f>
        <v/>
      </c>
      <c r="Z37">
        <f>HYPERLINK("https://klasma.github.io/Logging_2403/klagomålsmail/A 20949-2023 FSC-klagomål mail.docx", "A 20949-2023")</f>
        <v/>
      </c>
      <c r="AA37">
        <f>HYPERLINK("https://klasma.github.io/Logging_2403/tillsyn/A 20949-2023 tillsynsbegäran.docx", "A 20949-2023")</f>
        <v/>
      </c>
      <c r="AB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46219</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s="2" t="inlineStr">
        <is>
          <t>Spillkråka
Fläcknycklar</t>
        </is>
      </c>
      <c r="V38">
        <f>HYPERLINK("https://klasma.github.io/Logging_2403/artfynd/A 23181-2024 artfynd.xlsx", "A 23181-2024")</f>
        <v/>
      </c>
      <c r="W38">
        <f>HYPERLINK("https://klasma.github.io/Logging_2403/kartor/A 23181-2024 karta.png", "A 23181-2024")</f>
        <v/>
      </c>
      <c r="Y38">
        <f>HYPERLINK("https://klasma.github.io/Logging_2403/klagomål/A 23181-2024 FSC-klagomål.docx", "A 23181-2024")</f>
        <v/>
      </c>
      <c r="Z38">
        <f>HYPERLINK("https://klasma.github.io/Logging_2403/klagomålsmail/A 23181-2024 FSC-klagomål mail.docx", "A 23181-2024")</f>
        <v/>
      </c>
      <c r="AA38">
        <f>HYPERLINK("https://klasma.github.io/Logging_2403/tillsyn/A 23181-2024 tillsynsbegäran.docx", "A 23181-2024")</f>
        <v/>
      </c>
      <c r="AB38">
        <f>HYPERLINK("https://klasma.github.io/Logging_2403/tillsynsmail/A 23181-2024 tillsynsbegäran mail.docx", "A 23181-2024")</f>
        <v/>
      </c>
      <c r="AC38">
        <f>HYPERLINK("https://klasma.github.io/Logging_2403/fåglar/A 23181-2024 prioriterade fågelarter.docx", "A 23181-2024")</f>
        <v/>
      </c>
    </row>
    <row r="39" ht="15" customHeight="1">
      <c r="A39" t="inlineStr">
        <is>
          <t>A 53117-2025</t>
        </is>
      </c>
      <c r="B39" t="inlineStr">
        <is>
          <t>avverkningsanmälan</t>
        </is>
      </c>
      <c r="C39" t="inlineStr">
        <is>
          <t>Föryngringsavverkning</t>
        </is>
      </c>
      <c r="D39" s="1" t="n">
        <v>45958</v>
      </c>
      <c r="E39" s="1" t="n">
        <v>46219</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s="2" t="inlineStr">
        <is>
          <t>Rosenticka
Svart trolldruva</t>
        </is>
      </c>
      <c r="V39">
        <f>HYPERLINK("https://klasma.github.io/Logging_2403/artfynd/A 53117-2025 artfynd.xlsx", "A 53117-2025")</f>
        <v/>
      </c>
      <c r="W39">
        <f>HYPERLINK("https://klasma.github.io/Logging_2403/kartor/A 53117-2025 karta.png", "A 53117-2025")</f>
        <v/>
      </c>
      <c r="Y39">
        <f>HYPERLINK("https://klasma.github.io/Logging_2403/klagomål/A 53117-2025 FSC-klagomål.docx", "A 53117-2025")</f>
        <v/>
      </c>
      <c r="Z39">
        <f>HYPERLINK("https://klasma.github.io/Logging_2403/klagomålsmail/A 53117-2025 FSC-klagomål mail.docx", "A 53117-2025")</f>
        <v/>
      </c>
      <c r="AA39">
        <f>HYPERLINK("https://klasma.github.io/Logging_2403/tillsyn/A 53117-2025 tillsynsbegäran.docx", "A 53117-2025")</f>
        <v/>
      </c>
      <c r="AB39">
        <f>HYPERLINK("https://klasma.github.io/Logging_2403/tillsynsmail/A 53117-2025 tillsynsbegäran mail.docx", "A 53117-2025")</f>
        <v/>
      </c>
    </row>
    <row r="40" ht="15" customHeight="1">
      <c r="A40" t="inlineStr">
        <is>
          <t>A 11689-2026</t>
        </is>
      </c>
      <c r="B40" t="inlineStr">
        <is>
          <t>avverkningsanmälan</t>
        </is>
      </c>
      <c r="C40" t="inlineStr">
        <is>
          <t>Föryngringsavverkning</t>
        </is>
      </c>
      <c r="D40" s="1" t="n">
        <v>46084</v>
      </c>
      <c r="E40" s="1" t="n">
        <v>46219</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s="2" t="inlineStr">
        <is>
          <t>Lunglav
Stiftgelélav</t>
        </is>
      </c>
      <c r="V40">
        <f>HYPERLINK("https://klasma.github.io/Logging_2403/artfynd/A 11689-2026 artfynd.xlsx", "A 11689-2026")</f>
        <v/>
      </c>
      <c r="W40">
        <f>HYPERLINK("https://klasma.github.io/Logging_2403/kartor/A 11689-2026 karta.png", "A 11689-2026")</f>
        <v/>
      </c>
      <c r="X40">
        <f>HYPERLINK("https://klasma.github.io/Logging_2403/knärot/A 11689-2026 karta knärot.png", "A 11689-2026")</f>
        <v/>
      </c>
      <c r="Y40">
        <f>HYPERLINK("https://klasma.github.io/Logging_2403/klagomål/A 11689-2026 FSC-klagomål.docx", "A 11689-2026")</f>
        <v/>
      </c>
      <c r="Z40">
        <f>HYPERLINK("https://klasma.github.io/Logging_2403/klagomålsmail/A 11689-2026 FSC-klagomål mail.docx", "A 11689-2026")</f>
        <v/>
      </c>
      <c r="AA40">
        <f>HYPERLINK("https://klasma.github.io/Logging_2403/tillsyn/A 11689-2026 tillsynsbegäran.docx", "A 11689-2026")</f>
        <v/>
      </c>
      <c r="AB40">
        <f>HYPERLINK("https://klasma.github.io/Logging_2403/tillsynsmail/A 11689-2026 tillsynsbegäran mail.docx", "A 11689-2026")</f>
        <v/>
      </c>
    </row>
    <row r="41" ht="15" customHeight="1">
      <c r="A41" t="inlineStr">
        <is>
          <t>A 62082-2022</t>
        </is>
      </c>
      <c r="B41" t="inlineStr">
        <is>
          <t>avverkningsanmälan</t>
        </is>
      </c>
      <c r="C41" t="inlineStr">
        <is>
          <t>Föryngringsavverkning</t>
        </is>
      </c>
      <c r="D41" s="1" t="n">
        <v>44918</v>
      </c>
      <c r="E41" s="1" t="n">
        <v>46219</v>
      </c>
      <c r="F41" t="inlineStr">
        <is>
          <t>VÄSTERBOTTENS LÄN</t>
        </is>
      </c>
      <c r="G41" t="inlineStr">
        <is>
          <t>BJURHOLM</t>
        </is>
      </c>
      <c r="H41" t="inlineStr">
        <is>
          <t>SCA</t>
        </is>
      </c>
      <c r="I41" t="n">
        <v>3.8</v>
      </c>
      <c r="J41" t="n">
        <v>1</v>
      </c>
      <c r="K41" t="n">
        <v>0</v>
      </c>
      <c r="L41" t="n">
        <v>1</v>
      </c>
      <c r="M41" t="n">
        <v>1</v>
      </c>
      <c r="N41" t="n">
        <v>0</v>
      </c>
      <c r="O41" t="n">
        <v>0</v>
      </c>
      <c r="P41" t="n">
        <v>0</v>
      </c>
      <c r="Q41" t="n">
        <v>2</v>
      </c>
      <c r="R41" t="n">
        <v>1</v>
      </c>
      <c r="S41" t="n">
        <v>2</v>
      </c>
      <c r="T41" t="n">
        <v>2</v>
      </c>
      <c r="U41" s="2" t="inlineStr">
        <is>
          <t>Knärot
Älg</t>
        </is>
      </c>
      <c r="V41">
        <f>HYPERLINK("https://klasma.github.io/Logging_2403/artfynd/A 62082-2022 artfynd.xlsx", "A 62082-2022")</f>
        <v/>
      </c>
      <c r="W41">
        <f>HYPERLINK("https://klasma.github.io/Logging_2403/kartor/A 62082-2022 karta.png", "A 62082-2022")</f>
        <v/>
      </c>
      <c r="X41">
        <f>HYPERLINK("https://klasma.github.io/Logging_2403/knärot/A 62082-2022 karta knärot.png", "A 62082-2022")</f>
        <v/>
      </c>
      <c r="Y41">
        <f>HYPERLINK("https://klasma.github.io/Logging_2403/klagomål/A 62082-2022 FSC-klagomål.docx", "A 62082-2022")</f>
        <v/>
      </c>
      <c r="Z41">
        <f>HYPERLINK("https://klasma.github.io/Logging_2403/klagomålsmail/A 62082-2022 FSC-klagomål mail.docx", "A 62082-2022")</f>
        <v/>
      </c>
      <c r="AA41">
        <f>HYPERLINK("https://klasma.github.io/Logging_2403/tillsyn/A 62082-2022 tillsynsbegäran.docx", "A 62082-2022")</f>
        <v/>
      </c>
      <c r="AB41">
        <f>HYPERLINK("https://klasma.github.io/Logging_2403/tillsynsmail/A 62082-2022 tillsynsbegäran mail.docx", "A 62082-2022")</f>
        <v/>
      </c>
    </row>
    <row r="42" ht="15" customHeight="1">
      <c r="A42" t="inlineStr">
        <is>
          <t>A 31116-2025</t>
        </is>
      </c>
      <c r="B42" t="inlineStr">
        <is>
          <t>avverkningsanmälan</t>
        </is>
      </c>
      <c r="C42" t="inlineStr">
        <is>
          <t>Föryngringsavverkning</t>
        </is>
      </c>
      <c r="D42" s="1" t="n">
        <v>45832</v>
      </c>
      <c r="E42" s="1" t="n">
        <v>46219</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s="2" t="inlineStr">
        <is>
          <t>Brunpudrad nållav
Lunglav</t>
        </is>
      </c>
      <c r="V42">
        <f>HYPERLINK("https://klasma.github.io/Logging_2403/artfynd/A 31116-2025 artfynd.xlsx", "A 31116-2025")</f>
        <v/>
      </c>
      <c r="W42">
        <f>HYPERLINK("https://klasma.github.io/Logging_2403/kartor/A 31116-2025 karta.png", "A 31116-2025")</f>
        <v/>
      </c>
      <c r="Y42">
        <f>HYPERLINK("https://klasma.github.io/Logging_2403/klagomål/A 31116-2025 FSC-klagomål.docx", "A 31116-2025")</f>
        <v/>
      </c>
      <c r="Z42">
        <f>HYPERLINK("https://klasma.github.io/Logging_2403/klagomålsmail/A 31116-2025 FSC-klagomål mail.docx", "A 31116-2025")</f>
        <v/>
      </c>
      <c r="AA42">
        <f>HYPERLINK("https://klasma.github.io/Logging_2403/tillsyn/A 31116-2025 tillsynsbegäran.docx", "A 31116-2025")</f>
        <v/>
      </c>
      <c r="AB42">
        <f>HYPERLINK("https://klasma.github.io/Logging_2403/tillsynsmail/A 31116-2025 tillsynsbegäran mail.docx", "A 31116-2025")</f>
        <v/>
      </c>
    </row>
    <row r="43" ht="15" customHeight="1">
      <c r="A43" t="inlineStr">
        <is>
          <t>A 7907-2022</t>
        </is>
      </c>
      <c r="B43" t="inlineStr">
        <is>
          <t>avverkningsanmälan</t>
        </is>
      </c>
      <c r="C43" t="inlineStr">
        <is>
          <t>Föryngringsavverkning</t>
        </is>
      </c>
      <c r="D43" s="1" t="n">
        <v>44608</v>
      </c>
      <c r="E43" s="1" t="n">
        <v>46219</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s="2" t="inlineStr">
        <is>
          <t>Lunglav</t>
        </is>
      </c>
      <c r="V43">
        <f>HYPERLINK("https://klasma.github.io/Logging_2403/artfynd/A 7907-2022 artfynd.xlsx", "A 7907-2022")</f>
        <v/>
      </c>
      <c r="W43">
        <f>HYPERLINK("https://klasma.github.io/Logging_2403/kartor/A 7907-2022 karta.png", "A 7907-2022")</f>
        <v/>
      </c>
      <c r="Y43">
        <f>HYPERLINK("https://klasma.github.io/Logging_2403/klagomål/A 7907-2022 FSC-klagomål.docx", "A 7907-2022")</f>
        <v/>
      </c>
      <c r="Z43">
        <f>HYPERLINK("https://klasma.github.io/Logging_2403/klagomålsmail/A 7907-2022 FSC-klagomål mail.docx", "A 7907-2022")</f>
        <v/>
      </c>
      <c r="AA43">
        <f>HYPERLINK("https://klasma.github.io/Logging_2403/tillsyn/A 7907-2022 tillsynsbegäran.docx", "A 7907-2022")</f>
        <v/>
      </c>
      <c r="AB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46219</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s="2" t="inlineStr">
        <is>
          <t>Garnlav</t>
        </is>
      </c>
      <c r="V44">
        <f>HYPERLINK("https://klasma.github.io/Logging_2403/artfynd/A 57653-2022 artfynd.xlsx", "A 57653-2022")</f>
        <v/>
      </c>
      <c r="W44">
        <f>HYPERLINK("https://klasma.github.io/Logging_2403/kartor/A 57653-2022 karta.png", "A 57653-2022")</f>
        <v/>
      </c>
      <c r="Y44">
        <f>HYPERLINK("https://klasma.github.io/Logging_2403/klagomål/A 57653-2022 FSC-klagomål.docx", "A 57653-2022")</f>
        <v/>
      </c>
      <c r="Z44">
        <f>HYPERLINK("https://klasma.github.io/Logging_2403/klagomålsmail/A 57653-2022 FSC-klagomål mail.docx", "A 57653-2022")</f>
        <v/>
      </c>
      <c r="AA44">
        <f>HYPERLINK("https://klasma.github.io/Logging_2403/tillsyn/A 57653-2022 tillsynsbegäran.docx", "A 57653-2022")</f>
        <v/>
      </c>
      <c r="AB44">
        <f>HYPERLINK("https://klasma.github.io/Logging_2403/tillsynsmail/A 57653-2022 tillsynsbegäran mail.docx", "A 57653-2022")</f>
        <v/>
      </c>
    </row>
    <row r="45" ht="15" customHeight="1">
      <c r="A45" t="inlineStr">
        <is>
          <t>A 15699-2024</t>
        </is>
      </c>
      <c r="B45" t="inlineStr">
        <is>
          <t>avverkningsanmälan</t>
        </is>
      </c>
      <c r="C45" t="inlineStr">
        <is>
          <t>Föryngringsavverkning</t>
        </is>
      </c>
      <c r="D45" s="1" t="n">
        <v>45404</v>
      </c>
      <c r="E45" s="1" t="n">
        <v>46219</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s="2" t="inlineStr">
        <is>
          <t>Dropptaggsvamp</t>
        </is>
      </c>
      <c r="V45">
        <f>HYPERLINK("https://klasma.github.io/Logging_2403/artfynd/A 15699-2024 artfynd.xlsx", "A 15699-2024")</f>
        <v/>
      </c>
      <c r="W45">
        <f>HYPERLINK("https://klasma.github.io/Logging_2403/kartor/A 15699-2024 karta.png", "A 15699-2024")</f>
        <v/>
      </c>
      <c r="Y45">
        <f>HYPERLINK("https://klasma.github.io/Logging_2403/klagomål/A 15699-2024 FSC-klagomål.docx", "A 15699-2024")</f>
        <v/>
      </c>
      <c r="Z45">
        <f>HYPERLINK("https://klasma.github.io/Logging_2403/klagomålsmail/A 15699-2024 FSC-klagomål mail.docx", "A 15699-2024")</f>
        <v/>
      </c>
      <c r="AA45">
        <f>HYPERLINK("https://klasma.github.io/Logging_2403/tillsyn/A 15699-2024 tillsynsbegäran.docx", "A 15699-2024")</f>
        <v/>
      </c>
      <c r="AB45">
        <f>HYPERLINK("https://klasma.github.io/Logging_2403/tillsynsmail/A 15699-2024 tillsynsbegäran mail.docx", "A 15699-2024")</f>
        <v/>
      </c>
    </row>
    <row r="46" ht="15" customHeight="1">
      <c r="A46" t="inlineStr">
        <is>
          <t>A 16145-2022</t>
        </is>
      </c>
      <c r="B46" t="inlineStr">
        <is>
          <t>avverkningsanmälan</t>
        </is>
      </c>
      <c r="C46" t="inlineStr">
        <is>
          <t>Föryngringsavverkning</t>
        </is>
      </c>
      <c r="D46" s="1" t="n">
        <v>44665</v>
      </c>
      <c r="E46" s="1" t="n">
        <v>46219</v>
      </c>
      <c r="F46" t="inlineStr">
        <is>
          <t>VÄSTERBOTTENS LÄN</t>
        </is>
      </c>
      <c r="G46" t="inlineStr">
        <is>
          <t>BJURHOLM</t>
        </is>
      </c>
      <c r="H46" t="inlineStr">
        <is>
          <t>SCA</t>
        </is>
      </c>
      <c r="I46" t="n">
        <v>5.9</v>
      </c>
      <c r="J46" t="n">
        <v>0</v>
      </c>
      <c r="K46" t="n">
        <v>1</v>
      </c>
      <c r="L46" t="n">
        <v>0</v>
      </c>
      <c r="M46" t="n">
        <v>0</v>
      </c>
      <c r="N46" t="n">
        <v>0</v>
      </c>
      <c r="O46" t="n">
        <v>0</v>
      </c>
      <c r="P46" t="n">
        <v>0</v>
      </c>
      <c r="Q46" t="n">
        <v>0</v>
      </c>
      <c r="R46" t="n">
        <v>0</v>
      </c>
      <c r="S46" t="n">
        <v>1</v>
      </c>
      <c r="T46" t="n">
        <v>1</v>
      </c>
      <c r="U46" s="2" t="inlineStr">
        <is>
          <t>Stor aspticka</t>
        </is>
      </c>
      <c r="V46">
        <f>HYPERLINK("https://klasma.github.io/Logging_2403/artfynd/A 16145-2022 artfynd.xlsx", "A 16145-2022")</f>
        <v/>
      </c>
      <c r="W46">
        <f>HYPERLINK("https://klasma.github.io/Logging_2403/kartor/A 16145-2022 karta.png", "A 16145-2022")</f>
        <v/>
      </c>
      <c r="Y46">
        <f>HYPERLINK("https://klasma.github.io/Logging_2403/klagomål/A 16145-2022 FSC-klagomål.docx", "A 16145-2022")</f>
        <v/>
      </c>
      <c r="Z46">
        <f>HYPERLINK("https://klasma.github.io/Logging_2403/klagomålsmail/A 16145-2022 FSC-klagomål mail.docx", "A 16145-2022")</f>
        <v/>
      </c>
      <c r="AA46">
        <f>HYPERLINK("https://klasma.github.io/Logging_2403/tillsyn/A 16145-2022 tillsynsbegäran.docx", "A 16145-2022")</f>
        <v/>
      </c>
      <c r="AB46">
        <f>HYPERLINK("https://klasma.github.io/Logging_2403/tillsynsmail/A 16145-2022 tillsynsbegäran mail.docx", "A 16145-2022")</f>
        <v/>
      </c>
    </row>
    <row r="47" ht="15" customHeight="1">
      <c r="A47" t="inlineStr">
        <is>
          <t>A 32506-2024</t>
        </is>
      </c>
      <c r="B47" t="inlineStr">
        <is>
          <t>avverkningsanmälan</t>
        </is>
      </c>
      <c r="C47" t="inlineStr">
        <is>
          <t>Föryngringsavverkning</t>
        </is>
      </c>
      <c r="D47" s="1" t="n">
        <v>45513</v>
      </c>
      <c r="E47" s="1" t="n">
        <v>46219</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s="2" t="inlineStr">
        <is>
          <t>Tretåig hackspett</t>
        </is>
      </c>
      <c r="V47">
        <f>HYPERLINK("https://klasma.github.io/Logging_2403/artfynd/A 32506-2024 artfynd.xlsx", "A 32506-2024")</f>
        <v/>
      </c>
      <c r="W47">
        <f>HYPERLINK("https://klasma.github.io/Logging_2403/kartor/A 32506-2024 karta.png", "A 32506-2024")</f>
        <v/>
      </c>
      <c r="Y47">
        <f>HYPERLINK("https://klasma.github.io/Logging_2403/klagomål/A 32506-2024 FSC-klagomål.docx", "A 32506-2024")</f>
        <v/>
      </c>
      <c r="Z47">
        <f>HYPERLINK("https://klasma.github.io/Logging_2403/klagomålsmail/A 32506-2024 FSC-klagomål mail.docx", "A 32506-2024")</f>
        <v/>
      </c>
      <c r="AA47">
        <f>HYPERLINK("https://klasma.github.io/Logging_2403/tillsyn/A 32506-2024 tillsynsbegäran.docx", "A 32506-2024")</f>
        <v/>
      </c>
      <c r="AB47">
        <f>HYPERLINK("https://klasma.github.io/Logging_2403/tillsynsmail/A 32506-2024 tillsynsbegäran mail.docx", "A 32506-2024")</f>
        <v/>
      </c>
      <c r="AC47">
        <f>HYPERLINK("https://klasma.github.io/Logging_2403/fåglar/A 32506-2024 prioriterade fågelarter.docx", "A 32506-2024")</f>
        <v/>
      </c>
    </row>
    <row r="48" ht="15" customHeight="1">
      <c r="A48" t="inlineStr">
        <is>
          <t>A 94-2025</t>
        </is>
      </c>
      <c r="B48" t="inlineStr">
        <is>
          <t>avverkningsanmälan</t>
        </is>
      </c>
      <c r="C48" t="inlineStr">
        <is>
          <t>Föryngringsavverkning</t>
        </is>
      </c>
      <c r="D48" s="1" t="n">
        <v>45659</v>
      </c>
      <c r="E48" s="1" t="n">
        <v>46219</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s="2" t="inlineStr">
        <is>
          <t>Violettgrå tagellav</t>
        </is>
      </c>
      <c r="V48">
        <f>HYPERLINK("https://klasma.github.io/Logging_2403/artfynd/A 94-2025 artfynd.xlsx", "A 94-2025")</f>
        <v/>
      </c>
      <c r="W48">
        <f>HYPERLINK("https://klasma.github.io/Logging_2403/kartor/A 94-2025 karta.png", "A 94-2025")</f>
        <v/>
      </c>
      <c r="Y48">
        <f>HYPERLINK("https://klasma.github.io/Logging_2403/klagomål/A 94-2025 FSC-klagomål.docx", "A 94-2025")</f>
        <v/>
      </c>
      <c r="Z48">
        <f>HYPERLINK("https://klasma.github.io/Logging_2403/klagomålsmail/A 94-2025 FSC-klagomål mail.docx", "A 94-2025")</f>
        <v/>
      </c>
      <c r="AA48">
        <f>HYPERLINK("https://klasma.github.io/Logging_2403/tillsyn/A 94-2025 tillsynsbegäran.docx", "A 94-2025")</f>
        <v/>
      </c>
      <c r="AB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46219</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s="2" t="inlineStr">
        <is>
          <t>Dropptaggsvamp</t>
        </is>
      </c>
      <c r="V49">
        <f>HYPERLINK("https://klasma.github.io/Logging_2403/artfynd/A 23993-2026 artfynd.xlsx", "A 23993-2026")</f>
        <v/>
      </c>
      <c r="W49">
        <f>HYPERLINK("https://klasma.github.io/Logging_2403/kartor/A 23993-2026 karta.png", "A 23993-2026")</f>
        <v/>
      </c>
      <c r="Y49">
        <f>HYPERLINK("https://klasma.github.io/Logging_2403/klagomål/A 23993-2026 FSC-klagomål.docx", "A 23993-2026")</f>
        <v/>
      </c>
      <c r="Z49">
        <f>HYPERLINK("https://klasma.github.io/Logging_2403/klagomålsmail/A 23993-2026 FSC-klagomål mail.docx", "A 23993-2026")</f>
        <v/>
      </c>
      <c r="AA49">
        <f>HYPERLINK("https://klasma.github.io/Logging_2403/tillsyn/A 23993-2026 tillsynsbegäran.docx", "A 23993-2026")</f>
        <v/>
      </c>
      <c r="AB49">
        <f>HYPERLINK("https://klasma.github.io/Logging_2403/tillsynsmail/A 23993-2026 tillsynsbegäran mail.docx", "A 23993-2026")</f>
        <v/>
      </c>
    </row>
    <row r="50" ht="15" customHeight="1">
      <c r="A50" t="inlineStr">
        <is>
          <t>A 56442-2025</t>
        </is>
      </c>
      <c r="B50" t="inlineStr">
        <is>
          <t>avverkningsanmälan</t>
        </is>
      </c>
      <c r="C50" t="inlineStr">
        <is>
          <t>Föryngringsavverkning</t>
        </is>
      </c>
      <c r="D50" s="1" t="n">
        <v>45975</v>
      </c>
      <c r="E50" s="1" t="n">
        <v>46219</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s="2" t="inlineStr">
        <is>
          <t>Lunglav</t>
        </is>
      </c>
      <c r="V50">
        <f>HYPERLINK("https://klasma.github.io/Logging_2403/artfynd/A 56442-2025 artfynd.xlsx", "A 56442-2025")</f>
        <v/>
      </c>
      <c r="W50">
        <f>HYPERLINK("https://klasma.github.io/Logging_2403/kartor/A 56442-2025 karta.png", "A 56442-2025")</f>
        <v/>
      </c>
      <c r="Y50">
        <f>HYPERLINK("https://klasma.github.io/Logging_2403/klagomål/A 56442-2025 FSC-klagomål.docx", "A 56442-2025")</f>
        <v/>
      </c>
      <c r="Z50">
        <f>HYPERLINK("https://klasma.github.io/Logging_2403/klagomålsmail/A 56442-2025 FSC-klagomål mail.docx", "A 56442-2025")</f>
        <v/>
      </c>
      <c r="AA50">
        <f>HYPERLINK("https://klasma.github.io/Logging_2403/tillsyn/A 56442-2025 tillsynsbegäran.docx", "A 56442-2025")</f>
        <v/>
      </c>
      <c r="AB50">
        <f>HYPERLINK("https://klasma.github.io/Logging_2403/tillsynsmail/A 56442-2025 tillsynsbegäran mail.docx", "A 56442-2025")</f>
        <v/>
      </c>
    </row>
    <row r="51" ht="15" customHeight="1">
      <c r="A51" t="inlineStr">
        <is>
          <t>A 63205-2025</t>
        </is>
      </c>
      <c r="B51" t="inlineStr">
        <is>
          <t>avverkningsanmälan</t>
        </is>
      </c>
      <c r="C51" t="inlineStr">
        <is>
          <t>Föryngringsavverkning</t>
        </is>
      </c>
      <c r="D51" s="1" t="n">
        <v>46010</v>
      </c>
      <c r="E51" s="1" t="n">
        <v>46219</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s="2" t="inlineStr">
        <is>
          <t>Stor aspticka</t>
        </is>
      </c>
      <c r="V51">
        <f>HYPERLINK("https://klasma.github.io/Logging_2403/artfynd/A 63205-2025 artfynd.xlsx", "A 63205-2025")</f>
        <v/>
      </c>
      <c r="W51">
        <f>HYPERLINK("https://klasma.github.io/Logging_2403/kartor/A 63205-2025 karta.png", "A 63205-2025")</f>
        <v/>
      </c>
      <c r="Y51">
        <f>HYPERLINK("https://klasma.github.io/Logging_2403/klagomål/A 63205-2025 FSC-klagomål.docx", "A 63205-2025")</f>
        <v/>
      </c>
      <c r="Z51">
        <f>HYPERLINK("https://klasma.github.io/Logging_2403/klagomålsmail/A 63205-2025 FSC-klagomål mail.docx", "A 63205-2025")</f>
        <v/>
      </c>
      <c r="AA51">
        <f>HYPERLINK("https://klasma.github.io/Logging_2403/tillsyn/A 63205-2025 tillsynsbegäran.docx", "A 63205-2025")</f>
        <v/>
      </c>
      <c r="AB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46219</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s="2" t="inlineStr">
        <is>
          <t>Garnlav</t>
        </is>
      </c>
      <c r="V52">
        <f>HYPERLINK("https://klasma.github.io/Logging_2403/artfynd/A 63528-2025 artfynd.xlsx", "A 63528-2025")</f>
        <v/>
      </c>
      <c r="W52">
        <f>HYPERLINK("https://klasma.github.io/Logging_2403/kartor/A 63528-2025 karta.png", "A 63528-2025")</f>
        <v/>
      </c>
      <c r="Y52">
        <f>HYPERLINK("https://klasma.github.io/Logging_2403/klagomål/A 63528-2025 FSC-klagomål.docx", "A 63528-2025")</f>
        <v/>
      </c>
      <c r="Z52">
        <f>HYPERLINK("https://klasma.github.io/Logging_2403/klagomålsmail/A 63528-2025 FSC-klagomål mail.docx", "A 63528-2025")</f>
        <v/>
      </c>
      <c r="AA52">
        <f>HYPERLINK("https://klasma.github.io/Logging_2403/tillsyn/A 63528-2025 tillsynsbegäran.docx", "A 63528-2025")</f>
        <v/>
      </c>
      <c r="AB52">
        <f>HYPERLINK("https://klasma.github.io/Logging_2403/tillsynsmail/A 63528-2025 tillsynsbegäran mail.docx", "A 63528-2025")</f>
        <v/>
      </c>
    </row>
    <row r="53" ht="15" customHeight="1">
      <c r="A53" t="inlineStr">
        <is>
          <t>A 58948-2023</t>
        </is>
      </c>
      <c r="B53" t="inlineStr">
        <is>
          <t>avverkningsanmälan</t>
        </is>
      </c>
      <c r="C53" t="inlineStr">
        <is>
          <t>Föryngringsavverkning</t>
        </is>
      </c>
      <c r="D53" s="1" t="n">
        <v>45252</v>
      </c>
      <c r="E53" s="1" t="n">
        <v>46219</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s="2" t="inlineStr">
        <is>
          <t>Lunglav</t>
        </is>
      </c>
      <c r="V53">
        <f>HYPERLINK("https://klasma.github.io/Logging_2403/artfynd/A 58948-2023 artfynd.xlsx", "A 58948-2023")</f>
        <v/>
      </c>
      <c r="W53">
        <f>HYPERLINK("https://klasma.github.io/Logging_2403/kartor/A 58948-2023 karta.png", "A 58948-2023")</f>
        <v/>
      </c>
      <c r="Y53">
        <f>HYPERLINK("https://klasma.github.io/Logging_2403/klagomål/A 58948-2023 FSC-klagomål.docx", "A 58948-2023")</f>
        <v/>
      </c>
      <c r="Z53">
        <f>HYPERLINK("https://klasma.github.io/Logging_2403/klagomålsmail/A 58948-2023 FSC-klagomål mail.docx", "A 58948-2023")</f>
        <v/>
      </c>
      <c r="AA53">
        <f>HYPERLINK("https://klasma.github.io/Logging_2403/tillsyn/A 58948-2023 tillsynsbegäran.docx", "A 58948-2023")</f>
        <v/>
      </c>
      <c r="AB53">
        <f>HYPERLINK("https://klasma.github.io/Logging_2403/tillsynsmail/A 58948-2023 tillsynsbegäran mail.docx", "A 58948-2023")</f>
        <v/>
      </c>
    </row>
    <row r="54" ht="15" customHeight="1">
      <c r="A54" t="inlineStr">
        <is>
          <t>A 12403-2026</t>
        </is>
      </c>
      <c r="B54" t="inlineStr">
        <is>
          <t>avverkningsanmälan</t>
        </is>
      </c>
      <c r="C54" t="inlineStr">
        <is>
          <t>Föryngringsavverkning</t>
        </is>
      </c>
      <c r="D54" s="1" t="n">
        <v>46090</v>
      </c>
      <c r="E54" s="1" t="n">
        <v>46219</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s="2" t="inlineStr">
        <is>
          <t>Skinnlav</t>
        </is>
      </c>
      <c r="V54">
        <f>HYPERLINK("https://klasma.github.io/Logging_2403/artfynd/A 12403-2026 artfynd.xlsx", "A 12403-2026")</f>
        <v/>
      </c>
      <c r="W54">
        <f>HYPERLINK("https://klasma.github.io/Logging_2403/kartor/A 12403-2026 karta.png", "A 12403-2026")</f>
        <v/>
      </c>
      <c r="Y54">
        <f>HYPERLINK("https://klasma.github.io/Logging_2403/klagomål/A 12403-2026 FSC-klagomål.docx", "A 12403-2026")</f>
        <v/>
      </c>
      <c r="Z54">
        <f>HYPERLINK("https://klasma.github.io/Logging_2403/klagomålsmail/A 12403-2026 FSC-klagomål mail.docx", "A 12403-2026")</f>
        <v/>
      </c>
      <c r="AA54">
        <f>HYPERLINK("https://klasma.github.io/Logging_2403/tillsyn/A 12403-2026 tillsynsbegäran.docx", "A 12403-2026")</f>
        <v/>
      </c>
      <c r="AB54">
        <f>HYPERLINK("https://klasma.github.io/Logging_2403/tillsynsmail/A 12403-2026 tillsynsbegäran mail.docx", "A 12403-2026")</f>
        <v/>
      </c>
    </row>
    <row r="55" ht="15" customHeight="1">
      <c r="A55" t="inlineStr">
        <is>
          <t>A 13629-2026</t>
        </is>
      </c>
      <c r="B55" t="inlineStr">
        <is>
          <t>avverkningsanmälan</t>
        </is>
      </c>
      <c r="C55" t="inlineStr">
        <is>
          <t>Föryngringsavverkning</t>
        </is>
      </c>
      <c r="D55" s="1" t="n">
        <v>46094</v>
      </c>
      <c r="E55" s="1" t="n">
        <v>46219</v>
      </c>
      <c r="F55" t="inlineStr">
        <is>
          <t>VÄSTERBOTTENS LÄN</t>
        </is>
      </c>
      <c r="G55" t="inlineStr">
        <is>
          <t>BJURHOLM</t>
        </is>
      </c>
      <c r="I55" t="n">
        <v>24.2</v>
      </c>
      <c r="J55" t="n">
        <v>0</v>
      </c>
      <c r="K55" t="n">
        <v>0</v>
      </c>
      <c r="L55" t="n">
        <v>1</v>
      </c>
      <c r="M55" t="n">
        <v>0</v>
      </c>
      <c r="N55" t="n">
        <v>0</v>
      </c>
      <c r="O55" t="n">
        <v>0</v>
      </c>
      <c r="P55" t="n">
        <v>0</v>
      </c>
      <c r="Q55" t="n">
        <v>1</v>
      </c>
      <c r="R55" t="n">
        <v>0</v>
      </c>
      <c r="S55" t="n">
        <v>1</v>
      </c>
      <c r="T55" t="n">
        <v>1</v>
      </c>
      <c r="U55" s="2" t="inlineStr">
        <is>
          <t>Sotvaxskivling</t>
        </is>
      </c>
      <c r="V55">
        <f>HYPERLINK("https://klasma.github.io/Logging_2403/artfynd/A 13629-2026 artfynd.xlsx", "A 13629-2026")</f>
        <v/>
      </c>
      <c r="W55">
        <f>HYPERLINK("https://klasma.github.io/Logging_2403/kartor/A 13629-2026 karta.png", "A 13629-2026")</f>
        <v/>
      </c>
      <c r="Y55">
        <f>HYPERLINK("https://klasma.github.io/Logging_2403/klagomål/A 13629-2026 FSC-klagomål.docx", "A 13629-2026")</f>
        <v/>
      </c>
      <c r="Z55">
        <f>HYPERLINK("https://klasma.github.io/Logging_2403/klagomålsmail/A 13629-2026 FSC-klagomål mail.docx", "A 13629-2026")</f>
        <v/>
      </c>
      <c r="AA55">
        <f>HYPERLINK("https://klasma.github.io/Logging_2403/tillsyn/A 13629-2026 tillsynsbegäran.docx", "A 13629-2026")</f>
        <v/>
      </c>
      <c r="AB55">
        <f>HYPERLINK("https://klasma.github.io/Logging_2403/tillsynsmail/A 13629-2026 tillsynsbegäran mail.docx", "A 13629-2026")</f>
        <v/>
      </c>
    </row>
    <row r="56" ht="15" customHeight="1">
      <c r="A56" t="inlineStr">
        <is>
          <t>A 7897-2022</t>
        </is>
      </c>
      <c r="B56" t="inlineStr">
        <is>
          <t>avverkningsanmälan</t>
        </is>
      </c>
      <c r="C56" t="inlineStr">
        <is>
          <t>Föryngringsavverkning</t>
        </is>
      </c>
      <c r="D56" s="1" t="n">
        <v>44608</v>
      </c>
      <c r="E56" s="1" t="n">
        <v>46219</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s="2" t="inlineStr">
        <is>
          <t>Mjälgrävare</t>
        </is>
      </c>
      <c r="V56">
        <f>HYPERLINK("https://klasma.github.io/Logging_2403/artfynd/A 7897-2022 artfynd.xlsx", "A 7897-2022")</f>
        <v/>
      </c>
      <c r="W56">
        <f>HYPERLINK("https://klasma.github.io/Logging_2403/kartor/A 7897-2022 karta.png", "A 7897-2022")</f>
        <v/>
      </c>
      <c r="Y56">
        <f>HYPERLINK("https://klasma.github.io/Logging_2403/klagomål/A 7897-2022 FSC-klagomål.docx", "A 7897-2022")</f>
        <v/>
      </c>
      <c r="Z56">
        <f>HYPERLINK("https://klasma.github.io/Logging_2403/klagomålsmail/A 7897-2022 FSC-klagomål mail.docx", "A 7897-2022")</f>
        <v/>
      </c>
      <c r="AA56">
        <f>HYPERLINK("https://klasma.github.io/Logging_2403/tillsyn/A 7897-2022 tillsynsbegäran.docx", "A 7897-2022")</f>
        <v/>
      </c>
      <c r="AB56">
        <f>HYPERLINK("https://klasma.github.io/Logging_2403/tillsynsmail/A 7897-2022 tillsynsbegäran mail.docx", "A 7897-2022")</f>
        <v/>
      </c>
    </row>
    <row r="57" ht="15" customHeight="1">
      <c r="A57" t="inlineStr">
        <is>
          <t>A 53127-2024</t>
        </is>
      </c>
      <c r="B57" t="inlineStr">
        <is>
          <t>avverkningsanmälan</t>
        </is>
      </c>
      <c r="C57" t="inlineStr">
        <is>
          <t>Föryngringsavverkning</t>
        </is>
      </c>
      <c r="D57" s="1" t="n">
        <v>45611</v>
      </c>
      <c r="E57" s="1" t="n">
        <v>46219</v>
      </c>
      <c r="F57" t="inlineStr">
        <is>
          <t>VÄSTERBOTTENS LÄN</t>
        </is>
      </c>
      <c r="G57" t="inlineStr">
        <is>
          <t>BJURHOLM</t>
        </is>
      </c>
      <c r="I57" t="n">
        <v>2.9</v>
      </c>
      <c r="J57" t="n">
        <v>0</v>
      </c>
      <c r="K57" t="n">
        <v>0</v>
      </c>
      <c r="L57" t="n">
        <v>1</v>
      </c>
      <c r="M57" t="n">
        <v>0</v>
      </c>
      <c r="N57" t="n">
        <v>0</v>
      </c>
      <c r="O57" t="n">
        <v>0</v>
      </c>
      <c r="P57" t="n">
        <v>0</v>
      </c>
      <c r="Q57" t="n">
        <v>1</v>
      </c>
      <c r="R57" t="n">
        <v>0</v>
      </c>
      <c r="S57" t="n">
        <v>1</v>
      </c>
      <c r="T57" t="n">
        <v>1</v>
      </c>
      <c r="U57" s="2" t="inlineStr">
        <is>
          <t>Gammelgransskål</t>
        </is>
      </c>
      <c r="V57">
        <f>HYPERLINK("https://klasma.github.io/Logging_2403/artfynd/A 53127-2024 artfynd.xlsx", "A 53127-2024")</f>
        <v/>
      </c>
      <c r="W57">
        <f>HYPERLINK("https://klasma.github.io/Logging_2403/kartor/A 53127-2024 karta.png", "A 53127-2024")</f>
        <v/>
      </c>
      <c r="Y57">
        <f>HYPERLINK("https://klasma.github.io/Logging_2403/klagomål/A 53127-2024 FSC-klagomål.docx", "A 53127-2024")</f>
        <v/>
      </c>
      <c r="Z57">
        <f>HYPERLINK("https://klasma.github.io/Logging_2403/klagomålsmail/A 53127-2024 FSC-klagomål mail.docx", "A 53127-2024")</f>
        <v/>
      </c>
      <c r="AA57">
        <f>HYPERLINK("https://klasma.github.io/Logging_2403/tillsyn/A 53127-2024 tillsynsbegäran.docx", "A 53127-2024")</f>
        <v/>
      </c>
      <c r="AB57">
        <f>HYPERLINK("https://klasma.github.io/Logging_2403/tillsynsmail/A 53127-2024 tillsynsbegäran mail.docx", "A 53127-2024")</f>
        <v/>
      </c>
    </row>
    <row r="58" ht="15" customHeight="1">
      <c r="A58" t="inlineStr">
        <is>
          <t>A 26919-2026</t>
        </is>
      </c>
      <c r="B58" t="inlineStr">
        <is>
          <t>avverkningsanmälan</t>
        </is>
      </c>
      <c r="C58" t="inlineStr">
        <is>
          <t>Föryngringsavverkning</t>
        </is>
      </c>
      <c r="D58" s="1" t="n">
        <v>46185</v>
      </c>
      <c r="E58" s="1" t="n">
        <v>46219</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s="2" t="inlineStr">
        <is>
          <t>Älg</t>
        </is>
      </c>
      <c r="V58">
        <f>HYPERLINK("https://klasma.github.io/Logging_2403/artfynd/A 26919-2026 artfynd.xlsx", "A 26919-2026")</f>
        <v/>
      </c>
      <c r="W58">
        <f>HYPERLINK("https://klasma.github.io/Logging_2403/kartor/A 26919-2026 karta.png", "A 26919-2026")</f>
        <v/>
      </c>
      <c r="Y58">
        <f>HYPERLINK("https://klasma.github.io/Logging_2403/klagomål/A 26919-2026 FSC-klagomål.docx", "A 26919-2026")</f>
        <v/>
      </c>
      <c r="Z58">
        <f>HYPERLINK("https://klasma.github.io/Logging_2403/klagomålsmail/A 26919-2026 FSC-klagomål mail.docx", "A 26919-2026")</f>
        <v/>
      </c>
      <c r="AA58">
        <f>HYPERLINK("https://klasma.github.io/Logging_2403/tillsyn/A 26919-2026 tillsynsbegäran.docx", "A 26919-2026")</f>
        <v/>
      </c>
      <c r="AB58">
        <f>HYPERLINK("https://klasma.github.io/Logging_2403/tillsynsmail/A 26919-2026 tillsynsbegäran mail.docx", "A 26919-2026")</f>
        <v/>
      </c>
    </row>
    <row r="59" ht="15" customHeight="1">
      <c r="A59" t="inlineStr">
        <is>
          <t>A 29352-2026</t>
        </is>
      </c>
      <c r="B59" t="inlineStr">
        <is>
          <t>avverkningsanmälan</t>
        </is>
      </c>
      <c r="C59" t="inlineStr">
        <is>
          <t>Föryngringsavverkning</t>
        </is>
      </c>
      <c r="D59" s="1" t="n">
        <v>46203</v>
      </c>
      <c r="E59" s="1" t="n">
        <v>46219</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s="2" t="inlineStr">
        <is>
          <t>Utter</t>
        </is>
      </c>
      <c r="V59">
        <f>HYPERLINK("https://klasma.github.io/Logging_2403/artfynd/A 29352-2026 artfynd.xlsx", "A 29352-2026")</f>
        <v/>
      </c>
      <c r="W59">
        <f>HYPERLINK("https://klasma.github.io/Logging_2403/kartor/A 29352-2026 karta.png", "A 29352-2026")</f>
        <v/>
      </c>
      <c r="Y59">
        <f>HYPERLINK("https://klasma.github.io/Logging_2403/klagomål/A 29352-2026 FSC-klagomål.docx", "A 29352-2026")</f>
        <v/>
      </c>
      <c r="Z59">
        <f>HYPERLINK("https://klasma.github.io/Logging_2403/klagomålsmail/A 29352-2026 FSC-klagomål mail.docx", "A 29352-2026")</f>
        <v/>
      </c>
      <c r="AA59">
        <f>HYPERLINK("https://klasma.github.io/Logging_2403/tillsyn/A 29352-2026 tillsynsbegäran.docx", "A 29352-2026")</f>
        <v/>
      </c>
      <c r="AB59">
        <f>HYPERLINK("https://klasma.github.io/Logging_2403/tillsynsmail/A 29352-2026 tillsynsbegäran mail.docx", "A 29352-2026")</f>
        <v/>
      </c>
    </row>
    <row r="60" ht="15" customHeight="1">
      <c r="A60" t="inlineStr">
        <is>
          <t>S 831-2022</t>
        </is>
      </c>
      <c r="B60" t="inlineStr">
        <is>
          <t>samrådsanmälan</t>
        </is>
      </c>
      <c r="C60" t="inlineStr">
        <is>
          <t>Skogsgödsling</t>
        </is>
      </c>
      <c r="D60" s="1" t="n">
        <v>44603</v>
      </c>
      <c r="E60" s="1" t="n">
        <v>46219</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s="2" t="inlineStr">
        <is>
          <t>Gammelgransskål</t>
        </is>
      </c>
      <c r="V60">
        <f>HYPERLINK("https://klasma.github.io/Logging_2403/artfynd/S 831-2022 artfynd.xlsx", "S 831-2022")</f>
        <v/>
      </c>
      <c r="W60">
        <f>HYPERLINK("https://klasma.github.io/Logging_2403/kartor/S 831-2022 karta.png", "S 831-2022")</f>
        <v/>
      </c>
      <c r="Y60">
        <f>HYPERLINK("https://klasma.github.io/Logging_2403/klagomål/S 831-2022 FSC-klagomål.docx", "S 831-2022")</f>
        <v/>
      </c>
      <c r="Z60">
        <f>HYPERLINK("https://klasma.github.io/Logging_2403/klagomålsmail/S 831-2022 FSC-klagomål mail.docx", "S 831-2022")</f>
        <v/>
      </c>
      <c r="AA60">
        <f>HYPERLINK("https://klasma.github.io/Logging_2403/tillsyn/S 831-2022 tillsynsbegäran.docx", "S 831-2022")</f>
        <v/>
      </c>
      <c r="AB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46219</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s="2" t="inlineStr">
        <is>
          <t>Tallticka</t>
        </is>
      </c>
      <c r="V61">
        <f>HYPERLINK("https://klasma.github.io/Logging_2403/artfynd/S 1195-2025 artfynd.xlsx", "S 1195-2025")</f>
        <v/>
      </c>
      <c r="W61">
        <f>HYPERLINK("https://klasma.github.io/Logging_2403/kartor/S 1195-2025 karta.png", "S 1195-2025")</f>
        <v/>
      </c>
      <c r="Y61">
        <f>HYPERLINK("https://klasma.github.io/Logging_2403/klagomål/S 1195-2025 FSC-klagomål.docx", "S 1195-2025")</f>
        <v/>
      </c>
      <c r="Z61">
        <f>HYPERLINK("https://klasma.github.io/Logging_2403/klagomålsmail/S 1195-2025 FSC-klagomål mail.docx", "S 1195-2025")</f>
        <v/>
      </c>
      <c r="AA61">
        <f>HYPERLINK("https://klasma.github.io/Logging_2403/tillsyn/S 1195-2025 tillsynsbegäran.docx", "S 1195-2025")</f>
        <v/>
      </c>
      <c r="AB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46219</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s="2" t="inlineStr">
        <is>
          <t>Tretåig hackspett</t>
        </is>
      </c>
      <c r="V62">
        <f>HYPERLINK("https://klasma.github.io/Logging_2403/artfynd/S 435-2026 artfynd.xlsx", "S 435-2026")</f>
        <v/>
      </c>
      <c r="W62">
        <f>HYPERLINK("https://klasma.github.io/Logging_2403/kartor/S 435-2026 karta.png", "S 435-2026")</f>
        <v/>
      </c>
      <c r="Y62">
        <f>HYPERLINK("https://klasma.github.io/Logging_2403/klagomål/S 435-2026 FSC-klagomål.docx", "S 435-2026")</f>
        <v/>
      </c>
      <c r="Z62">
        <f>HYPERLINK("https://klasma.github.io/Logging_2403/klagomålsmail/S 435-2026 FSC-klagomål mail.docx", "S 435-2026")</f>
        <v/>
      </c>
      <c r="AA62">
        <f>HYPERLINK("https://klasma.github.io/Logging_2403/tillsyn/S 435-2026 tillsynsbegäran.docx", "S 435-2026")</f>
        <v/>
      </c>
      <c r="AB62">
        <f>HYPERLINK("https://klasma.github.io/Logging_2403/tillsynsmail/S 435-2026 tillsynsbegäran mail.docx", "S 435-2026")</f>
        <v/>
      </c>
      <c r="AC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46219</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s="2" t="inlineStr"/>
    </row>
    <row r="64" ht="15" customHeight="1">
      <c r="A64" t="inlineStr">
        <is>
          <t>A 28040-2022</t>
        </is>
      </c>
      <c r="B64" t="inlineStr">
        <is>
          <t>avverkningsanmälan</t>
        </is>
      </c>
      <c r="C64" t="inlineStr">
        <is>
          <t>Föryngringsavverkning</t>
        </is>
      </c>
      <c r="D64" s="1" t="n">
        <v>44746</v>
      </c>
      <c r="E64" s="1" t="n">
        <v>46219</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s="2" t="inlineStr"/>
    </row>
    <row r="65" ht="15" customHeight="1">
      <c r="A65" t="inlineStr">
        <is>
          <t>A 31412-2022</t>
        </is>
      </c>
      <c r="B65" t="inlineStr">
        <is>
          <t>avverkningsanmälan</t>
        </is>
      </c>
      <c r="C65" t="inlineStr">
        <is>
          <t>Föryngringsavverkning</t>
        </is>
      </c>
      <c r="D65" s="1" t="n">
        <v>44774</v>
      </c>
      <c r="E65" s="1" t="n">
        <v>46219</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s="2" t="inlineStr"/>
    </row>
    <row r="66" ht="15" customHeight="1">
      <c r="A66" t="inlineStr">
        <is>
          <t>A 42403-2022</t>
        </is>
      </c>
      <c r="B66" t="inlineStr">
        <is>
          <t>avverkningsanmälan</t>
        </is>
      </c>
      <c r="C66" t="inlineStr">
        <is>
          <t>Föryngringsavverkning</t>
        </is>
      </c>
      <c r="D66" s="1" t="n">
        <v>44831</v>
      </c>
      <c r="E66" s="1" t="n">
        <v>46219</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s="2" t="inlineStr"/>
    </row>
    <row r="67" ht="15" customHeight="1">
      <c r="A67" t="inlineStr">
        <is>
          <t>A 40000-2022</t>
        </is>
      </c>
      <c r="B67" t="inlineStr">
        <is>
          <t>avverkningsanmälan</t>
        </is>
      </c>
      <c r="C67" t="inlineStr">
        <is>
          <t>Föryngringsavverkning</t>
        </is>
      </c>
      <c r="D67" s="1" t="n">
        <v>44818</v>
      </c>
      <c r="E67" s="1" t="n">
        <v>46219</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s="2" t="inlineStr"/>
    </row>
    <row r="68" ht="15" customHeight="1">
      <c r="A68" t="inlineStr">
        <is>
          <t>A 60862-2023</t>
        </is>
      </c>
      <c r="B68" t="inlineStr">
        <is>
          <t>avverkningsanmälan</t>
        </is>
      </c>
      <c r="C68" t="inlineStr">
        <is>
          <t>Avverkning för att bevara och utveckla /försöksver</t>
        </is>
      </c>
      <c r="D68" s="1" t="n">
        <v>45260</v>
      </c>
      <c r="E68" s="1" t="n">
        <v>46219</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s="2" t="inlineStr"/>
    </row>
    <row r="69" ht="15" customHeight="1">
      <c r="A69" t="inlineStr">
        <is>
          <t>A 45418-2022</t>
        </is>
      </c>
      <c r="B69" t="inlineStr">
        <is>
          <t>avverkningsanmälan</t>
        </is>
      </c>
      <c r="C69" t="inlineStr">
        <is>
          <t>Föryngringsavverkning</t>
        </is>
      </c>
      <c r="D69" s="1" t="n">
        <v>44844</v>
      </c>
      <c r="E69" s="1" t="n">
        <v>46219</v>
      </c>
      <c r="F69" t="inlineStr">
        <is>
          <t>VÄSTERBOTTENS LÄN</t>
        </is>
      </c>
      <c r="G69" t="inlineStr">
        <is>
          <t>BJURHOLM</t>
        </is>
      </c>
      <c r="I69" t="n">
        <v>1.5</v>
      </c>
      <c r="J69" t="n">
        <v>0</v>
      </c>
      <c r="K69" t="n">
        <v>0</v>
      </c>
      <c r="L69" t="n">
        <v>0</v>
      </c>
      <c r="M69" t="n">
        <v>0</v>
      </c>
      <c r="N69" t="n">
        <v>0</v>
      </c>
      <c r="O69" t="n">
        <v>0</v>
      </c>
      <c r="P69" t="n">
        <v>0</v>
      </c>
      <c r="Q69" t="n">
        <v>0</v>
      </c>
      <c r="R69" t="n">
        <v>0</v>
      </c>
      <c r="S69" t="n">
        <v>0</v>
      </c>
      <c r="T69" t="n">
        <v>0</v>
      </c>
      <c r="U69" s="2" t="inlineStr"/>
    </row>
    <row r="70" ht="15" customHeight="1">
      <c r="A70" t="inlineStr">
        <is>
          <t>A 37332-2021</t>
        </is>
      </c>
      <c r="B70" t="inlineStr">
        <is>
          <t>avverkningsanmälan</t>
        </is>
      </c>
      <c r="C70" t="inlineStr">
        <is>
          <t>Avverkning för annat ändamål</t>
        </is>
      </c>
      <c r="D70" s="1" t="n">
        <v>44397</v>
      </c>
      <c r="E70" s="1" t="n">
        <v>46219</v>
      </c>
      <c r="F70" t="inlineStr">
        <is>
          <t>VÄSTERBOTTENS LÄN</t>
        </is>
      </c>
      <c r="G70" t="inlineStr">
        <is>
          <t>BJURHOLM</t>
        </is>
      </c>
      <c r="I70" t="n">
        <v>0.1</v>
      </c>
      <c r="J70" t="n">
        <v>0</v>
      </c>
      <c r="K70" t="n">
        <v>0</v>
      </c>
      <c r="L70" t="n">
        <v>0</v>
      </c>
      <c r="M70" t="n">
        <v>0</v>
      </c>
      <c r="N70" t="n">
        <v>0</v>
      </c>
      <c r="O70" t="n">
        <v>0</v>
      </c>
      <c r="P70" t="n">
        <v>0</v>
      </c>
      <c r="Q70" t="n">
        <v>0</v>
      </c>
      <c r="R70" t="n">
        <v>0</v>
      </c>
      <c r="S70" t="n">
        <v>0</v>
      </c>
      <c r="T70" t="n">
        <v>0</v>
      </c>
      <c r="U70" s="2" t="inlineStr"/>
    </row>
    <row r="71" ht="15" customHeight="1">
      <c r="A71" t="inlineStr">
        <is>
          <t>A 42391-2022</t>
        </is>
      </c>
      <c r="B71" t="inlineStr">
        <is>
          <t>avverkningsanmälan</t>
        </is>
      </c>
      <c r="C71" t="inlineStr">
        <is>
          <t>Föryngringsavverkning</t>
        </is>
      </c>
      <c r="D71" s="1" t="n">
        <v>44831</v>
      </c>
      <c r="E71" s="1" t="n">
        <v>46219</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s="2" t="inlineStr"/>
    </row>
    <row r="72" ht="15" customHeight="1">
      <c r="A72" t="inlineStr">
        <is>
          <t>A 49887-2022</t>
        </is>
      </c>
      <c r="B72" t="inlineStr">
        <is>
          <t>avverkningsanmälan</t>
        </is>
      </c>
      <c r="C72" t="inlineStr">
        <is>
          <t>Föryngringsavverkning</t>
        </is>
      </c>
      <c r="D72" s="1" t="n">
        <v>44864</v>
      </c>
      <c r="E72" s="1" t="n">
        <v>46219</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51361-2021</t>
        </is>
      </c>
      <c r="B73" t="inlineStr">
        <is>
          <t>avverkningsanmälan</t>
        </is>
      </c>
      <c r="C73" t="inlineStr">
        <is>
          <t>Avverkning för annat ändamål</t>
        </is>
      </c>
      <c r="D73" s="1" t="n">
        <v>44461</v>
      </c>
      <c r="E73" s="1" t="n">
        <v>46219</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s="2" t="inlineStr"/>
    </row>
    <row r="74" ht="15" customHeight="1">
      <c r="A74" t="inlineStr">
        <is>
          <t>A 51368-2021</t>
        </is>
      </c>
      <c r="B74" t="inlineStr">
        <is>
          <t>avverkningsanmälan</t>
        </is>
      </c>
      <c r="C74" t="inlineStr">
        <is>
          <t>Avverkning för annat ändamål</t>
        </is>
      </c>
      <c r="D74" s="1" t="n">
        <v>44461</v>
      </c>
      <c r="E74" s="1" t="n">
        <v>46219</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s="2" t="inlineStr"/>
    </row>
    <row r="75" ht="15" customHeight="1">
      <c r="A75" t="inlineStr">
        <is>
          <t>A 52111-2021</t>
        </is>
      </c>
      <c r="B75" t="inlineStr">
        <is>
          <t>avverkningsanmälan</t>
        </is>
      </c>
      <c r="C75" t="inlineStr">
        <is>
          <t>Föryngringsavverkning</t>
        </is>
      </c>
      <c r="D75" s="1" t="n">
        <v>44462</v>
      </c>
      <c r="E75" s="1" t="n">
        <v>46219</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s="2" t="inlineStr"/>
    </row>
    <row r="76" ht="15" customHeight="1">
      <c r="A76" t="inlineStr">
        <is>
          <t>A 62807-2021</t>
        </is>
      </c>
      <c r="B76" t="inlineStr">
        <is>
          <t>avverkningsanmälan</t>
        </is>
      </c>
      <c r="C76" t="inlineStr">
        <is>
          <t>Föryngringsavverkning</t>
        </is>
      </c>
      <c r="D76" s="1" t="n">
        <v>44504</v>
      </c>
      <c r="E76" s="1" t="n">
        <v>46219</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s="2" t="inlineStr"/>
    </row>
    <row r="77" ht="15" customHeight="1">
      <c r="A77" t="inlineStr">
        <is>
          <t>A 7910-2022</t>
        </is>
      </c>
      <c r="B77" t="inlineStr">
        <is>
          <t>avverkningsanmälan</t>
        </is>
      </c>
      <c r="C77" t="inlineStr">
        <is>
          <t>Föryngringsavverkning</t>
        </is>
      </c>
      <c r="D77" s="1" t="n">
        <v>44608</v>
      </c>
      <c r="E77" s="1" t="n">
        <v>46219</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s="2" t="inlineStr"/>
    </row>
    <row r="78" ht="15" customHeight="1">
      <c r="A78" t="inlineStr">
        <is>
          <t>A 73665-2021</t>
        </is>
      </c>
      <c r="B78" t="inlineStr">
        <is>
          <t>avverkningsanmälan</t>
        </is>
      </c>
      <c r="C78" t="inlineStr">
        <is>
          <t>Föryngringsavverkning</t>
        </is>
      </c>
      <c r="D78" s="1" t="n">
        <v>44551</v>
      </c>
      <c r="E78" s="1" t="n">
        <v>46219</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s="2" t="inlineStr"/>
    </row>
    <row r="79" ht="15" customHeight="1">
      <c r="A79" t="inlineStr">
        <is>
          <t>A 37328-2021</t>
        </is>
      </c>
      <c r="B79" t="inlineStr">
        <is>
          <t>avverkningsanmälan</t>
        </is>
      </c>
      <c r="C79" t="inlineStr">
        <is>
          <t>Föryngringsavverkning</t>
        </is>
      </c>
      <c r="D79" s="1" t="n">
        <v>44397</v>
      </c>
      <c r="E79" s="1" t="n">
        <v>46219</v>
      </c>
      <c r="F79" t="inlineStr">
        <is>
          <t>VÄSTERBOTTENS LÄN</t>
        </is>
      </c>
      <c r="G79" t="inlineStr">
        <is>
          <t>BJURHOLM</t>
        </is>
      </c>
      <c r="I79" t="n">
        <v>3.4</v>
      </c>
      <c r="J79" t="n">
        <v>0</v>
      </c>
      <c r="K79" t="n">
        <v>0</v>
      </c>
      <c r="L79" t="n">
        <v>0</v>
      </c>
      <c r="M79" t="n">
        <v>0</v>
      </c>
      <c r="N79" t="n">
        <v>0</v>
      </c>
      <c r="O79" t="n">
        <v>0</v>
      </c>
      <c r="P79" t="n">
        <v>0</v>
      </c>
      <c r="Q79" t="n">
        <v>0</v>
      </c>
      <c r="R79" t="n">
        <v>0</v>
      </c>
      <c r="S79" t="n">
        <v>0</v>
      </c>
      <c r="T79" t="n">
        <v>0</v>
      </c>
      <c r="U79" s="2" t="inlineStr"/>
    </row>
    <row r="80" ht="15" customHeight="1">
      <c r="A80" t="inlineStr">
        <is>
          <t>A 20830-2022</t>
        </is>
      </c>
      <c r="B80" t="inlineStr">
        <is>
          <t>avverkningsanmälan</t>
        </is>
      </c>
      <c r="C80" t="inlineStr">
        <is>
          <t>Föryngringsavverkning</t>
        </is>
      </c>
      <c r="D80" s="1" t="n">
        <v>44701</v>
      </c>
      <c r="E80" s="1" t="n">
        <v>46219</v>
      </c>
      <c r="F80" t="inlineStr">
        <is>
          <t>VÄSTERBOTTENS LÄN</t>
        </is>
      </c>
      <c r="G80" t="inlineStr">
        <is>
          <t>BJURHOLM</t>
        </is>
      </c>
      <c r="H80" t="inlineStr">
        <is>
          <t>Holmen skog AB</t>
        </is>
      </c>
      <c r="I80" t="n">
        <v>1.7</v>
      </c>
      <c r="J80" t="n">
        <v>0</v>
      </c>
      <c r="K80" t="n">
        <v>0</v>
      </c>
      <c r="L80" t="n">
        <v>0</v>
      </c>
      <c r="M80" t="n">
        <v>0</v>
      </c>
      <c r="N80" t="n">
        <v>0</v>
      </c>
      <c r="O80" t="n">
        <v>0</v>
      </c>
      <c r="P80" t="n">
        <v>0</v>
      </c>
      <c r="Q80" t="n">
        <v>0</v>
      </c>
      <c r="R80" t="n">
        <v>0</v>
      </c>
      <c r="S80" t="n">
        <v>0</v>
      </c>
      <c r="T80" t="n">
        <v>0</v>
      </c>
      <c r="U80" s="2" t="inlineStr"/>
    </row>
    <row r="81" ht="15" customHeight="1">
      <c r="A81" t="inlineStr">
        <is>
          <t>A 9928-2022</t>
        </is>
      </c>
      <c r="B81" t="inlineStr">
        <is>
          <t>avverkningsanmälan</t>
        </is>
      </c>
      <c r="C81" t="inlineStr">
        <is>
          <t>Föryngringsavverkning</t>
        </is>
      </c>
      <c r="D81" s="1" t="n">
        <v>44620</v>
      </c>
      <c r="E81" s="1" t="n">
        <v>46219</v>
      </c>
      <c r="F81" t="inlineStr">
        <is>
          <t>VÄSTERBOTTENS LÄN</t>
        </is>
      </c>
      <c r="G81" t="inlineStr">
        <is>
          <t>BJURHOLM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31177-2022</t>
        </is>
      </c>
      <c r="B82" t="inlineStr">
        <is>
          <t>avverkningsanmälan</t>
        </is>
      </c>
      <c r="C82" t="inlineStr">
        <is>
          <t>Föryngringsavverkning</t>
        </is>
      </c>
      <c r="D82" s="1" t="n">
        <v>44770</v>
      </c>
      <c r="E82" s="1" t="n">
        <v>46219</v>
      </c>
      <c r="F82" t="inlineStr">
        <is>
          <t>VÄSTERBOTTENS LÄN</t>
        </is>
      </c>
      <c r="G82" t="inlineStr">
        <is>
          <t>BJURHOLM</t>
        </is>
      </c>
      <c r="H82" t="inlineStr">
        <is>
          <t>Holmen skog AB</t>
        </is>
      </c>
      <c r="I82" t="n">
        <v>6.9</v>
      </c>
      <c r="J82" t="n">
        <v>0</v>
      </c>
      <c r="K82" t="n">
        <v>0</v>
      </c>
      <c r="L82" t="n">
        <v>0</v>
      </c>
      <c r="M82" t="n">
        <v>0</v>
      </c>
      <c r="N82" t="n">
        <v>0</v>
      </c>
      <c r="O82" t="n">
        <v>0</v>
      </c>
      <c r="P82" t="n">
        <v>0</v>
      </c>
      <c r="Q82" t="n">
        <v>0</v>
      </c>
      <c r="R82" t="n">
        <v>0</v>
      </c>
      <c r="S82" t="n">
        <v>0</v>
      </c>
      <c r="T82" t="n">
        <v>0</v>
      </c>
      <c r="U82" s="2" t="inlineStr"/>
    </row>
    <row r="83" ht="15" customHeight="1">
      <c r="A83" t="inlineStr">
        <is>
          <t>A 7915-2022</t>
        </is>
      </c>
      <c r="B83" t="inlineStr">
        <is>
          <t>avverkningsanmälan</t>
        </is>
      </c>
      <c r="C83" t="inlineStr">
        <is>
          <t>Föryngringsavverkning</t>
        </is>
      </c>
      <c r="D83" s="1" t="n">
        <v>44608</v>
      </c>
      <c r="E83" s="1" t="n">
        <v>46219</v>
      </c>
      <c r="F83" t="inlineStr">
        <is>
          <t>VÄSTERBOTTENS LÄN</t>
        </is>
      </c>
      <c r="G83" t="inlineStr">
        <is>
          <t>BJURHOLM</t>
        </is>
      </c>
      <c r="I83" t="n">
        <v>8.9</v>
      </c>
      <c r="J83" t="n">
        <v>0</v>
      </c>
      <c r="K83" t="n">
        <v>0</v>
      </c>
      <c r="L83" t="n">
        <v>0</v>
      </c>
      <c r="M83" t="n">
        <v>0</v>
      </c>
      <c r="N83" t="n">
        <v>0</v>
      </c>
      <c r="O83" t="n">
        <v>0</v>
      </c>
      <c r="P83" t="n">
        <v>0</v>
      </c>
      <c r="Q83" t="n">
        <v>0</v>
      </c>
      <c r="R83" t="n">
        <v>0</v>
      </c>
      <c r="S83" t="n">
        <v>0</v>
      </c>
      <c r="T83" t="n">
        <v>0</v>
      </c>
      <c r="U83" s="2" t="inlineStr"/>
    </row>
    <row r="84" ht="15" customHeight="1">
      <c r="A84" t="inlineStr">
        <is>
          <t>A 2706-2022</t>
        </is>
      </c>
      <c r="B84" t="inlineStr">
        <is>
          <t>avverkningsanmälan</t>
        </is>
      </c>
      <c r="C84" t="inlineStr">
        <is>
          <t>Avverkning för annat ändamål</t>
        </is>
      </c>
      <c r="D84" s="1" t="n">
        <v>44580</v>
      </c>
      <c r="E84" s="1" t="n">
        <v>46219</v>
      </c>
      <c r="F84" t="inlineStr">
        <is>
          <t>VÄSTERBOTTENS LÄN</t>
        </is>
      </c>
      <c r="G84" t="inlineStr">
        <is>
          <t>BJURHOLM</t>
        </is>
      </c>
      <c r="H84" t="inlineStr">
        <is>
          <t>Kommuner</t>
        </is>
      </c>
      <c r="I84" t="n">
        <v>0.5</v>
      </c>
      <c r="J84" t="n">
        <v>0</v>
      </c>
      <c r="K84" t="n">
        <v>0</v>
      </c>
      <c r="L84" t="n">
        <v>0</v>
      </c>
      <c r="M84" t="n">
        <v>0</v>
      </c>
      <c r="N84" t="n">
        <v>0</v>
      </c>
      <c r="O84" t="n">
        <v>0</v>
      </c>
      <c r="P84" t="n">
        <v>0</v>
      </c>
      <c r="Q84" t="n">
        <v>0</v>
      </c>
      <c r="R84" t="n">
        <v>0</v>
      </c>
      <c r="S84" t="n">
        <v>0</v>
      </c>
      <c r="T84" t="n">
        <v>0</v>
      </c>
      <c r="U84" s="2" t="inlineStr"/>
    </row>
    <row r="85" ht="15" customHeight="1">
      <c r="A85" t="inlineStr">
        <is>
          <t>A 31381-2022</t>
        </is>
      </c>
      <c r="B85" t="inlineStr">
        <is>
          <t>avverkningsanmälan</t>
        </is>
      </c>
      <c r="C85" t="inlineStr">
        <is>
          <t>Föryngringsavverkning</t>
        </is>
      </c>
      <c r="D85" s="1" t="n">
        <v>44774</v>
      </c>
      <c r="E85" s="1" t="n">
        <v>46219</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s="2" t="inlineStr"/>
    </row>
    <row r="86" ht="15" customHeight="1">
      <c r="A86" t="inlineStr">
        <is>
          <t>A 59178-2021</t>
        </is>
      </c>
      <c r="B86" t="inlineStr">
        <is>
          <t>avverkningsanmälan</t>
        </is>
      </c>
      <c r="C86" t="inlineStr">
        <is>
          <t>Föryngringsavverkning</t>
        </is>
      </c>
      <c r="D86" s="1" t="n">
        <v>44490</v>
      </c>
      <c r="E86" s="1" t="n">
        <v>46219</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s="2" t="inlineStr"/>
    </row>
    <row r="87" ht="15" customHeight="1">
      <c r="A87" t="inlineStr">
        <is>
          <t>A 44488-2023</t>
        </is>
      </c>
      <c r="B87" t="inlineStr">
        <is>
          <t>avverkningsanmälan</t>
        </is>
      </c>
      <c r="C87" t="inlineStr">
        <is>
          <t>Föryngringsavverkning</t>
        </is>
      </c>
      <c r="D87" s="1" t="n">
        <v>45189</v>
      </c>
      <c r="E87" s="1" t="n">
        <v>46219</v>
      </c>
      <c r="F87" t="inlineStr">
        <is>
          <t>VÄSTERBOTTENS LÄN</t>
        </is>
      </c>
      <c r="G87" t="inlineStr">
        <is>
          <t>BJURHOLM</t>
        </is>
      </c>
      <c r="H87" t="inlineStr">
        <is>
          <t>Holmen skog AB</t>
        </is>
      </c>
      <c r="I87" t="n">
        <v>3.2</v>
      </c>
      <c r="J87" t="n">
        <v>0</v>
      </c>
      <c r="K87" t="n">
        <v>0</v>
      </c>
      <c r="L87" t="n">
        <v>0</v>
      </c>
      <c r="M87" t="n">
        <v>0</v>
      </c>
      <c r="N87" t="n">
        <v>0</v>
      </c>
      <c r="O87" t="n">
        <v>0</v>
      </c>
      <c r="P87" t="n">
        <v>0</v>
      </c>
      <c r="Q87" t="n">
        <v>0</v>
      </c>
      <c r="R87" t="n">
        <v>0</v>
      </c>
      <c r="S87" t="n">
        <v>0</v>
      </c>
      <c r="T87" t="n">
        <v>0</v>
      </c>
      <c r="U87" s="2" t="inlineStr"/>
    </row>
    <row r="88" ht="15" customHeight="1">
      <c r="A88" t="inlineStr">
        <is>
          <t>A 82-2025</t>
        </is>
      </c>
      <c r="B88" t="inlineStr">
        <is>
          <t>avverkningsanmälan</t>
        </is>
      </c>
      <c r="C88" t="inlineStr">
        <is>
          <t>Föryngringsavverkning</t>
        </is>
      </c>
      <c r="D88" s="1" t="n">
        <v>45659</v>
      </c>
      <c r="E88" s="1" t="n">
        <v>46219</v>
      </c>
      <c r="F88" t="inlineStr">
        <is>
          <t>VÄSTERBOTTENS LÄN</t>
        </is>
      </c>
      <c r="G88" t="inlineStr">
        <is>
          <t>BJURHOLM</t>
        </is>
      </c>
      <c r="I88" t="n">
        <v>1</v>
      </c>
      <c r="J88" t="n">
        <v>0</v>
      </c>
      <c r="K88" t="n">
        <v>0</v>
      </c>
      <c r="L88" t="n">
        <v>0</v>
      </c>
      <c r="M88" t="n">
        <v>0</v>
      </c>
      <c r="N88" t="n">
        <v>0</v>
      </c>
      <c r="O88" t="n">
        <v>0</v>
      </c>
      <c r="P88" t="n">
        <v>0</v>
      </c>
      <c r="Q88" t="n">
        <v>0</v>
      </c>
      <c r="R88" t="n">
        <v>0</v>
      </c>
      <c r="S88" t="n">
        <v>0</v>
      </c>
      <c r="T88" t="n">
        <v>0</v>
      </c>
      <c r="U88" s="2" t="inlineStr"/>
    </row>
    <row r="89" ht="15" customHeight="1">
      <c r="A89" t="inlineStr">
        <is>
          <t>A 41388-2022</t>
        </is>
      </c>
      <c r="B89" t="inlineStr">
        <is>
          <t>avverkningsanmälan</t>
        </is>
      </c>
      <c r="C89" t="inlineStr">
        <is>
          <t>Föryngringsavverkning</t>
        </is>
      </c>
      <c r="D89" s="1" t="n">
        <v>44826</v>
      </c>
      <c r="E89" s="1" t="n">
        <v>46219</v>
      </c>
      <c r="F89" t="inlineStr">
        <is>
          <t>VÄSTERBOTTENS LÄN</t>
        </is>
      </c>
      <c r="G89" t="inlineStr">
        <is>
          <t>BJURHOLM</t>
        </is>
      </c>
      <c r="I89" t="n">
        <v>1.6</v>
      </c>
      <c r="J89" t="n">
        <v>0</v>
      </c>
      <c r="K89" t="n">
        <v>0</v>
      </c>
      <c r="L89" t="n">
        <v>0</v>
      </c>
      <c r="M89" t="n">
        <v>0</v>
      </c>
      <c r="N89" t="n">
        <v>0</v>
      </c>
      <c r="O89" t="n">
        <v>0</v>
      </c>
      <c r="P89" t="n">
        <v>0</v>
      </c>
      <c r="Q89" t="n">
        <v>0</v>
      </c>
      <c r="R89" t="n">
        <v>0</v>
      </c>
      <c r="S89" t="n">
        <v>0</v>
      </c>
      <c r="T89" t="n">
        <v>0</v>
      </c>
      <c r="U89" s="2" t="inlineStr"/>
    </row>
    <row r="90" ht="15" customHeight="1">
      <c r="A90" t="inlineStr">
        <is>
          <t>A 61044-2022</t>
        </is>
      </c>
      <c r="B90" t="inlineStr">
        <is>
          <t>avverkningsanmälan</t>
        </is>
      </c>
      <c r="C90" t="inlineStr">
        <is>
          <t>Föryngringsavverkning</t>
        </is>
      </c>
      <c r="D90" s="1" t="n">
        <v>44914</v>
      </c>
      <c r="E90" s="1" t="n">
        <v>46219</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s="2" t="inlineStr"/>
    </row>
    <row r="91" ht="15" customHeight="1">
      <c r="A91" t="inlineStr">
        <is>
          <t>A 52386-2023</t>
        </is>
      </c>
      <c r="B91" t="inlineStr">
        <is>
          <t>avverkningsanmälan</t>
        </is>
      </c>
      <c r="C91" t="inlineStr">
        <is>
          <t>Föryngringsavverkning</t>
        </is>
      </c>
      <c r="D91" s="1" t="n">
        <v>45224</v>
      </c>
      <c r="E91" s="1" t="n">
        <v>46219</v>
      </c>
      <c r="F91" t="inlineStr">
        <is>
          <t>VÄSTERBOTTENS LÄN</t>
        </is>
      </c>
      <c r="G91" t="inlineStr">
        <is>
          <t>BJURHOLM</t>
        </is>
      </c>
      <c r="I91" t="n">
        <v>5.2</v>
      </c>
      <c r="J91" t="n">
        <v>0</v>
      </c>
      <c r="K91" t="n">
        <v>0</v>
      </c>
      <c r="L91" t="n">
        <v>0</v>
      </c>
      <c r="M91" t="n">
        <v>0</v>
      </c>
      <c r="N91" t="n">
        <v>0</v>
      </c>
      <c r="O91" t="n">
        <v>0</v>
      </c>
      <c r="P91" t="n">
        <v>0</v>
      </c>
      <c r="Q91" t="n">
        <v>0</v>
      </c>
      <c r="R91" t="n">
        <v>0</v>
      </c>
      <c r="S91" t="n">
        <v>0</v>
      </c>
      <c r="T91" t="n">
        <v>0</v>
      </c>
      <c r="U91" s="2" t="inlineStr"/>
    </row>
    <row r="92" ht="15" customHeight="1">
      <c r="A92" t="inlineStr">
        <is>
          <t>A 16081-2024</t>
        </is>
      </c>
      <c r="B92" t="inlineStr">
        <is>
          <t>avverkningsanmälan</t>
        </is>
      </c>
      <c r="C92" t="inlineStr">
        <is>
          <t>Föryngringsavverkning</t>
        </is>
      </c>
      <c r="D92" s="1" t="n">
        <v>45406</v>
      </c>
      <c r="E92" s="1" t="n">
        <v>46219</v>
      </c>
      <c r="F92" t="inlineStr">
        <is>
          <t>VÄSTERBOTTENS LÄN</t>
        </is>
      </c>
      <c r="G92" t="inlineStr">
        <is>
          <t>BJURHOLM</t>
        </is>
      </c>
      <c r="I92" t="n">
        <v>1.1</v>
      </c>
      <c r="J92" t="n">
        <v>0</v>
      </c>
      <c r="K92" t="n">
        <v>0</v>
      </c>
      <c r="L92" t="n">
        <v>0</v>
      </c>
      <c r="M92" t="n">
        <v>0</v>
      </c>
      <c r="N92" t="n">
        <v>0</v>
      </c>
      <c r="O92" t="n">
        <v>0</v>
      </c>
      <c r="P92" t="n">
        <v>0</v>
      </c>
      <c r="Q92" t="n">
        <v>0</v>
      </c>
      <c r="R92" t="n">
        <v>0</v>
      </c>
      <c r="S92" t="n">
        <v>0</v>
      </c>
      <c r="T92" t="n">
        <v>0</v>
      </c>
      <c r="U92" s="2" t="inlineStr"/>
    </row>
    <row r="93" ht="15" customHeight="1">
      <c r="A93" t="inlineStr">
        <is>
          <t>A 49648-2022</t>
        </is>
      </c>
      <c r="B93" t="inlineStr">
        <is>
          <t>avverkningsanmälan</t>
        </is>
      </c>
      <c r="C93" t="inlineStr">
        <is>
          <t>Föryngringsavverkning</t>
        </is>
      </c>
      <c r="D93" s="1" t="n">
        <v>44862</v>
      </c>
      <c r="E93" s="1" t="n">
        <v>46219</v>
      </c>
      <c r="F93" t="inlineStr">
        <is>
          <t>VÄSTERBOTTENS LÄN</t>
        </is>
      </c>
      <c r="G93" t="inlineStr">
        <is>
          <t>BJURHOLM</t>
        </is>
      </c>
      <c r="I93" t="n">
        <v>0.7</v>
      </c>
      <c r="J93" t="n">
        <v>0</v>
      </c>
      <c r="K93" t="n">
        <v>0</v>
      </c>
      <c r="L93" t="n">
        <v>0</v>
      </c>
      <c r="M93" t="n">
        <v>0</v>
      </c>
      <c r="N93" t="n">
        <v>0</v>
      </c>
      <c r="O93" t="n">
        <v>0</v>
      </c>
      <c r="P93" t="n">
        <v>0</v>
      </c>
      <c r="Q93" t="n">
        <v>0</v>
      </c>
      <c r="R93" t="n">
        <v>0</v>
      </c>
      <c r="S93" t="n">
        <v>0</v>
      </c>
      <c r="T93" t="n">
        <v>0</v>
      </c>
      <c r="U93" s="2" t="inlineStr"/>
    </row>
    <row r="94" ht="15" customHeight="1">
      <c r="A94" t="inlineStr">
        <is>
          <t>A 3705-2023</t>
        </is>
      </c>
      <c r="B94" t="inlineStr">
        <is>
          <t>avverkningsanmälan</t>
        </is>
      </c>
      <c r="C94" t="inlineStr">
        <is>
          <t>Föryngringsavverkning</t>
        </is>
      </c>
      <c r="D94" s="1" t="n">
        <v>44950</v>
      </c>
      <c r="E94" s="1" t="n">
        <v>46219</v>
      </c>
      <c r="F94" t="inlineStr">
        <is>
          <t>VÄSTERBOTTENS LÄN</t>
        </is>
      </c>
      <c r="G94" t="inlineStr">
        <is>
          <t>BJURHOLM</t>
        </is>
      </c>
      <c r="I94" t="n">
        <v>3.7</v>
      </c>
      <c r="J94" t="n">
        <v>0</v>
      </c>
      <c r="K94" t="n">
        <v>0</v>
      </c>
      <c r="L94" t="n">
        <v>0</v>
      </c>
      <c r="M94" t="n">
        <v>0</v>
      </c>
      <c r="N94" t="n">
        <v>0</v>
      </c>
      <c r="O94" t="n">
        <v>0</v>
      </c>
      <c r="P94" t="n">
        <v>0</v>
      </c>
      <c r="Q94" t="n">
        <v>0</v>
      </c>
      <c r="R94" t="n">
        <v>0</v>
      </c>
      <c r="S94" t="n">
        <v>0</v>
      </c>
      <c r="T94" t="n">
        <v>0</v>
      </c>
      <c r="U94" s="2" t="inlineStr"/>
    </row>
    <row r="95" ht="15" customHeight="1">
      <c r="A95" t="inlineStr">
        <is>
          <t>A 47594-2024</t>
        </is>
      </c>
      <c r="B95" t="inlineStr">
        <is>
          <t>avverkningsanmälan</t>
        </is>
      </c>
      <c r="C95" t="inlineStr">
        <is>
          <t>Föryngringsavverkning</t>
        </is>
      </c>
      <c r="D95" s="1" t="n">
        <v>45587</v>
      </c>
      <c r="E95" s="1" t="n">
        <v>46219</v>
      </c>
      <c r="F95" t="inlineStr">
        <is>
          <t>VÄSTERBOTTENS LÄN</t>
        </is>
      </c>
      <c r="G95" t="inlineStr">
        <is>
          <t>BJURHOLM</t>
        </is>
      </c>
      <c r="I95" t="n">
        <v>5</v>
      </c>
      <c r="J95" t="n">
        <v>0</v>
      </c>
      <c r="K95" t="n">
        <v>0</v>
      </c>
      <c r="L95" t="n">
        <v>0</v>
      </c>
      <c r="M95" t="n">
        <v>0</v>
      </c>
      <c r="N95" t="n">
        <v>0</v>
      </c>
      <c r="O95" t="n">
        <v>0</v>
      </c>
      <c r="P95" t="n">
        <v>0</v>
      </c>
      <c r="Q95" t="n">
        <v>0</v>
      </c>
      <c r="R95" t="n">
        <v>0</v>
      </c>
      <c r="S95" t="n">
        <v>0</v>
      </c>
      <c r="T95" t="n">
        <v>0</v>
      </c>
      <c r="U95" s="2" t="inlineStr"/>
    </row>
    <row r="96" ht="15" customHeight="1">
      <c r="A96" t="inlineStr">
        <is>
          <t>A 43321-2024</t>
        </is>
      </c>
      <c r="B96" t="inlineStr">
        <is>
          <t>avverkningsanmälan</t>
        </is>
      </c>
      <c r="C96" t="inlineStr">
        <is>
          <t>Föryngringsavverkning</t>
        </is>
      </c>
      <c r="D96" s="1" t="n">
        <v>45568</v>
      </c>
      <c r="E96" s="1" t="n">
        <v>46219</v>
      </c>
      <c r="F96" t="inlineStr">
        <is>
          <t>VÄSTERBOTTENS LÄN</t>
        </is>
      </c>
      <c r="G96" t="inlineStr">
        <is>
          <t>BJURHOLM</t>
        </is>
      </c>
      <c r="I96" t="n">
        <v>1.9</v>
      </c>
      <c r="J96" t="n">
        <v>0</v>
      </c>
      <c r="K96" t="n">
        <v>0</v>
      </c>
      <c r="L96" t="n">
        <v>0</v>
      </c>
      <c r="M96" t="n">
        <v>0</v>
      </c>
      <c r="N96" t="n">
        <v>0</v>
      </c>
      <c r="O96" t="n">
        <v>0</v>
      </c>
      <c r="P96" t="n">
        <v>0</v>
      </c>
      <c r="Q96" t="n">
        <v>0</v>
      </c>
      <c r="R96" t="n">
        <v>0</v>
      </c>
      <c r="S96" t="n">
        <v>0</v>
      </c>
      <c r="T96" t="n">
        <v>0</v>
      </c>
      <c r="U96" s="2" t="inlineStr"/>
    </row>
    <row r="97" ht="15" customHeight="1">
      <c r="A97" t="inlineStr">
        <is>
          <t>A 9926-2022</t>
        </is>
      </c>
      <c r="B97" t="inlineStr">
        <is>
          <t>avverkningsanmälan</t>
        </is>
      </c>
      <c r="C97" t="inlineStr">
        <is>
          <t>Föryngringsavverkning</t>
        </is>
      </c>
      <c r="D97" s="1" t="n">
        <v>44620</v>
      </c>
      <c r="E97" s="1" t="n">
        <v>46219</v>
      </c>
      <c r="F97" t="inlineStr">
        <is>
          <t>VÄSTERBOTTENS LÄN</t>
        </is>
      </c>
      <c r="G97" t="inlineStr">
        <is>
          <t>BJURHOLM</t>
        </is>
      </c>
      <c r="I97" t="n">
        <v>0.8</v>
      </c>
      <c r="J97" t="n">
        <v>0</v>
      </c>
      <c r="K97" t="n">
        <v>0</v>
      </c>
      <c r="L97" t="n">
        <v>0</v>
      </c>
      <c r="M97" t="n">
        <v>0</v>
      </c>
      <c r="N97" t="n">
        <v>0</v>
      </c>
      <c r="O97" t="n">
        <v>0</v>
      </c>
      <c r="P97" t="n">
        <v>0</v>
      </c>
      <c r="Q97" t="n">
        <v>0</v>
      </c>
      <c r="R97" t="n">
        <v>0</v>
      </c>
      <c r="S97" t="n">
        <v>0</v>
      </c>
      <c r="T97" t="n">
        <v>0</v>
      </c>
      <c r="U97" s="2" t="inlineStr"/>
    </row>
    <row r="98" ht="15" customHeight="1">
      <c r="A98" t="inlineStr">
        <is>
          <t>A 9927-2022</t>
        </is>
      </c>
      <c r="B98" t="inlineStr">
        <is>
          <t>avverkningsanmälan</t>
        </is>
      </c>
      <c r="C98" t="inlineStr">
        <is>
          <t>Föryngringsavverkning</t>
        </is>
      </c>
      <c r="D98" s="1" t="n">
        <v>44620</v>
      </c>
      <c r="E98" s="1" t="n">
        <v>46219</v>
      </c>
      <c r="F98" t="inlineStr">
        <is>
          <t>VÄSTERBOTTENS LÄN</t>
        </is>
      </c>
      <c r="G98" t="inlineStr">
        <is>
          <t>BJURHOLM</t>
        </is>
      </c>
      <c r="I98" t="n">
        <v>1.2</v>
      </c>
      <c r="J98" t="n">
        <v>0</v>
      </c>
      <c r="K98" t="n">
        <v>0</v>
      </c>
      <c r="L98" t="n">
        <v>0</v>
      </c>
      <c r="M98" t="n">
        <v>0</v>
      </c>
      <c r="N98" t="n">
        <v>0</v>
      </c>
      <c r="O98" t="n">
        <v>0</v>
      </c>
      <c r="P98" t="n">
        <v>0</v>
      </c>
      <c r="Q98" t="n">
        <v>0</v>
      </c>
      <c r="R98" t="n">
        <v>0</v>
      </c>
      <c r="S98" t="n">
        <v>0</v>
      </c>
      <c r="T98" t="n">
        <v>0</v>
      </c>
      <c r="U98" s="2" t="inlineStr"/>
    </row>
    <row r="99" ht="15" customHeight="1">
      <c r="A99" t="inlineStr">
        <is>
          <t>A 29867-2022</t>
        </is>
      </c>
      <c r="B99" t="inlineStr">
        <is>
          <t>avverkningsanmälan</t>
        </is>
      </c>
      <c r="C99" t="inlineStr">
        <is>
          <t>Avverkning för annat ändamål</t>
        </is>
      </c>
      <c r="D99" s="1" t="n">
        <v>44756</v>
      </c>
      <c r="E99" s="1" t="n">
        <v>46219</v>
      </c>
      <c r="F99" t="inlineStr">
        <is>
          <t>VÄSTERBOTTENS LÄN</t>
        </is>
      </c>
      <c r="G99" t="inlineStr">
        <is>
          <t>BJURHOLM</t>
        </is>
      </c>
      <c r="I99" t="n">
        <v>1</v>
      </c>
      <c r="J99" t="n">
        <v>0</v>
      </c>
      <c r="K99" t="n">
        <v>0</v>
      </c>
      <c r="L99" t="n">
        <v>0</v>
      </c>
      <c r="M99" t="n">
        <v>0</v>
      </c>
      <c r="N99" t="n">
        <v>0</v>
      </c>
      <c r="O99" t="n">
        <v>0</v>
      </c>
      <c r="P99" t="n">
        <v>0</v>
      </c>
      <c r="Q99" t="n">
        <v>0</v>
      </c>
      <c r="R99" t="n">
        <v>0</v>
      </c>
      <c r="S99" t="n">
        <v>0</v>
      </c>
      <c r="T99" t="n">
        <v>0</v>
      </c>
      <c r="U99" s="2" t="inlineStr"/>
    </row>
    <row r="100" ht="15" customHeight="1">
      <c r="A100" t="inlineStr">
        <is>
          <t>A 67775-2021</t>
        </is>
      </c>
      <c r="B100" t="inlineStr">
        <is>
          <t>avverkningsanmälan</t>
        </is>
      </c>
      <c r="C100" t="inlineStr">
        <is>
          <t>Avverkning för att bevara och utveckla /försöksver</t>
        </is>
      </c>
      <c r="D100" s="1" t="n">
        <v>44524</v>
      </c>
      <c r="E100" s="1" t="n">
        <v>46219</v>
      </c>
      <c r="F100" t="inlineStr">
        <is>
          <t>VÄSTERBOTTENS LÄN</t>
        </is>
      </c>
      <c r="G100" t="inlineStr">
        <is>
          <t>BJURHOLM</t>
        </is>
      </c>
      <c r="I100" t="n">
        <v>5.2</v>
      </c>
      <c r="J100" t="n">
        <v>0</v>
      </c>
      <c r="K100" t="n">
        <v>0</v>
      </c>
      <c r="L100" t="n">
        <v>0</v>
      </c>
      <c r="M100" t="n">
        <v>0</v>
      </c>
      <c r="N100" t="n">
        <v>0</v>
      </c>
      <c r="O100" t="n">
        <v>0</v>
      </c>
      <c r="P100" t="n">
        <v>0</v>
      </c>
      <c r="Q100" t="n">
        <v>0</v>
      </c>
      <c r="R100" t="n">
        <v>0</v>
      </c>
      <c r="S100" t="n">
        <v>0</v>
      </c>
      <c r="T100" t="n">
        <v>0</v>
      </c>
      <c r="U100" s="2" t="inlineStr"/>
    </row>
    <row r="101" ht="15" customHeight="1">
      <c r="A101" t="inlineStr">
        <is>
          <t>A 57867-2021</t>
        </is>
      </c>
      <c r="B101" t="inlineStr">
        <is>
          <t>avverkningsanmälan</t>
        </is>
      </c>
      <c r="C101" t="inlineStr">
        <is>
          <t>Föryngringsavverkning</t>
        </is>
      </c>
      <c r="D101" s="1" t="n">
        <v>44484</v>
      </c>
      <c r="E101" s="1" t="n">
        <v>46219</v>
      </c>
      <c r="F101" t="inlineStr">
        <is>
          <t>VÄSTERBOTTENS LÄN</t>
        </is>
      </c>
      <c r="G101" t="inlineStr">
        <is>
          <t>BJURHOLM</t>
        </is>
      </c>
      <c r="H101" t="inlineStr">
        <is>
          <t>SCA</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56315-2023</t>
        </is>
      </c>
      <c r="B102" t="inlineStr">
        <is>
          <t>avverkningsanmälan</t>
        </is>
      </c>
      <c r="C102" t="inlineStr">
        <is>
          <t>Föryngringsavverkning</t>
        </is>
      </c>
      <c r="D102" s="1" t="n">
        <v>45236</v>
      </c>
      <c r="E102" s="1" t="n">
        <v>46219</v>
      </c>
      <c r="F102" t="inlineStr">
        <is>
          <t>VÄSTERBOTTENS LÄN</t>
        </is>
      </c>
      <c r="G102" t="inlineStr">
        <is>
          <t>BJURHOLM</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67762-2021</t>
        </is>
      </c>
      <c r="B103" t="inlineStr">
        <is>
          <t>avverkningsanmälan</t>
        </is>
      </c>
      <c r="C103" t="inlineStr">
        <is>
          <t>Föryngringsavverkning</t>
        </is>
      </c>
      <c r="D103" s="1" t="n">
        <v>44524</v>
      </c>
      <c r="E103" s="1" t="n">
        <v>46219</v>
      </c>
      <c r="F103" t="inlineStr">
        <is>
          <t>VÄSTERBOTTENS LÄN</t>
        </is>
      </c>
      <c r="G103" t="inlineStr">
        <is>
          <t>BJURHOLM</t>
        </is>
      </c>
      <c r="I103" t="n">
        <v>3.3</v>
      </c>
      <c r="J103" t="n">
        <v>0</v>
      </c>
      <c r="K103" t="n">
        <v>0</v>
      </c>
      <c r="L103" t="n">
        <v>0</v>
      </c>
      <c r="M103" t="n">
        <v>0</v>
      </c>
      <c r="N103" t="n">
        <v>0</v>
      </c>
      <c r="O103" t="n">
        <v>0</v>
      </c>
      <c r="P103" t="n">
        <v>0</v>
      </c>
      <c r="Q103" t="n">
        <v>0</v>
      </c>
      <c r="R103" t="n">
        <v>0</v>
      </c>
      <c r="S103" t="n">
        <v>0</v>
      </c>
      <c r="T103" t="n">
        <v>0</v>
      </c>
      <c r="U103" s="2" t="inlineStr"/>
    </row>
    <row r="104" ht="15" customHeight="1">
      <c r="A104" t="inlineStr">
        <is>
          <t>A 13828-2025</t>
        </is>
      </c>
      <c r="B104" t="inlineStr">
        <is>
          <t>avverkningsanmälan</t>
        </is>
      </c>
      <c r="C104" t="inlineStr">
        <is>
          <t>Föryngringsavverkning</t>
        </is>
      </c>
      <c r="D104" s="1" t="n">
        <v>45737</v>
      </c>
      <c r="E104" s="1" t="n">
        <v>46219</v>
      </c>
      <c r="F104" t="inlineStr">
        <is>
          <t>VÄSTERBOTTENS LÄN</t>
        </is>
      </c>
      <c r="G104" t="inlineStr">
        <is>
          <t>BJURHOLM</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43992-2023</t>
        </is>
      </c>
      <c r="B105" t="inlineStr">
        <is>
          <t>avverkningsanmälan</t>
        </is>
      </c>
      <c r="C105" t="inlineStr">
        <is>
          <t>Föryngringsavverkning</t>
        </is>
      </c>
      <c r="D105" s="1" t="n">
        <v>45187</v>
      </c>
      <c r="E105" s="1" t="n">
        <v>46219</v>
      </c>
      <c r="F105" t="inlineStr">
        <is>
          <t>VÄSTERBOTTENS LÄN</t>
        </is>
      </c>
      <c r="G105" t="inlineStr">
        <is>
          <t>BJURHOLM</t>
        </is>
      </c>
      <c r="H105" t="inlineStr">
        <is>
          <t>SCA</t>
        </is>
      </c>
      <c r="I105" t="n">
        <v>10.9</v>
      </c>
      <c r="J105" t="n">
        <v>0</v>
      </c>
      <c r="K105" t="n">
        <v>0</v>
      </c>
      <c r="L105" t="n">
        <v>0</v>
      </c>
      <c r="M105" t="n">
        <v>0</v>
      </c>
      <c r="N105" t="n">
        <v>0</v>
      </c>
      <c r="O105" t="n">
        <v>0</v>
      </c>
      <c r="P105" t="n">
        <v>0</v>
      </c>
      <c r="Q105" t="n">
        <v>0</v>
      </c>
      <c r="R105" t="n">
        <v>0</v>
      </c>
      <c r="S105" t="n">
        <v>0</v>
      </c>
      <c r="T105" t="n">
        <v>0</v>
      </c>
      <c r="U105" s="2" t="inlineStr"/>
    </row>
    <row r="106" ht="15" customHeight="1">
      <c r="A106" t="inlineStr">
        <is>
          <t>A 16792-2022</t>
        </is>
      </c>
      <c r="B106" t="inlineStr">
        <is>
          <t>avverkningsanmälan</t>
        </is>
      </c>
      <c r="C106" t="inlineStr">
        <is>
          <t>Föryngringsavverkning</t>
        </is>
      </c>
      <c r="D106" s="1" t="n">
        <v>44673</v>
      </c>
      <c r="E106" s="1" t="n">
        <v>46219</v>
      </c>
      <c r="F106" t="inlineStr">
        <is>
          <t>VÄSTERBOTTENS LÄN</t>
        </is>
      </c>
      <c r="G106" t="inlineStr">
        <is>
          <t>BJURHOLM</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57877-2023</t>
        </is>
      </c>
      <c r="B107" t="inlineStr">
        <is>
          <t>avverkningsanmälan</t>
        </is>
      </c>
      <c r="C107" t="inlineStr">
        <is>
          <t>Föryngringsavverkning</t>
        </is>
      </c>
      <c r="D107" s="1" t="n">
        <v>45247</v>
      </c>
      <c r="E107" s="1" t="n">
        <v>46219</v>
      </c>
      <c r="F107" t="inlineStr">
        <is>
          <t>VÄSTERBOTTENS LÄN</t>
        </is>
      </c>
      <c r="G107" t="inlineStr">
        <is>
          <t>BJURHOLM</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8663-2025</t>
        </is>
      </c>
      <c r="B108" t="inlineStr">
        <is>
          <t>avverkningsanmälan</t>
        </is>
      </c>
      <c r="C108" t="inlineStr">
        <is>
          <t>Föryngringsavverkning</t>
        </is>
      </c>
      <c r="D108" s="1" t="n">
        <v>45712</v>
      </c>
      <c r="E108" s="1" t="n">
        <v>46219</v>
      </c>
      <c r="F108" t="inlineStr">
        <is>
          <t>VÄSTERBOTTENS LÄN</t>
        </is>
      </c>
      <c r="G108" t="inlineStr">
        <is>
          <t>BJURHOLM</t>
        </is>
      </c>
      <c r="H108" t="inlineStr">
        <is>
          <t>Holmen skog AB</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31782-2022</t>
        </is>
      </c>
      <c r="B109" t="inlineStr">
        <is>
          <t>avverkningsanmälan</t>
        </is>
      </c>
      <c r="C109" t="inlineStr">
        <is>
          <t>Föryngringsavverkning</t>
        </is>
      </c>
      <c r="D109" s="1" t="n">
        <v>44776</v>
      </c>
      <c r="E109" s="1" t="n">
        <v>46219</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28426-2023</t>
        </is>
      </c>
      <c r="B110" t="inlineStr">
        <is>
          <t>avverkningsanmälan</t>
        </is>
      </c>
      <c r="C110" t="inlineStr">
        <is>
          <t>Föryngringsavverkning</t>
        </is>
      </c>
      <c r="D110" s="1" t="n">
        <v>45102</v>
      </c>
      <c r="E110" s="1" t="n">
        <v>46219</v>
      </c>
      <c r="F110" t="inlineStr">
        <is>
          <t>VÄSTERBOTTENS LÄN</t>
        </is>
      </c>
      <c r="G110" t="inlineStr">
        <is>
          <t>BJURHOLM</t>
        </is>
      </c>
      <c r="H110" t="inlineStr">
        <is>
          <t>Holmen skog AB</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3058-2025</t>
        </is>
      </c>
      <c r="B111" t="inlineStr">
        <is>
          <t>avverkningsanmälan</t>
        </is>
      </c>
      <c r="C111" t="inlineStr">
        <is>
          <t>Föryngringsavverkning</t>
        </is>
      </c>
      <c r="D111" s="1" t="n">
        <v>45678</v>
      </c>
      <c r="E111" s="1" t="n">
        <v>46219</v>
      </c>
      <c r="F111" t="inlineStr">
        <is>
          <t>VÄSTERBOTTENS LÄN</t>
        </is>
      </c>
      <c r="G111" t="inlineStr">
        <is>
          <t>BJURHOLM</t>
        </is>
      </c>
      <c r="H111" t="inlineStr">
        <is>
          <t>Sveaskog</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22036-2023</t>
        </is>
      </c>
      <c r="B112" t="inlineStr">
        <is>
          <t>avverkningsanmälan</t>
        </is>
      </c>
      <c r="C112" t="inlineStr">
        <is>
          <t>Föryngringsavverkning</t>
        </is>
      </c>
      <c r="D112" s="1" t="n">
        <v>45069</v>
      </c>
      <c r="E112" s="1" t="n">
        <v>46219</v>
      </c>
      <c r="F112" t="inlineStr">
        <is>
          <t>VÄSTERBOTTENS LÄN</t>
        </is>
      </c>
      <c r="G112" t="inlineStr">
        <is>
          <t>BJURHOLM</t>
        </is>
      </c>
      <c r="H112" t="inlineStr">
        <is>
          <t>Holmen skog AB</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8510-2024</t>
        </is>
      </c>
      <c r="B113" t="inlineStr">
        <is>
          <t>avverkningsanmälan</t>
        </is>
      </c>
      <c r="C113" t="inlineStr">
        <is>
          <t>Föryngringsavverkning</t>
        </is>
      </c>
      <c r="D113" s="1" t="n">
        <v>45351</v>
      </c>
      <c r="E113" s="1" t="n">
        <v>46219</v>
      </c>
      <c r="F113" t="inlineStr">
        <is>
          <t>VÄSTERBOTTENS LÄN</t>
        </is>
      </c>
      <c r="G113" t="inlineStr">
        <is>
          <t>BJURHOLM</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12197-2023</t>
        </is>
      </c>
      <c r="B114" t="inlineStr">
        <is>
          <t>avverkningsanmälan</t>
        </is>
      </c>
      <c r="C114" t="inlineStr">
        <is>
          <t>Avverkning för annat ändamål</t>
        </is>
      </c>
      <c r="D114" s="1" t="n">
        <v>44998</v>
      </c>
      <c r="E114" s="1" t="n">
        <v>46219</v>
      </c>
      <c r="F114" t="inlineStr">
        <is>
          <t>VÄSTERBOTTENS LÄN</t>
        </is>
      </c>
      <c r="G114" t="inlineStr">
        <is>
          <t>BJURHOLM</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50189-2024</t>
        </is>
      </c>
      <c r="B115" t="inlineStr">
        <is>
          <t>avverkningsanmälan</t>
        </is>
      </c>
      <c r="C115" t="inlineStr">
        <is>
          <t>Föryngringsavverkning</t>
        </is>
      </c>
      <c r="D115" s="1" t="n">
        <v>45600</v>
      </c>
      <c r="E115" s="1" t="n">
        <v>46219</v>
      </c>
      <c r="F115" t="inlineStr">
        <is>
          <t>VÄSTERBOTTENS LÄN</t>
        </is>
      </c>
      <c r="G115" t="inlineStr">
        <is>
          <t>BJURHOLM</t>
        </is>
      </c>
      <c r="H115" t="inlineStr">
        <is>
          <t>Holmen skog AB</t>
        </is>
      </c>
      <c r="I115" t="n">
        <v>5.9</v>
      </c>
      <c r="J115" t="n">
        <v>0</v>
      </c>
      <c r="K115" t="n">
        <v>0</v>
      </c>
      <c r="L115" t="n">
        <v>0</v>
      </c>
      <c r="M115" t="n">
        <v>0</v>
      </c>
      <c r="N115" t="n">
        <v>0</v>
      </c>
      <c r="O115" t="n">
        <v>0</v>
      </c>
      <c r="P115" t="n">
        <v>0</v>
      </c>
      <c r="Q115" t="n">
        <v>0</v>
      </c>
      <c r="R115" t="n">
        <v>0</v>
      </c>
      <c r="S115" t="n">
        <v>0</v>
      </c>
      <c r="T115" t="n">
        <v>0</v>
      </c>
      <c r="U115" s="2" t="inlineStr"/>
    </row>
    <row r="116" ht="15" customHeight="1">
      <c r="A116" t="inlineStr">
        <is>
          <t>A 10984-2023</t>
        </is>
      </c>
      <c r="B116" t="inlineStr">
        <is>
          <t>avverkningsanmälan</t>
        </is>
      </c>
      <c r="C116" t="inlineStr">
        <is>
          <t>Föryngringsavverkning</t>
        </is>
      </c>
      <c r="D116" s="1" t="n">
        <v>44985</v>
      </c>
      <c r="E116" s="1" t="n">
        <v>46219</v>
      </c>
      <c r="F116" t="inlineStr">
        <is>
          <t>VÄSTERBOTTENS LÄN</t>
        </is>
      </c>
      <c r="G116" t="inlineStr">
        <is>
          <t>BJURHOLM</t>
        </is>
      </c>
      <c r="I116" t="n">
        <v>4</v>
      </c>
      <c r="J116" t="n">
        <v>0</v>
      </c>
      <c r="K116" t="n">
        <v>0</v>
      </c>
      <c r="L116" t="n">
        <v>0</v>
      </c>
      <c r="M116" t="n">
        <v>0</v>
      </c>
      <c r="N116" t="n">
        <v>0</v>
      </c>
      <c r="O116" t="n">
        <v>0</v>
      </c>
      <c r="P116" t="n">
        <v>0</v>
      </c>
      <c r="Q116" t="n">
        <v>0</v>
      </c>
      <c r="R116" t="n">
        <v>0</v>
      </c>
      <c r="S116" t="n">
        <v>0</v>
      </c>
      <c r="T116" t="n">
        <v>0</v>
      </c>
      <c r="U116" s="2" t="inlineStr"/>
    </row>
    <row r="117" ht="15" customHeight="1">
      <c r="A117" t="inlineStr">
        <is>
          <t>A 36991-2022</t>
        </is>
      </c>
      <c r="B117" t="inlineStr">
        <is>
          <t>avverkningsanmälan</t>
        </is>
      </c>
      <c r="C117" t="inlineStr">
        <is>
          <t>Föryngringsavverkning</t>
        </is>
      </c>
      <c r="D117" s="1" t="n">
        <v>44806</v>
      </c>
      <c r="E117" s="1" t="n">
        <v>46219</v>
      </c>
      <c r="F117" t="inlineStr">
        <is>
          <t>VÄSTERBOTTENS LÄN</t>
        </is>
      </c>
      <c r="G117" t="inlineStr">
        <is>
          <t>BJURHOLM</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53374-2024</t>
        </is>
      </c>
      <c r="B118" t="inlineStr">
        <is>
          <t>avverkningsanmälan</t>
        </is>
      </c>
      <c r="C118" t="inlineStr">
        <is>
          <t>Föryngringsavverkning</t>
        </is>
      </c>
      <c r="D118" s="1" t="n">
        <v>45614</v>
      </c>
      <c r="E118" s="1" t="n">
        <v>46219</v>
      </c>
      <c r="F118" t="inlineStr">
        <is>
          <t>VÄSTERBOTTENS LÄN</t>
        </is>
      </c>
      <c r="G118" t="inlineStr">
        <is>
          <t>BJURHOLM</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57883-2022</t>
        </is>
      </c>
      <c r="B119" t="inlineStr">
        <is>
          <t>avverkningsanmälan</t>
        </is>
      </c>
      <c r="C119" t="inlineStr">
        <is>
          <t>Föryngringsavverkning</t>
        </is>
      </c>
      <c r="D119" s="1" t="n">
        <v>44899</v>
      </c>
      <c r="E119" s="1" t="n">
        <v>46219</v>
      </c>
      <c r="F119" t="inlineStr">
        <is>
          <t>VÄSTERBOTTENS LÄN</t>
        </is>
      </c>
      <c r="G119" t="inlineStr">
        <is>
          <t>BJURHOLM</t>
        </is>
      </c>
      <c r="H119" t="inlineStr">
        <is>
          <t>SCA</t>
        </is>
      </c>
      <c r="I119" t="n">
        <v>3.2</v>
      </c>
      <c r="J119" t="n">
        <v>0</v>
      </c>
      <c r="K119" t="n">
        <v>0</v>
      </c>
      <c r="L119" t="n">
        <v>0</v>
      </c>
      <c r="M119" t="n">
        <v>0</v>
      </c>
      <c r="N119" t="n">
        <v>0</v>
      </c>
      <c r="O119" t="n">
        <v>0</v>
      </c>
      <c r="P119" t="n">
        <v>0</v>
      </c>
      <c r="Q119" t="n">
        <v>0</v>
      </c>
      <c r="R119" t="n">
        <v>0</v>
      </c>
      <c r="S119" t="n">
        <v>0</v>
      </c>
      <c r="T119" t="n">
        <v>0</v>
      </c>
      <c r="U119" s="2" t="inlineStr"/>
    </row>
    <row r="120" ht="15" customHeight="1">
      <c r="A120" t="inlineStr">
        <is>
          <t>A 56693-2024</t>
        </is>
      </c>
      <c r="B120" t="inlineStr">
        <is>
          <t>avverkningsanmälan</t>
        </is>
      </c>
      <c r="C120" t="inlineStr">
        <is>
          <t>Föryngringsavverkning</t>
        </is>
      </c>
      <c r="D120" s="1" t="n">
        <v>45627</v>
      </c>
      <c r="E120" s="1" t="n">
        <v>46219</v>
      </c>
      <c r="F120" t="inlineStr">
        <is>
          <t>VÄSTERBOTTENS LÄN</t>
        </is>
      </c>
      <c r="G120" t="inlineStr">
        <is>
          <t>BJURHOLM</t>
        </is>
      </c>
      <c r="I120" t="n">
        <v>6.8</v>
      </c>
      <c r="J120" t="n">
        <v>0</v>
      </c>
      <c r="K120" t="n">
        <v>0</v>
      </c>
      <c r="L120" t="n">
        <v>0</v>
      </c>
      <c r="M120" t="n">
        <v>0</v>
      </c>
      <c r="N120" t="n">
        <v>0</v>
      </c>
      <c r="O120" t="n">
        <v>0</v>
      </c>
      <c r="P120" t="n">
        <v>0</v>
      </c>
      <c r="Q120" t="n">
        <v>0</v>
      </c>
      <c r="R120" t="n">
        <v>0</v>
      </c>
      <c r="S120" t="n">
        <v>0</v>
      </c>
      <c r="T120" t="n">
        <v>0</v>
      </c>
      <c r="U120" s="2" t="inlineStr"/>
    </row>
    <row r="121" ht="15" customHeight="1">
      <c r="A121" t="inlineStr">
        <is>
          <t>A 39431-2021</t>
        </is>
      </c>
      <c r="B121" t="inlineStr">
        <is>
          <t>avverkningsanmälan</t>
        </is>
      </c>
      <c r="C121" t="inlineStr">
        <is>
          <t>Föryngringsavverkning</t>
        </is>
      </c>
      <c r="D121" s="1" t="n">
        <v>44414</v>
      </c>
      <c r="E121" s="1" t="n">
        <v>46219</v>
      </c>
      <c r="F121" t="inlineStr">
        <is>
          <t>VÄSTERBOTTENS LÄN</t>
        </is>
      </c>
      <c r="G121" t="inlineStr">
        <is>
          <t>BJURHOLM</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23325-2023</t>
        </is>
      </c>
      <c r="B122" t="inlineStr">
        <is>
          <t>avverkningsanmälan</t>
        </is>
      </c>
      <c r="C122" t="inlineStr">
        <is>
          <t>Föryngringsavverkning</t>
        </is>
      </c>
      <c r="D122" s="1" t="n">
        <v>45076</v>
      </c>
      <c r="E122" s="1" t="n">
        <v>46219</v>
      </c>
      <c r="F122" t="inlineStr">
        <is>
          <t>VÄSTERBOTTENS LÄN</t>
        </is>
      </c>
      <c r="G122" t="inlineStr">
        <is>
          <t>BJURHOLM</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14414-2024</t>
        </is>
      </c>
      <c r="B123" t="inlineStr">
        <is>
          <t>avverkningsanmälan</t>
        </is>
      </c>
      <c r="C123" t="inlineStr">
        <is>
          <t>Föryngringsavverkning</t>
        </is>
      </c>
      <c r="D123" s="1" t="n">
        <v>45393</v>
      </c>
      <c r="E123" s="1" t="n">
        <v>46219</v>
      </c>
      <c r="F123" t="inlineStr">
        <is>
          <t>VÄSTERBOTTENS LÄN</t>
        </is>
      </c>
      <c r="G123" t="inlineStr">
        <is>
          <t>BJURHOLM</t>
        </is>
      </c>
      <c r="I123" t="n">
        <v>7.1</v>
      </c>
      <c r="J123" t="n">
        <v>0</v>
      </c>
      <c r="K123" t="n">
        <v>0</v>
      </c>
      <c r="L123" t="n">
        <v>0</v>
      </c>
      <c r="M123" t="n">
        <v>0</v>
      </c>
      <c r="N123" t="n">
        <v>0</v>
      </c>
      <c r="O123" t="n">
        <v>0</v>
      </c>
      <c r="P123" t="n">
        <v>0</v>
      </c>
      <c r="Q123" t="n">
        <v>0</v>
      </c>
      <c r="R123" t="n">
        <v>0</v>
      </c>
      <c r="S123" t="n">
        <v>0</v>
      </c>
      <c r="T123" t="n">
        <v>0</v>
      </c>
      <c r="U123" s="2" t="inlineStr"/>
    </row>
    <row r="124" ht="15" customHeight="1">
      <c r="A124" t="inlineStr">
        <is>
          <t>A 14438-2024</t>
        </is>
      </c>
      <c r="B124" t="inlineStr">
        <is>
          <t>avverkningsanmälan</t>
        </is>
      </c>
      <c r="C124" t="inlineStr">
        <is>
          <t>Föryngringsavverkning</t>
        </is>
      </c>
      <c r="D124" s="1" t="n">
        <v>45394</v>
      </c>
      <c r="E124" s="1" t="n">
        <v>46219</v>
      </c>
      <c r="F124" t="inlineStr">
        <is>
          <t>VÄSTERBOTTENS LÄN</t>
        </is>
      </c>
      <c r="G124" t="inlineStr">
        <is>
          <t>BJURHOLM</t>
        </is>
      </c>
      <c r="I124" t="n">
        <v>5</v>
      </c>
      <c r="J124" t="n">
        <v>0</v>
      </c>
      <c r="K124" t="n">
        <v>0</v>
      </c>
      <c r="L124" t="n">
        <v>0</v>
      </c>
      <c r="M124" t="n">
        <v>0</v>
      </c>
      <c r="N124" t="n">
        <v>0</v>
      </c>
      <c r="O124" t="n">
        <v>0</v>
      </c>
      <c r="P124" t="n">
        <v>0</v>
      </c>
      <c r="Q124" t="n">
        <v>0</v>
      </c>
      <c r="R124" t="n">
        <v>0</v>
      </c>
      <c r="S124" t="n">
        <v>0</v>
      </c>
      <c r="T124" t="n">
        <v>0</v>
      </c>
      <c r="U124" s="2" t="inlineStr"/>
    </row>
    <row r="125" ht="15" customHeight="1">
      <c r="A125" t="inlineStr">
        <is>
          <t>A 14443-2024</t>
        </is>
      </c>
      <c r="B125" t="inlineStr">
        <is>
          <t>avverkningsanmälan</t>
        </is>
      </c>
      <c r="C125" t="inlineStr">
        <is>
          <t>Föryngringsavverkning</t>
        </is>
      </c>
      <c r="D125" s="1" t="n">
        <v>45394</v>
      </c>
      <c r="E125" s="1" t="n">
        <v>46219</v>
      </c>
      <c r="F125" t="inlineStr">
        <is>
          <t>VÄSTERBOTTENS LÄN</t>
        </is>
      </c>
      <c r="G125" t="inlineStr">
        <is>
          <t>BJURHOLM</t>
        </is>
      </c>
      <c r="I125" t="n">
        <v>4.1</v>
      </c>
      <c r="J125" t="n">
        <v>0</v>
      </c>
      <c r="K125" t="n">
        <v>0</v>
      </c>
      <c r="L125" t="n">
        <v>0</v>
      </c>
      <c r="M125" t="n">
        <v>0</v>
      </c>
      <c r="N125" t="n">
        <v>0</v>
      </c>
      <c r="O125" t="n">
        <v>0</v>
      </c>
      <c r="P125" t="n">
        <v>0</v>
      </c>
      <c r="Q125" t="n">
        <v>0</v>
      </c>
      <c r="R125" t="n">
        <v>0</v>
      </c>
      <c r="S125" t="n">
        <v>0</v>
      </c>
      <c r="T125" t="n">
        <v>0</v>
      </c>
      <c r="U125" s="2" t="inlineStr"/>
    </row>
    <row r="126" ht="15" customHeight="1">
      <c r="A126" t="inlineStr">
        <is>
          <t>A 23184-2024</t>
        </is>
      </c>
      <c r="B126" t="inlineStr">
        <is>
          <t>avverkningsanmälan</t>
        </is>
      </c>
      <c r="C126" t="inlineStr">
        <is>
          <t>Föryngringsavverkning</t>
        </is>
      </c>
      <c r="D126" s="1" t="n">
        <v>45450</v>
      </c>
      <c r="E126" s="1" t="n">
        <v>46219</v>
      </c>
      <c r="F126" t="inlineStr">
        <is>
          <t>VÄSTERBOTTENS LÄN</t>
        </is>
      </c>
      <c r="G126" t="inlineStr">
        <is>
          <t>BJURHOLM</t>
        </is>
      </c>
      <c r="H126" t="inlineStr">
        <is>
          <t>SCA</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16327-2024</t>
        </is>
      </c>
      <c r="B127" t="inlineStr">
        <is>
          <t>avverkningsanmälan</t>
        </is>
      </c>
      <c r="C127" t="inlineStr">
        <is>
          <t>Föryngringsavverkning</t>
        </is>
      </c>
      <c r="D127" s="1" t="n">
        <v>45407</v>
      </c>
      <c r="E127" s="1" t="n">
        <v>46219</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32989-2022</t>
        </is>
      </c>
      <c r="B128" t="inlineStr">
        <is>
          <t>avverkningsanmälan</t>
        </is>
      </c>
      <c r="C128" t="inlineStr">
        <is>
          <t>Föryngringsavverkning</t>
        </is>
      </c>
      <c r="D128" s="1" t="n">
        <v>44784</v>
      </c>
      <c r="E128" s="1" t="n">
        <v>46219</v>
      </c>
      <c r="F128" t="inlineStr">
        <is>
          <t>VÄSTERBOTTENS LÄN</t>
        </is>
      </c>
      <c r="G128" t="inlineStr">
        <is>
          <t>BJURHOLM</t>
        </is>
      </c>
      <c r="H128" t="inlineStr">
        <is>
          <t>SCA</t>
        </is>
      </c>
      <c r="I128" t="n">
        <v>1.4</v>
      </c>
      <c r="J128" t="n">
        <v>0</v>
      </c>
      <c r="K128" t="n">
        <v>0</v>
      </c>
      <c r="L128" t="n">
        <v>0</v>
      </c>
      <c r="M128" t="n">
        <v>0</v>
      </c>
      <c r="N128" t="n">
        <v>0</v>
      </c>
      <c r="O128" t="n">
        <v>0</v>
      </c>
      <c r="P128" t="n">
        <v>0</v>
      </c>
      <c r="Q128" t="n">
        <v>0</v>
      </c>
      <c r="R128" t="n">
        <v>0</v>
      </c>
      <c r="S128" t="n">
        <v>0</v>
      </c>
      <c r="T128" t="n">
        <v>0</v>
      </c>
      <c r="U128" s="2" t="inlineStr"/>
    </row>
    <row r="129" ht="15" customHeight="1">
      <c r="A129" t="inlineStr">
        <is>
          <t>A 38426-2025</t>
        </is>
      </c>
      <c r="B129" t="inlineStr">
        <is>
          <t>avverkningsanmälan</t>
        </is>
      </c>
      <c r="C129" t="inlineStr">
        <is>
          <t>Föryngringsavverkning</t>
        </is>
      </c>
      <c r="D129" s="1" t="n">
        <v>45883</v>
      </c>
      <c r="E129" s="1" t="n">
        <v>46219</v>
      </c>
      <c r="F129" t="inlineStr">
        <is>
          <t>VÄSTERBOTTENS LÄN</t>
        </is>
      </c>
      <c r="G129" t="inlineStr">
        <is>
          <t>BJURHOLM</t>
        </is>
      </c>
      <c r="H129" t="inlineStr">
        <is>
          <t>SCA</t>
        </is>
      </c>
      <c r="I129" t="n">
        <v>3.9</v>
      </c>
      <c r="J129" t="n">
        <v>0</v>
      </c>
      <c r="K129" t="n">
        <v>0</v>
      </c>
      <c r="L129" t="n">
        <v>0</v>
      </c>
      <c r="M129" t="n">
        <v>0</v>
      </c>
      <c r="N129" t="n">
        <v>0</v>
      </c>
      <c r="O129" t="n">
        <v>0</v>
      </c>
      <c r="P129" t="n">
        <v>0</v>
      </c>
      <c r="Q129" t="n">
        <v>0</v>
      </c>
      <c r="R129" t="n">
        <v>0</v>
      </c>
      <c r="S129" t="n">
        <v>0</v>
      </c>
      <c r="T129" t="n">
        <v>0</v>
      </c>
      <c r="U129" s="2" t="inlineStr"/>
    </row>
    <row r="130" ht="15" customHeight="1">
      <c r="A130" t="inlineStr">
        <is>
          <t>A 3181-2025</t>
        </is>
      </c>
      <c r="B130" t="inlineStr">
        <is>
          <t>avverkningsanmälan</t>
        </is>
      </c>
      <c r="C130" t="inlineStr">
        <is>
          <t>Föryngringsavverkning</t>
        </is>
      </c>
      <c r="D130" s="1" t="n">
        <v>45679</v>
      </c>
      <c r="E130" s="1" t="n">
        <v>46219</v>
      </c>
      <c r="F130" t="inlineStr">
        <is>
          <t>VÄSTERBOTTENS LÄN</t>
        </is>
      </c>
      <c r="G130" t="inlineStr">
        <is>
          <t>BJURHOLM</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55512-2023</t>
        </is>
      </c>
      <c r="B131" t="inlineStr">
        <is>
          <t>avverkningsanmälan</t>
        </is>
      </c>
      <c r="C131" t="inlineStr">
        <is>
          <t>Föryngringsavverkning</t>
        </is>
      </c>
      <c r="D131" s="1" t="n">
        <v>45232</v>
      </c>
      <c r="E131" s="1" t="n">
        <v>46219</v>
      </c>
      <c r="F131" t="inlineStr">
        <is>
          <t>VÄSTERBOTTENS LÄN</t>
        </is>
      </c>
      <c r="G131" t="inlineStr">
        <is>
          <t>BJURHOLM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57799-2023</t>
        </is>
      </c>
      <c r="B132" t="inlineStr">
        <is>
          <t>avverkningsanmälan</t>
        </is>
      </c>
      <c r="C132" t="inlineStr">
        <is>
          <t>Föryngringsavverkning</t>
        </is>
      </c>
      <c r="D132" s="1" t="n">
        <v>45246</v>
      </c>
      <c r="E132" s="1" t="n">
        <v>46219</v>
      </c>
      <c r="F132" t="inlineStr">
        <is>
          <t>VÄSTERBOTTENS LÄN</t>
        </is>
      </c>
      <c r="G132" t="inlineStr">
        <is>
          <t>BJURHOLM</t>
        </is>
      </c>
      <c r="H132" t="inlineStr">
        <is>
          <t>SCA</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15581-2023</t>
        </is>
      </c>
      <c r="B133" t="inlineStr">
        <is>
          <t>avverkningsanmälan</t>
        </is>
      </c>
      <c r="C133" t="inlineStr">
        <is>
          <t>Föryngringsavverkning</t>
        </is>
      </c>
      <c r="D133" s="1" t="n">
        <v>45019</v>
      </c>
      <c r="E133" s="1" t="n">
        <v>46219</v>
      </c>
      <c r="F133" t="inlineStr">
        <is>
          <t>VÄSTERBOTTENS LÄN</t>
        </is>
      </c>
      <c r="G133" t="inlineStr">
        <is>
          <t>BJURHOLM</t>
        </is>
      </c>
      <c r="I133" t="n">
        <v>7</v>
      </c>
      <c r="J133" t="n">
        <v>0</v>
      </c>
      <c r="K133" t="n">
        <v>0</v>
      </c>
      <c r="L133" t="n">
        <v>0</v>
      </c>
      <c r="M133" t="n">
        <v>0</v>
      </c>
      <c r="N133" t="n">
        <v>0</v>
      </c>
      <c r="O133" t="n">
        <v>0</v>
      </c>
      <c r="P133" t="n">
        <v>0</v>
      </c>
      <c r="Q133" t="n">
        <v>0</v>
      </c>
      <c r="R133" t="n">
        <v>0</v>
      </c>
      <c r="S133" t="n">
        <v>0</v>
      </c>
      <c r="T133" t="n">
        <v>0</v>
      </c>
      <c r="U133" s="2" t="inlineStr"/>
    </row>
    <row r="134" ht="15" customHeight="1">
      <c r="A134" t="inlineStr">
        <is>
          <t>A 29095-2024</t>
        </is>
      </c>
      <c r="B134" t="inlineStr">
        <is>
          <t>avverkningsanmälan</t>
        </is>
      </c>
      <c r="C134" t="inlineStr">
        <is>
          <t>Föryngringsavverkning</t>
        </is>
      </c>
      <c r="D134" s="1" t="n">
        <v>45481</v>
      </c>
      <c r="E134" s="1" t="n">
        <v>46219</v>
      </c>
      <c r="F134" t="inlineStr">
        <is>
          <t>VÄSTERBOTTENS LÄN</t>
        </is>
      </c>
      <c r="G134" t="inlineStr">
        <is>
          <t>BJURHOLM</t>
        </is>
      </c>
      <c r="H134" t="inlineStr">
        <is>
          <t>SCA</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25794-2024</t>
        </is>
      </c>
      <c r="B135" t="inlineStr">
        <is>
          <t>avverkningsanmälan</t>
        </is>
      </c>
      <c r="C135" t="inlineStr">
        <is>
          <t>Föryngringsavverkning</t>
        </is>
      </c>
      <c r="D135" s="1" t="n">
        <v>45467</v>
      </c>
      <c r="E135" s="1" t="n">
        <v>46219</v>
      </c>
      <c r="F135" t="inlineStr">
        <is>
          <t>VÄSTERBOTTENS LÄN</t>
        </is>
      </c>
      <c r="G135" t="inlineStr">
        <is>
          <t>BJURHOLM</t>
        </is>
      </c>
      <c r="H135" t="inlineStr">
        <is>
          <t>Holmen skog AB</t>
        </is>
      </c>
      <c r="I135" t="n">
        <v>9</v>
      </c>
      <c r="J135" t="n">
        <v>0</v>
      </c>
      <c r="K135" t="n">
        <v>0</v>
      </c>
      <c r="L135" t="n">
        <v>0</v>
      </c>
      <c r="M135" t="n">
        <v>0</v>
      </c>
      <c r="N135" t="n">
        <v>0</v>
      </c>
      <c r="O135" t="n">
        <v>0</v>
      </c>
      <c r="P135" t="n">
        <v>0</v>
      </c>
      <c r="Q135" t="n">
        <v>0</v>
      </c>
      <c r="R135" t="n">
        <v>0</v>
      </c>
      <c r="S135" t="n">
        <v>0</v>
      </c>
      <c r="T135" t="n">
        <v>0</v>
      </c>
      <c r="U135" s="2" t="inlineStr"/>
    </row>
    <row r="136" ht="15" customHeight="1">
      <c r="A136" t="inlineStr">
        <is>
          <t>A 50238-2024</t>
        </is>
      </c>
      <c r="B136" t="inlineStr">
        <is>
          <t>avverkningsanmälan</t>
        </is>
      </c>
      <c r="C136" t="inlineStr">
        <is>
          <t>Föryngringsavverkning</t>
        </is>
      </c>
      <c r="D136" s="1" t="n">
        <v>45600</v>
      </c>
      <c r="E136" s="1" t="n">
        <v>46219</v>
      </c>
      <c r="F136" t="inlineStr">
        <is>
          <t>VÄSTERBOTTENS LÄN</t>
        </is>
      </c>
      <c r="G136" t="inlineStr">
        <is>
          <t>BJURHOLM</t>
        </is>
      </c>
      <c r="H136" t="inlineStr">
        <is>
          <t>Holmen skog AB</t>
        </is>
      </c>
      <c r="I136" t="n">
        <v>5.7</v>
      </c>
      <c r="J136" t="n">
        <v>0</v>
      </c>
      <c r="K136" t="n">
        <v>0</v>
      </c>
      <c r="L136" t="n">
        <v>0</v>
      </c>
      <c r="M136" t="n">
        <v>0</v>
      </c>
      <c r="N136" t="n">
        <v>0</v>
      </c>
      <c r="O136" t="n">
        <v>0</v>
      </c>
      <c r="P136" t="n">
        <v>0</v>
      </c>
      <c r="Q136" t="n">
        <v>0</v>
      </c>
      <c r="R136" t="n">
        <v>0</v>
      </c>
      <c r="S136" t="n">
        <v>0</v>
      </c>
      <c r="T136" t="n">
        <v>0</v>
      </c>
      <c r="U136" s="2" t="inlineStr"/>
    </row>
    <row r="137" ht="15" customHeight="1">
      <c r="A137" t="inlineStr">
        <is>
          <t>A 33395-2023</t>
        </is>
      </c>
      <c r="B137" t="inlineStr">
        <is>
          <t>avverkningsanmälan</t>
        </is>
      </c>
      <c r="C137" t="inlineStr">
        <is>
          <t>Föryngringsavverkning</t>
        </is>
      </c>
      <c r="D137" s="1" t="n">
        <v>45128</v>
      </c>
      <c r="E137" s="1" t="n">
        <v>46219</v>
      </c>
      <c r="F137" t="inlineStr">
        <is>
          <t>VÄSTERBOTTENS LÄN</t>
        </is>
      </c>
      <c r="G137" t="inlineStr">
        <is>
          <t>BJURHOLM</t>
        </is>
      </c>
      <c r="H137" t="inlineStr">
        <is>
          <t>Holmen skog AB</t>
        </is>
      </c>
      <c r="I137" t="n">
        <v>5.8</v>
      </c>
      <c r="J137" t="n">
        <v>0</v>
      </c>
      <c r="K137" t="n">
        <v>0</v>
      </c>
      <c r="L137" t="n">
        <v>0</v>
      </c>
      <c r="M137" t="n">
        <v>0</v>
      </c>
      <c r="N137" t="n">
        <v>0</v>
      </c>
      <c r="O137" t="n">
        <v>0</v>
      </c>
      <c r="P137" t="n">
        <v>0</v>
      </c>
      <c r="Q137" t="n">
        <v>0</v>
      </c>
      <c r="R137" t="n">
        <v>0</v>
      </c>
      <c r="S137" t="n">
        <v>0</v>
      </c>
      <c r="T137" t="n">
        <v>0</v>
      </c>
      <c r="U137" s="2" t="inlineStr"/>
    </row>
    <row r="138" ht="15" customHeight="1">
      <c r="A138" t="inlineStr">
        <is>
          <t>A 38818-2025</t>
        </is>
      </c>
      <c r="B138" t="inlineStr">
        <is>
          <t>avverkningsanmälan</t>
        </is>
      </c>
      <c r="C138" t="inlineStr">
        <is>
          <t>Föryngringsavverkning</t>
        </is>
      </c>
      <c r="D138" s="1" t="n">
        <v>45887</v>
      </c>
      <c r="E138" s="1" t="n">
        <v>46219</v>
      </c>
      <c r="F138" t="inlineStr">
        <is>
          <t>VÄSTERBOTTENS LÄN</t>
        </is>
      </c>
      <c r="G138" t="inlineStr">
        <is>
          <t>BJURHOLM</t>
        </is>
      </c>
      <c r="I138" t="n">
        <v>2.8</v>
      </c>
      <c r="J138" t="n">
        <v>0</v>
      </c>
      <c r="K138" t="n">
        <v>0</v>
      </c>
      <c r="L138" t="n">
        <v>0</v>
      </c>
      <c r="M138" t="n">
        <v>0</v>
      </c>
      <c r="N138" t="n">
        <v>0</v>
      </c>
      <c r="O138" t="n">
        <v>0</v>
      </c>
      <c r="P138" t="n">
        <v>0</v>
      </c>
      <c r="Q138" t="n">
        <v>0</v>
      </c>
      <c r="R138" t="n">
        <v>0</v>
      </c>
      <c r="S138" t="n">
        <v>0</v>
      </c>
      <c r="T138" t="n">
        <v>0</v>
      </c>
      <c r="U138" s="2" t="inlineStr"/>
    </row>
    <row r="139" ht="15" customHeight="1">
      <c r="A139" t="inlineStr">
        <is>
          <t>A 57609-2024</t>
        </is>
      </c>
      <c r="B139" t="inlineStr">
        <is>
          <t>avverkningsanmälan</t>
        </is>
      </c>
      <c r="C139" t="inlineStr">
        <is>
          <t>Föryngringsavverkning</t>
        </is>
      </c>
      <c r="D139" s="1" t="n">
        <v>45630</v>
      </c>
      <c r="E139" s="1" t="n">
        <v>46219</v>
      </c>
      <c r="F139" t="inlineStr">
        <is>
          <t>VÄSTERBOTTENS LÄN</t>
        </is>
      </c>
      <c r="G139" t="inlineStr">
        <is>
          <t>BJURHOLM</t>
        </is>
      </c>
      <c r="H139" t="inlineStr">
        <is>
          <t>Sveaskog</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39255-2025</t>
        </is>
      </c>
      <c r="B140" t="inlineStr">
        <is>
          <t>avverkningsanmälan</t>
        </is>
      </c>
      <c r="C140" t="inlineStr">
        <is>
          <t>Föryngringsavverkning</t>
        </is>
      </c>
      <c r="D140" s="1" t="n">
        <v>45889</v>
      </c>
      <c r="E140" s="1" t="n">
        <v>46219</v>
      </c>
      <c r="F140" t="inlineStr">
        <is>
          <t>VÄSTERBOTTENS LÄN</t>
        </is>
      </c>
      <c r="G140" t="inlineStr">
        <is>
          <t>BJURHOLM</t>
        </is>
      </c>
      <c r="I140" t="n">
        <v>2.1</v>
      </c>
      <c r="J140" t="n">
        <v>0</v>
      </c>
      <c r="K140" t="n">
        <v>0</v>
      </c>
      <c r="L140" t="n">
        <v>0</v>
      </c>
      <c r="M140" t="n">
        <v>0</v>
      </c>
      <c r="N140" t="n">
        <v>0</v>
      </c>
      <c r="O140" t="n">
        <v>0</v>
      </c>
      <c r="P140" t="n">
        <v>0</v>
      </c>
      <c r="Q140" t="n">
        <v>0</v>
      </c>
      <c r="R140" t="n">
        <v>0</v>
      </c>
      <c r="S140" t="n">
        <v>0</v>
      </c>
      <c r="T140" t="n">
        <v>0</v>
      </c>
      <c r="U140" s="2" t="inlineStr"/>
    </row>
    <row r="141" ht="15" customHeight="1">
      <c r="A141" t="inlineStr">
        <is>
          <t>A 39267-2025</t>
        </is>
      </c>
      <c r="B141" t="inlineStr">
        <is>
          <t>avverkningsanmälan</t>
        </is>
      </c>
      <c r="C141" t="inlineStr">
        <is>
          <t>Föryngringsavverkning</t>
        </is>
      </c>
      <c r="D141" s="1" t="n">
        <v>45889</v>
      </c>
      <c r="E141" s="1" t="n">
        <v>46219</v>
      </c>
      <c r="F141" t="inlineStr">
        <is>
          <t>VÄSTERBOTTENS LÄN</t>
        </is>
      </c>
      <c r="G141" t="inlineStr">
        <is>
          <t>BJURHOLM</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39252-2025</t>
        </is>
      </c>
      <c r="B142" t="inlineStr">
        <is>
          <t>avverkningsanmälan</t>
        </is>
      </c>
      <c r="C142" t="inlineStr">
        <is>
          <t>Föryngringsavverkning</t>
        </is>
      </c>
      <c r="D142" s="1" t="n">
        <v>45889</v>
      </c>
      <c r="E142" s="1" t="n">
        <v>46219</v>
      </c>
      <c r="F142" t="inlineStr">
        <is>
          <t>VÄSTERBOTTENS LÄN</t>
        </is>
      </c>
      <c r="G142" t="inlineStr">
        <is>
          <t>BJURHOLM</t>
        </is>
      </c>
      <c r="I142" t="n">
        <v>2.1</v>
      </c>
      <c r="J142" t="n">
        <v>0</v>
      </c>
      <c r="K142" t="n">
        <v>0</v>
      </c>
      <c r="L142" t="n">
        <v>0</v>
      </c>
      <c r="M142" t="n">
        <v>0</v>
      </c>
      <c r="N142" t="n">
        <v>0</v>
      </c>
      <c r="O142" t="n">
        <v>0</v>
      </c>
      <c r="P142" t="n">
        <v>0</v>
      </c>
      <c r="Q142" t="n">
        <v>0</v>
      </c>
      <c r="R142" t="n">
        <v>0</v>
      </c>
      <c r="S142" t="n">
        <v>0</v>
      </c>
      <c r="T142" t="n">
        <v>0</v>
      </c>
      <c r="U142" s="2" t="inlineStr"/>
    </row>
    <row r="143" ht="15" customHeight="1">
      <c r="A143" t="inlineStr">
        <is>
          <t>A 39263-2025</t>
        </is>
      </c>
      <c r="B143" t="inlineStr">
        <is>
          <t>avverkningsanmälan</t>
        </is>
      </c>
      <c r="C143" t="inlineStr">
        <is>
          <t>Föryngringsavverkning</t>
        </is>
      </c>
      <c r="D143" s="1" t="n">
        <v>45889</v>
      </c>
      <c r="E143" s="1" t="n">
        <v>46219</v>
      </c>
      <c r="F143" t="inlineStr">
        <is>
          <t>VÄSTERBOTTENS LÄN</t>
        </is>
      </c>
      <c r="G143" t="inlineStr">
        <is>
          <t>BJURHOLM</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22408-2024</t>
        </is>
      </c>
      <c r="B144" t="inlineStr">
        <is>
          <t>avverkningsanmälan</t>
        </is>
      </c>
      <c r="C144" t="inlineStr">
        <is>
          <t>Föryngringsavverkning</t>
        </is>
      </c>
      <c r="D144" s="1" t="n">
        <v>45446</v>
      </c>
      <c r="E144" s="1" t="n">
        <v>46219</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3493-2023</t>
        </is>
      </c>
      <c r="B145" t="inlineStr">
        <is>
          <t>avverkningsanmälan</t>
        </is>
      </c>
      <c r="C145" t="inlineStr">
        <is>
          <t>Föryngringsavverkning</t>
        </is>
      </c>
      <c r="D145" s="1" t="n">
        <v>44949</v>
      </c>
      <c r="E145" s="1" t="n">
        <v>46219</v>
      </c>
      <c r="F145" t="inlineStr">
        <is>
          <t>VÄSTERBOTTENS LÄN</t>
        </is>
      </c>
      <c r="G145" t="inlineStr">
        <is>
          <t>BJURHOLM</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51239-2022</t>
        </is>
      </c>
      <c r="B146" t="inlineStr">
        <is>
          <t>avverkningsanmälan</t>
        </is>
      </c>
      <c r="C146" t="inlineStr">
        <is>
          <t>Föryngringsavverkning</t>
        </is>
      </c>
      <c r="D146" s="1" t="n">
        <v>44866</v>
      </c>
      <c r="E146" s="1" t="n">
        <v>46219</v>
      </c>
      <c r="F146" t="inlineStr">
        <is>
          <t>VÄSTERBOTTENS LÄN</t>
        </is>
      </c>
      <c r="G146" t="inlineStr">
        <is>
          <t>BJURHOLM</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22852-2023</t>
        </is>
      </c>
      <c r="B147" t="inlineStr">
        <is>
          <t>avverkningsanmälan</t>
        </is>
      </c>
      <c r="C147" t="inlineStr">
        <is>
          <t>Föryngringsavverkning</t>
        </is>
      </c>
      <c r="D147" s="1" t="n">
        <v>45072</v>
      </c>
      <c r="E147" s="1" t="n">
        <v>46219</v>
      </c>
      <c r="F147" t="inlineStr">
        <is>
          <t>VÄSTERBOTTENS LÄN</t>
        </is>
      </c>
      <c r="G147" t="inlineStr">
        <is>
          <t>BJURHOLM</t>
        </is>
      </c>
      <c r="I147" t="n">
        <v>0.2</v>
      </c>
      <c r="J147" t="n">
        <v>0</v>
      </c>
      <c r="K147" t="n">
        <v>0</v>
      </c>
      <c r="L147" t="n">
        <v>0</v>
      </c>
      <c r="M147" t="n">
        <v>0</v>
      </c>
      <c r="N147" t="n">
        <v>0</v>
      </c>
      <c r="O147" t="n">
        <v>0</v>
      </c>
      <c r="P147" t="n">
        <v>0</v>
      </c>
      <c r="Q147" t="n">
        <v>0</v>
      </c>
      <c r="R147" t="n">
        <v>0</v>
      </c>
      <c r="S147" t="n">
        <v>0</v>
      </c>
      <c r="T147" t="n">
        <v>0</v>
      </c>
      <c r="U147" s="2" t="inlineStr"/>
    </row>
    <row r="148" ht="15" customHeight="1">
      <c r="A148" t="inlineStr">
        <is>
          <t>A 40916-2025</t>
        </is>
      </c>
      <c r="B148" t="inlineStr">
        <is>
          <t>avverkningsanmälan</t>
        </is>
      </c>
      <c r="C148" t="inlineStr">
        <is>
          <t>Föryngringsavverkning</t>
        </is>
      </c>
      <c r="D148" s="1" t="n">
        <v>45897</v>
      </c>
      <c r="E148" s="1" t="n">
        <v>46219</v>
      </c>
      <c r="F148" t="inlineStr">
        <is>
          <t>VÄSTERBOTTENS LÄN</t>
        </is>
      </c>
      <c r="G148" t="inlineStr">
        <is>
          <t>BJURHOLM</t>
        </is>
      </c>
      <c r="H148" t="inlineStr">
        <is>
          <t>SCA</t>
        </is>
      </c>
      <c r="I148" t="n">
        <v>48.1</v>
      </c>
      <c r="J148" t="n">
        <v>0</v>
      </c>
      <c r="K148" t="n">
        <v>0</v>
      </c>
      <c r="L148" t="n">
        <v>0</v>
      </c>
      <c r="M148" t="n">
        <v>0</v>
      </c>
      <c r="N148" t="n">
        <v>0</v>
      </c>
      <c r="O148" t="n">
        <v>0</v>
      </c>
      <c r="P148" t="n">
        <v>0</v>
      </c>
      <c r="Q148" t="n">
        <v>0</v>
      </c>
      <c r="R148" t="n">
        <v>0</v>
      </c>
      <c r="S148" t="n">
        <v>0</v>
      </c>
      <c r="T148" t="n">
        <v>0</v>
      </c>
      <c r="U148" s="2" t="inlineStr"/>
    </row>
    <row r="149" ht="15" customHeight="1">
      <c r="A149" t="inlineStr">
        <is>
          <t>A 32436-2024</t>
        </is>
      </c>
      <c r="B149" t="inlineStr">
        <is>
          <t>avverkningsanmälan</t>
        </is>
      </c>
      <c r="C149" t="inlineStr">
        <is>
          <t>Föryngringsavverkning</t>
        </is>
      </c>
      <c r="D149" s="1" t="n">
        <v>45512</v>
      </c>
      <c r="E149" s="1" t="n">
        <v>46219</v>
      </c>
      <c r="F149" t="inlineStr">
        <is>
          <t>VÄSTERBOTTENS LÄN</t>
        </is>
      </c>
      <c r="G149" t="inlineStr">
        <is>
          <t>BJURHOLM</t>
        </is>
      </c>
      <c r="I149" t="n">
        <v>2.8</v>
      </c>
      <c r="J149" t="n">
        <v>0</v>
      </c>
      <c r="K149" t="n">
        <v>0</v>
      </c>
      <c r="L149" t="n">
        <v>0</v>
      </c>
      <c r="M149" t="n">
        <v>0</v>
      </c>
      <c r="N149" t="n">
        <v>0</v>
      </c>
      <c r="O149" t="n">
        <v>0</v>
      </c>
      <c r="P149" t="n">
        <v>0</v>
      </c>
      <c r="Q149" t="n">
        <v>0</v>
      </c>
      <c r="R149" t="n">
        <v>0</v>
      </c>
      <c r="S149" t="n">
        <v>0</v>
      </c>
      <c r="T149" t="n">
        <v>0</v>
      </c>
      <c r="U149" s="2" t="inlineStr"/>
    </row>
    <row r="150" ht="15" customHeight="1">
      <c r="A150" t="inlineStr">
        <is>
          <t>A 33711-2023</t>
        </is>
      </c>
      <c r="B150" t="inlineStr">
        <is>
          <t>avverkningsanmälan</t>
        </is>
      </c>
      <c r="C150" t="inlineStr">
        <is>
          <t>Föryngringsavverkning</t>
        </is>
      </c>
      <c r="D150" s="1" t="n">
        <v>45132</v>
      </c>
      <c r="E150" s="1" t="n">
        <v>46219</v>
      </c>
      <c r="F150" t="inlineStr">
        <is>
          <t>VÄSTERBOTTENS LÄN</t>
        </is>
      </c>
      <c r="G150" t="inlineStr">
        <is>
          <t>BJURHOLM</t>
        </is>
      </c>
      <c r="H150" t="inlineStr">
        <is>
          <t>SCA</t>
        </is>
      </c>
      <c r="I150" t="n">
        <v>70.09999999999999</v>
      </c>
      <c r="J150" t="n">
        <v>0</v>
      </c>
      <c r="K150" t="n">
        <v>0</v>
      </c>
      <c r="L150" t="n">
        <v>0</v>
      </c>
      <c r="M150" t="n">
        <v>0</v>
      </c>
      <c r="N150" t="n">
        <v>0</v>
      </c>
      <c r="O150" t="n">
        <v>0</v>
      </c>
      <c r="P150" t="n">
        <v>0</v>
      </c>
      <c r="Q150" t="n">
        <v>0</v>
      </c>
      <c r="R150" t="n">
        <v>0</v>
      </c>
      <c r="S150" t="n">
        <v>0</v>
      </c>
      <c r="T150" t="n">
        <v>0</v>
      </c>
      <c r="U150" s="2" t="inlineStr"/>
    </row>
    <row r="151" ht="15" customHeight="1">
      <c r="A151" t="inlineStr">
        <is>
          <t>A 36978-2024</t>
        </is>
      </c>
      <c r="B151" t="inlineStr">
        <is>
          <t>avverkningsanmälan</t>
        </is>
      </c>
      <c r="C151" t="inlineStr">
        <is>
          <t>Avverkning för annat ändamål</t>
        </is>
      </c>
      <c r="D151" s="1" t="n">
        <v>45539</v>
      </c>
      <c r="E151" s="1" t="n">
        <v>46219</v>
      </c>
      <c r="F151" t="inlineStr">
        <is>
          <t>VÄSTERBOTTENS LÄN</t>
        </is>
      </c>
      <c r="G151" t="inlineStr">
        <is>
          <t>BJURHOLM</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22502-2024</t>
        </is>
      </c>
      <c r="B152" t="inlineStr">
        <is>
          <t>avverkningsanmälan</t>
        </is>
      </c>
      <c r="C152" t="inlineStr">
        <is>
          <t>Föryngringsavverkning</t>
        </is>
      </c>
      <c r="D152" s="1" t="n">
        <v>45447</v>
      </c>
      <c r="E152" s="1" t="n">
        <v>46219</v>
      </c>
      <c r="F152" t="inlineStr">
        <is>
          <t>VÄSTERBOTTENS LÄN</t>
        </is>
      </c>
      <c r="G152" t="inlineStr">
        <is>
          <t>BJURHOLM</t>
        </is>
      </c>
      <c r="H152" t="inlineStr">
        <is>
          <t>Holmen skog AB</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31575-2024</t>
        </is>
      </c>
      <c r="B153" t="inlineStr">
        <is>
          <t>avverkningsanmälan</t>
        </is>
      </c>
      <c r="C153" t="inlineStr">
        <is>
          <t>Föryngringsavverkning</t>
        </is>
      </c>
      <c r="D153" s="1" t="n">
        <v>45506</v>
      </c>
      <c r="E153" s="1" t="n">
        <v>46219</v>
      </c>
      <c r="F153" t="inlineStr">
        <is>
          <t>VÄSTERBOTTENS LÄN</t>
        </is>
      </c>
      <c r="G153" t="inlineStr">
        <is>
          <t>BJURHOLM</t>
        </is>
      </c>
      <c r="H153" t="inlineStr">
        <is>
          <t>Holmen skog AB</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42779-2025</t>
        </is>
      </c>
      <c r="B154" t="inlineStr">
        <is>
          <t>avverkningsanmälan</t>
        </is>
      </c>
      <c r="C154" t="inlineStr">
        <is>
          <t>Föryngringsavverkning</t>
        </is>
      </c>
      <c r="D154" s="1" t="n">
        <v>45908</v>
      </c>
      <c r="E154" s="1" t="n">
        <v>46219</v>
      </c>
      <c r="F154" t="inlineStr">
        <is>
          <t>VÄSTERBOTTENS LÄN</t>
        </is>
      </c>
      <c r="G154" t="inlineStr">
        <is>
          <t>BJURHOLM</t>
        </is>
      </c>
      <c r="I154" t="n">
        <v>6.4</v>
      </c>
      <c r="J154" t="n">
        <v>0</v>
      </c>
      <c r="K154" t="n">
        <v>0</v>
      </c>
      <c r="L154" t="n">
        <v>0</v>
      </c>
      <c r="M154" t="n">
        <v>0</v>
      </c>
      <c r="N154" t="n">
        <v>0</v>
      </c>
      <c r="O154" t="n">
        <v>0</v>
      </c>
      <c r="P154" t="n">
        <v>0</v>
      </c>
      <c r="Q154" t="n">
        <v>0</v>
      </c>
      <c r="R154" t="n">
        <v>0</v>
      </c>
      <c r="S154" t="n">
        <v>0</v>
      </c>
      <c r="T154" t="n">
        <v>0</v>
      </c>
      <c r="U154" s="2" t="inlineStr"/>
    </row>
    <row r="155" ht="15" customHeight="1">
      <c r="A155" t="inlineStr">
        <is>
          <t>A 59675-2021</t>
        </is>
      </c>
      <c r="B155" t="inlineStr">
        <is>
          <t>avverkningsanmälan</t>
        </is>
      </c>
      <c r="C155" t="inlineStr">
        <is>
          <t>Avverkning för annat ändamål</t>
        </is>
      </c>
      <c r="D155" s="1" t="n">
        <v>44494</v>
      </c>
      <c r="E155" s="1" t="n">
        <v>46219</v>
      </c>
      <c r="F155" t="inlineStr">
        <is>
          <t>VÄSTERBOTTENS LÄN</t>
        </is>
      </c>
      <c r="G155" t="inlineStr">
        <is>
          <t>BJURHOLM</t>
        </is>
      </c>
      <c r="I155" t="n">
        <v>0.1</v>
      </c>
      <c r="J155" t="n">
        <v>0</v>
      </c>
      <c r="K155" t="n">
        <v>0</v>
      </c>
      <c r="L155" t="n">
        <v>0</v>
      </c>
      <c r="M155" t="n">
        <v>0</v>
      </c>
      <c r="N155" t="n">
        <v>0</v>
      </c>
      <c r="O155" t="n">
        <v>0</v>
      </c>
      <c r="P155" t="n">
        <v>0</v>
      </c>
      <c r="Q155" t="n">
        <v>0</v>
      </c>
      <c r="R155" t="n">
        <v>0</v>
      </c>
      <c r="S155" t="n">
        <v>0</v>
      </c>
      <c r="T155" t="n">
        <v>0</v>
      </c>
      <c r="U155" s="2" t="inlineStr"/>
    </row>
    <row r="156" ht="15" customHeight="1">
      <c r="A156" t="inlineStr">
        <is>
          <t>A 27953-2024</t>
        </is>
      </c>
      <c r="B156" t="inlineStr">
        <is>
          <t>avverkningsanmälan</t>
        </is>
      </c>
      <c r="C156" t="inlineStr">
        <is>
          <t>Föryngringsavverkning</t>
        </is>
      </c>
      <c r="D156" s="1" t="n">
        <v>45476</v>
      </c>
      <c r="E156" s="1" t="n">
        <v>46219</v>
      </c>
      <c r="F156" t="inlineStr">
        <is>
          <t>VÄSTERBOTTENS LÄN</t>
        </is>
      </c>
      <c r="G156" t="inlineStr">
        <is>
          <t>BJURHOLM</t>
        </is>
      </c>
      <c r="H156" t="inlineStr">
        <is>
          <t>Holmen skog AB</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39101-2024</t>
        </is>
      </c>
      <c r="B157" t="inlineStr">
        <is>
          <t>avverkningsanmälan</t>
        </is>
      </c>
      <c r="C157" t="inlineStr">
        <is>
          <t>Föryngringsavverkning</t>
        </is>
      </c>
      <c r="D157" s="1" t="n">
        <v>45548</v>
      </c>
      <c r="E157" s="1" t="n">
        <v>46219</v>
      </c>
      <c r="F157" t="inlineStr">
        <is>
          <t>VÄSTERBOTTENS LÄN</t>
        </is>
      </c>
      <c r="G157" t="inlineStr">
        <is>
          <t>BJURHOLM</t>
        </is>
      </c>
      <c r="I157" t="n">
        <v>5.1</v>
      </c>
      <c r="J157" t="n">
        <v>0</v>
      </c>
      <c r="K157" t="n">
        <v>0</v>
      </c>
      <c r="L157" t="n">
        <v>0</v>
      </c>
      <c r="M157" t="n">
        <v>0</v>
      </c>
      <c r="N157" t="n">
        <v>0</v>
      </c>
      <c r="O157" t="n">
        <v>0</v>
      </c>
      <c r="P157" t="n">
        <v>0</v>
      </c>
      <c r="Q157" t="n">
        <v>0</v>
      </c>
      <c r="R157" t="n">
        <v>0</v>
      </c>
      <c r="S157" t="n">
        <v>0</v>
      </c>
      <c r="T157" t="n">
        <v>0</v>
      </c>
      <c r="U157" s="2" t="inlineStr"/>
    </row>
    <row r="158" ht="15" customHeight="1">
      <c r="A158" t="inlineStr">
        <is>
          <t>A 15910-2025</t>
        </is>
      </c>
      <c r="B158" t="inlineStr">
        <is>
          <t>avverkningsanmälan</t>
        </is>
      </c>
      <c r="C158" t="inlineStr">
        <is>
          <t>Föryngringsavverkning</t>
        </is>
      </c>
      <c r="D158" s="1" t="n">
        <v>45749</v>
      </c>
      <c r="E158" s="1" t="n">
        <v>46219</v>
      </c>
      <c r="F158" t="inlineStr">
        <is>
          <t>VÄSTERBOTTENS LÄN</t>
        </is>
      </c>
      <c r="G158" t="inlineStr">
        <is>
          <t>BJURHOLM</t>
        </is>
      </c>
      <c r="I158" t="n">
        <v>6</v>
      </c>
      <c r="J158" t="n">
        <v>0</v>
      </c>
      <c r="K158" t="n">
        <v>0</v>
      </c>
      <c r="L158" t="n">
        <v>0</v>
      </c>
      <c r="M158" t="n">
        <v>0</v>
      </c>
      <c r="N158" t="n">
        <v>0</v>
      </c>
      <c r="O158" t="n">
        <v>0</v>
      </c>
      <c r="P158" t="n">
        <v>0</v>
      </c>
      <c r="Q158" t="n">
        <v>0</v>
      </c>
      <c r="R158" t="n">
        <v>0</v>
      </c>
      <c r="S158" t="n">
        <v>0</v>
      </c>
      <c r="T158" t="n">
        <v>0</v>
      </c>
      <c r="U158" s="2" t="inlineStr"/>
    </row>
    <row r="159" ht="15" customHeight="1">
      <c r="A159" t="inlineStr">
        <is>
          <t>A 43695-2025</t>
        </is>
      </c>
      <c r="B159" t="inlineStr">
        <is>
          <t>avverkningsanmälan</t>
        </is>
      </c>
      <c r="C159" t="inlineStr">
        <is>
          <t>Föryngringsavverkning</t>
        </is>
      </c>
      <c r="D159" s="1" t="n">
        <v>45912</v>
      </c>
      <c r="E159" s="1" t="n">
        <v>46219</v>
      </c>
      <c r="F159" t="inlineStr">
        <is>
          <t>VÄSTERBOTTENS LÄN</t>
        </is>
      </c>
      <c r="G159" t="inlineStr">
        <is>
          <t>BJURHOLM</t>
        </is>
      </c>
      <c r="H159" t="inlineStr">
        <is>
          <t>Holmen skog AB</t>
        </is>
      </c>
      <c r="I159" t="n">
        <v>12.9</v>
      </c>
      <c r="J159" t="n">
        <v>0</v>
      </c>
      <c r="K159" t="n">
        <v>0</v>
      </c>
      <c r="L159" t="n">
        <v>0</v>
      </c>
      <c r="M159" t="n">
        <v>0</v>
      </c>
      <c r="N159" t="n">
        <v>0</v>
      </c>
      <c r="O159" t="n">
        <v>0</v>
      </c>
      <c r="P159" t="n">
        <v>0</v>
      </c>
      <c r="Q159" t="n">
        <v>0</v>
      </c>
      <c r="R159" t="n">
        <v>0</v>
      </c>
      <c r="S159" t="n">
        <v>0</v>
      </c>
      <c r="T159" t="n">
        <v>0</v>
      </c>
      <c r="U159" s="2" t="inlineStr"/>
    </row>
    <row r="160" ht="15" customHeight="1">
      <c r="A160" t="inlineStr">
        <is>
          <t>A 61654-2022</t>
        </is>
      </c>
      <c r="B160" t="inlineStr">
        <is>
          <t>avverkningsanmälan</t>
        </is>
      </c>
      <c r="C160" t="inlineStr">
        <is>
          <t>Föryngringsavverkning</t>
        </is>
      </c>
      <c r="D160" s="1" t="n">
        <v>44916</v>
      </c>
      <c r="E160" s="1" t="n">
        <v>46219</v>
      </c>
      <c r="F160" t="inlineStr">
        <is>
          <t>VÄSTERBOTTENS LÄN</t>
        </is>
      </c>
      <c r="G160" t="inlineStr">
        <is>
          <t>BJURHOLM</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42004-2022</t>
        </is>
      </c>
      <c r="B161" t="inlineStr">
        <is>
          <t>avverkningsanmälan</t>
        </is>
      </c>
      <c r="C161" t="inlineStr">
        <is>
          <t>Föryngringsavverkning</t>
        </is>
      </c>
      <c r="D161" s="1" t="n">
        <v>44827</v>
      </c>
      <c r="E161" s="1" t="n">
        <v>46219</v>
      </c>
      <c r="F161" t="inlineStr">
        <is>
          <t>VÄSTERBOTTENS LÄN</t>
        </is>
      </c>
      <c r="G161" t="inlineStr">
        <is>
          <t>BJURHOLM</t>
        </is>
      </c>
      <c r="I161" t="n">
        <v>5.9</v>
      </c>
      <c r="J161" t="n">
        <v>0</v>
      </c>
      <c r="K161" t="n">
        <v>0</v>
      </c>
      <c r="L161" t="n">
        <v>0</v>
      </c>
      <c r="M161" t="n">
        <v>0</v>
      </c>
      <c r="N161" t="n">
        <v>0</v>
      </c>
      <c r="O161" t="n">
        <v>0</v>
      </c>
      <c r="P161" t="n">
        <v>0</v>
      </c>
      <c r="Q161" t="n">
        <v>0</v>
      </c>
      <c r="R161" t="n">
        <v>0</v>
      </c>
      <c r="S161" t="n">
        <v>0</v>
      </c>
      <c r="T161" t="n">
        <v>0</v>
      </c>
      <c r="U161" s="2" t="inlineStr"/>
    </row>
    <row r="162" ht="15" customHeight="1">
      <c r="A162" t="inlineStr">
        <is>
          <t>A 44112-2025</t>
        </is>
      </c>
      <c r="B162" t="inlineStr">
        <is>
          <t>avverkningsanmälan</t>
        </is>
      </c>
      <c r="C162" t="inlineStr">
        <is>
          <t>Föryngringsavverkning</t>
        </is>
      </c>
      <c r="D162" s="1" t="n">
        <v>45915</v>
      </c>
      <c r="E162" s="1" t="n">
        <v>46219</v>
      </c>
      <c r="F162" t="inlineStr">
        <is>
          <t>VÄSTERBOTTENS LÄN</t>
        </is>
      </c>
      <c r="G162" t="inlineStr">
        <is>
          <t>BJURHOLM</t>
        </is>
      </c>
      <c r="H162" t="inlineStr">
        <is>
          <t>Sveaskog</t>
        </is>
      </c>
      <c r="I162" t="n">
        <v>5.7</v>
      </c>
      <c r="J162" t="n">
        <v>0</v>
      </c>
      <c r="K162" t="n">
        <v>0</v>
      </c>
      <c r="L162" t="n">
        <v>0</v>
      </c>
      <c r="M162" t="n">
        <v>0</v>
      </c>
      <c r="N162" t="n">
        <v>0</v>
      </c>
      <c r="O162" t="n">
        <v>0</v>
      </c>
      <c r="P162" t="n">
        <v>0</v>
      </c>
      <c r="Q162" t="n">
        <v>0</v>
      </c>
      <c r="R162" t="n">
        <v>0</v>
      </c>
      <c r="S162" t="n">
        <v>0</v>
      </c>
      <c r="T162" t="n">
        <v>0</v>
      </c>
      <c r="U162" s="2" t="inlineStr"/>
    </row>
    <row r="163" ht="15" customHeight="1">
      <c r="A163" t="inlineStr">
        <is>
          <t>A 44144-2025</t>
        </is>
      </c>
      <c r="B163" t="inlineStr">
        <is>
          <t>avverkningsanmälan</t>
        </is>
      </c>
      <c r="C163" t="inlineStr">
        <is>
          <t>Föryngringsavverkning</t>
        </is>
      </c>
      <c r="D163" s="1" t="n">
        <v>45915</v>
      </c>
      <c r="E163" s="1" t="n">
        <v>46219</v>
      </c>
      <c r="F163" t="inlineStr">
        <is>
          <t>VÄSTERBOTTENS LÄN</t>
        </is>
      </c>
      <c r="G163" t="inlineStr">
        <is>
          <t>BJURHOLM</t>
        </is>
      </c>
      <c r="H163" t="inlineStr">
        <is>
          <t>Sveaskog</t>
        </is>
      </c>
      <c r="I163" t="n">
        <v>5.5</v>
      </c>
      <c r="J163" t="n">
        <v>0</v>
      </c>
      <c r="K163" t="n">
        <v>0</v>
      </c>
      <c r="L163" t="n">
        <v>0</v>
      </c>
      <c r="M163" t="n">
        <v>0</v>
      </c>
      <c r="N163" t="n">
        <v>0</v>
      </c>
      <c r="O163" t="n">
        <v>0</v>
      </c>
      <c r="P163" t="n">
        <v>0</v>
      </c>
      <c r="Q163" t="n">
        <v>0</v>
      </c>
      <c r="R163" t="n">
        <v>0</v>
      </c>
      <c r="S163" t="n">
        <v>0</v>
      </c>
      <c r="T163" t="n">
        <v>0</v>
      </c>
      <c r="U163" s="2" t="inlineStr"/>
    </row>
    <row r="164" ht="15" customHeight="1">
      <c r="A164" t="inlineStr">
        <is>
          <t>A 44487-2025</t>
        </is>
      </c>
      <c r="B164" t="inlineStr">
        <is>
          <t>avverkningsanmälan</t>
        </is>
      </c>
      <c r="C164" t="inlineStr">
        <is>
          <t>Föryngringsavverkning</t>
        </is>
      </c>
      <c r="D164" s="1" t="n">
        <v>45916</v>
      </c>
      <c r="E164" s="1" t="n">
        <v>46219</v>
      </c>
      <c r="F164" t="inlineStr">
        <is>
          <t>VÄSTERBOTTENS LÄN</t>
        </is>
      </c>
      <c r="G164" t="inlineStr">
        <is>
          <t>BJURHOLM</t>
        </is>
      </c>
      <c r="H164" t="inlineStr">
        <is>
          <t>SCA</t>
        </is>
      </c>
      <c r="I164" t="n">
        <v>2.5</v>
      </c>
      <c r="J164" t="n">
        <v>0</v>
      </c>
      <c r="K164" t="n">
        <v>0</v>
      </c>
      <c r="L164" t="n">
        <v>0</v>
      </c>
      <c r="M164" t="n">
        <v>0</v>
      </c>
      <c r="N164" t="n">
        <v>0</v>
      </c>
      <c r="O164" t="n">
        <v>0</v>
      </c>
      <c r="P164" t="n">
        <v>0</v>
      </c>
      <c r="Q164" t="n">
        <v>0</v>
      </c>
      <c r="R164" t="n">
        <v>0</v>
      </c>
      <c r="S164" t="n">
        <v>0</v>
      </c>
      <c r="T164" t="n">
        <v>0</v>
      </c>
      <c r="U164" s="2" t="inlineStr"/>
    </row>
    <row r="165" ht="15" customHeight="1">
      <c r="A165" t="inlineStr">
        <is>
          <t>A 33460-2022</t>
        </is>
      </c>
      <c r="B165" t="inlineStr">
        <is>
          <t>avverkningsanmälan</t>
        </is>
      </c>
      <c r="C165" t="inlineStr">
        <is>
          <t>Föryngringsavverkning</t>
        </is>
      </c>
      <c r="D165" s="1" t="n">
        <v>44788</v>
      </c>
      <c r="E165" s="1" t="n">
        <v>46219</v>
      </c>
      <c r="F165" t="inlineStr">
        <is>
          <t>VÄSTERBOTTENS LÄN</t>
        </is>
      </c>
      <c r="G165" t="inlineStr">
        <is>
          <t>BJURHOLM</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53261-2024</t>
        </is>
      </c>
      <c r="B166" t="inlineStr">
        <is>
          <t>avverkningsanmälan</t>
        </is>
      </c>
      <c r="C166" t="inlineStr">
        <is>
          <t>Föryngringsavverkning</t>
        </is>
      </c>
      <c r="D166" s="1" t="n">
        <v>45614</v>
      </c>
      <c r="E166" s="1" t="n">
        <v>46219</v>
      </c>
      <c r="F166" t="inlineStr">
        <is>
          <t>VÄSTERBOTTENS LÄN</t>
        </is>
      </c>
      <c r="G166" t="inlineStr">
        <is>
          <t>BJURHOLM</t>
        </is>
      </c>
      <c r="H166" t="inlineStr">
        <is>
          <t>SCA</t>
        </is>
      </c>
      <c r="I166" t="n">
        <v>7.9</v>
      </c>
      <c r="J166" t="n">
        <v>0</v>
      </c>
      <c r="K166" t="n">
        <v>0</v>
      </c>
      <c r="L166" t="n">
        <v>0</v>
      </c>
      <c r="M166" t="n">
        <v>0</v>
      </c>
      <c r="N166" t="n">
        <v>0</v>
      </c>
      <c r="O166" t="n">
        <v>0</v>
      </c>
      <c r="P166" t="n">
        <v>0</v>
      </c>
      <c r="Q166" t="n">
        <v>0</v>
      </c>
      <c r="R166" t="n">
        <v>0</v>
      </c>
      <c r="S166" t="n">
        <v>0</v>
      </c>
      <c r="T166" t="n">
        <v>0</v>
      </c>
      <c r="U166" s="2" t="inlineStr"/>
    </row>
    <row r="167" ht="15" customHeight="1">
      <c r="A167" t="inlineStr">
        <is>
          <t>A 20777-2024</t>
        </is>
      </c>
      <c r="B167" t="inlineStr">
        <is>
          <t>avverkningsanmälan</t>
        </is>
      </c>
      <c r="C167" t="inlineStr">
        <is>
          <t>Föryngringsavverkning</t>
        </is>
      </c>
      <c r="D167" s="1" t="n">
        <v>45436</v>
      </c>
      <c r="E167" s="1" t="n">
        <v>46219</v>
      </c>
      <c r="F167" t="inlineStr">
        <is>
          <t>VÄSTERBOTTENS LÄN</t>
        </is>
      </c>
      <c r="G167" t="inlineStr">
        <is>
          <t>BJURHOLM</t>
        </is>
      </c>
      <c r="H167" t="inlineStr">
        <is>
          <t>SCA</t>
        </is>
      </c>
      <c r="I167" t="n">
        <v>4.2</v>
      </c>
      <c r="J167" t="n">
        <v>0</v>
      </c>
      <c r="K167" t="n">
        <v>0</v>
      </c>
      <c r="L167" t="n">
        <v>0</v>
      </c>
      <c r="M167" t="n">
        <v>0</v>
      </c>
      <c r="N167" t="n">
        <v>0</v>
      </c>
      <c r="O167" t="n">
        <v>0</v>
      </c>
      <c r="P167" t="n">
        <v>0</v>
      </c>
      <c r="Q167" t="n">
        <v>0</v>
      </c>
      <c r="R167" t="n">
        <v>0</v>
      </c>
      <c r="S167" t="n">
        <v>0</v>
      </c>
      <c r="T167" t="n">
        <v>0</v>
      </c>
      <c r="U167" s="2" t="inlineStr"/>
    </row>
    <row r="168" ht="15" customHeight="1">
      <c r="A168" t="inlineStr">
        <is>
          <t>A 57798-2024</t>
        </is>
      </c>
      <c r="B168" t="inlineStr">
        <is>
          <t>avverkningsanmälan</t>
        </is>
      </c>
      <c r="C168" t="inlineStr">
        <is>
          <t>Föryngringsavverkning</t>
        </is>
      </c>
      <c r="D168" s="1" t="n">
        <v>45631</v>
      </c>
      <c r="E168" s="1" t="n">
        <v>46219</v>
      </c>
      <c r="F168" t="inlineStr">
        <is>
          <t>VÄSTERBOTTENS LÄN</t>
        </is>
      </c>
      <c r="G168" t="inlineStr">
        <is>
          <t>BJURHOLM</t>
        </is>
      </c>
      <c r="H168" t="inlineStr">
        <is>
          <t>SCA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45163-2025</t>
        </is>
      </c>
      <c r="B169" t="inlineStr">
        <is>
          <t>avverkningsanmälan</t>
        </is>
      </c>
      <c r="C169" t="inlineStr">
        <is>
          <t>Föryngringsavverkning</t>
        </is>
      </c>
      <c r="D169" s="1" t="n">
        <v>45919</v>
      </c>
      <c r="E169" s="1" t="n">
        <v>46219</v>
      </c>
      <c r="F169" t="inlineStr">
        <is>
          <t>VÄSTERBOTTENS LÄN</t>
        </is>
      </c>
      <c r="G169" t="inlineStr">
        <is>
          <t>BJURHOLM</t>
        </is>
      </c>
      <c r="H169" t="inlineStr">
        <is>
          <t>SCA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33157-2022</t>
        </is>
      </c>
      <c r="B170" t="inlineStr">
        <is>
          <t>avverkningsanmälan</t>
        </is>
      </c>
      <c r="C170" t="inlineStr">
        <is>
          <t>Föryngringsavverkning</t>
        </is>
      </c>
      <c r="D170" s="1" t="n">
        <v>44785</v>
      </c>
      <c r="E170" s="1" t="n">
        <v>46219</v>
      </c>
      <c r="F170" t="inlineStr">
        <is>
          <t>VÄSTERBOTTENS LÄN</t>
        </is>
      </c>
      <c r="G170" t="inlineStr">
        <is>
          <t>BJURHOLM</t>
        </is>
      </c>
      <c r="H170" t="inlineStr">
        <is>
          <t>Holmen skog AB</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60692-2022</t>
        </is>
      </c>
      <c r="B171" t="inlineStr">
        <is>
          <t>avverkningsanmälan</t>
        </is>
      </c>
      <c r="C171" t="inlineStr">
        <is>
          <t>Föryngringsavverkning</t>
        </is>
      </c>
      <c r="D171" s="1" t="n">
        <v>44911</v>
      </c>
      <c r="E171" s="1" t="n">
        <v>46219</v>
      </c>
      <c r="F171" t="inlineStr">
        <is>
          <t>VÄSTERBOTTENS LÄN</t>
        </is>
      </c>
      <c r="G171" t="inlineStr">
        <is>
          <t>BJURHOLM</t>
        </is>
      </c>
      <c r="H171" t="inlineStr">
        <is>
          <t>SCA</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19573-2024</t>
        </is>
      </c>
      <c r="B172" t="inlineStr">
        <is>
          <t>avverkningsanmälan</t>
        </is>
      </c>
      <c r="C172" t="inlineStr">
        <is>
          <t>Föryngringsavverkning</t>
        </is>
      </c>
      <c r="D172" s="1" t="n">
        <v>45429</v>
      </c>
      <c r="E172" s="1" t="n">
        <v>46219</v>
      </c>
      <c r="F172" t="inlineStr">
        <is>
          <t>VÄSTERBOTTENS LÄN</t>
        </is>
      </c>
      <c r="G172" t="inlineStr">
        <is>
          <t>BJURHOLM</t>
        </is>
      </c>
      <c r="I172" t="n">
        <v>2.9</v>
      </c>
      <c r="J172" t="n">
        <v>0</v>
      </c>
      <c r="K172" t="n">
        <v>0</v>
      </c>
      <c r="L172" t="n">
        <v>0</v>
      </c>
      <c r="M172" t="n">
        <v>0</v>
      </c>
      <c r="N172" t="n">
        <v>0</v>
      </c>
      <c r="O172" t="n">
        <v>0</v>
      </c>
      <c r="P172" t="n">
        <v>0</v>
      </c>
      <c r="Q172" t="n">
        <v>0</v>
      </c>
      <c r="R172" t="n">
        <v>0</v>
      </c>
      <c r="S172" t="n">
        <v>0</v>
      </c>
      <c r="T172" t="n">
        <v>0</v>
      </c>
      <c r="U172" s="2" t="inlineStr"/>
    </row>
    <row r="173" ht="15" customHeight="1">
      <c r="A173" t="inlineStr">
        <is>
          <t>A 43311-2024</t>
        </is>
      </c>
      <c r="B173" t="inlineStr">
        <is>
          <t>avverkningsanmälan</t>
        </is>
      </c>
      <c r="C173" t="inlineStr">
        <is>
          <t>Föryngringsavverkning</t>
        </is>
      </c>
      <c r="D173" s="1" t="n">
        <v>45568</v>
      </c>
      <c r="E173" s="1" t="n">
        <v>46219</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47151-2025</t>
        </is>
      </c>
      <c r="B174" t="inlineStr">
        <is>
          <t>avverkningsanmälan</t>
        </is>
      </c>
      <c r="C174" t="inlineStr">
        <is>
          <t>Föryngringsavverkning</t>
        </is>
      </c>
      <c r="D174" s="1" t="n">
        <v>45929</v>
      </c>
      <c r="E174" s="1" t="n">
        <v>46219</v>
      </c>
      <c r="F174" t="inlineStr">
        <is>
          <t>VÄSTERBOTTENS LÄN</t>
        </is>
      </c>
      <c r="G174" t="inlineStr">
        <is>
          <t>BJURHOLM</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46884-2025</t>
        </is>
      </c>
      <c r="B175" t="inlineStr">
        <is>
          <t>avverkningsanmälan</t>
        </is>
      </c>
      <c r="C175" t="inlineStr">
        <is>
          <t>Föryngringsavverkning</t>
        </is>
      </c>
      <c r="D175" s="1" t="n">
        <v>45929</v>
      </c>
      <c r="E175" s="1" t="n">
        <v>46219</v>
      </c>
      <c r="F175" t="inlineStr">
        <is>
          <t>VÄSTERBOTTENS LÄN</t>
        </is>
      </c>
      <c r="G175" t="inlineStr">
        <is>
          <t>BJURHOLM</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46885-2025</t>
        </is>
      </c>
      <c r="B176" t="inlineStr">
        <is>
          <t>avverkningsanmälan</t>
        </is>
      </c>
      <c r="C176" t="inlineStr">
        <is>
          <t>Föryngringsavverkning</t>
        </is>
      </c>
      <c r="D176" s="1" t="n">
        <v>45929</v>
      </c>
      <c r="E176" s="1" t="n">
        <v>46219</v>
      </c>
      <c r="F176" t="inlineStr">
        <is>
          <t>VÄSTERBOTTENS LÄN</t>
        </is>
      </c>
      <c r="G176" t="inlineStr">
        <is>
          <t>BJURHOLM</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59712-2023</t>
        </is>
      </c>
      <c r="B177" t="inlineStr">
        <is>
          <t>avverkningsanmälan</t>
        </is>
      </c>
      <c r="C177" t="inlineStr">
        <is>
          <t>Föryngringsavverkning</t>
        </is>
      </c>
      <c r="D177" s="1" t="n">
        <v>45257</v>
      </c>
      <c r="E177" s="1" t="n">
        <v>46219</v>
      </c>
      <c r="F177" t="inlineStr">
        <is>
          <t>VÄSTERBOTTENS LÄN</t>
        </is>
      </c>
      <c r="G177" t="inlineStr">
        <is>
          <t>BJURHOLM</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47150-2025</t>
        </is>
      </c>
      <c r="B178" t="inlineStr">
        <is>
          <t>avverkningsanmälan</t>
        </is>
      </c>
      <c r="C178" t="inlineStr">
        <is>
          <t>Föryngringsavverkning</t>
        </is>
      </c>
      <c r="D178" s="1" t="n">
        <v>45929</v>
      </c>
      <c r="E178" s="1" t="n">
        <v>46219</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34761-2023</t>
        </is>
      </c>
      <c r="B179" t="inlineStr">
        <is>
          <t>avverkningsanmälan</t>
        </is>
      </c>
      <c r="C179" t="inlineStr">
        <is>
          <t>Föryngringsavverkning</t>
        </is>
      </c>
      <c r="D179" s="1" t="n">
        <v>45141</v>
      </c>
      <c r="E179" s="1" t="n">
        <v>46219</v>
      </c>
      <c r="F179" t="inlineStr">
        <is>
          <t>VÄSTERBOTTENS LÄN</t>
        </is>
      </c>
      <c r="G179" t="inlineStr">
        <is>
          <t>BJURHOLM</t>
        </is>
      </c>
      <c r="H179" t="inlineStr">
        <is>
          <t>Holmen skog AB</t>
        </is>
      </c>
      <c r="I179" t="n">
        <v>4.1</v>
      </c>
      <c r="J179" t="n">
        <v>0</v>
      </c>
      <c r="K179" t="n">
        <v>0</v>
      </c>
      <c r="L179" t="n">
        <v>0</v>
      </c>
      <c r="M179" t="n">
        <v>0</v>
      </c>
      <c r="N179" t="n">
        <v>0</v>
      </c>
      <c r="O179" t="n">
        <v>0</v>
      </c>
      <c r="P179" t="n">
        <v>0</v>
      </c>
      <c r="Q179" t="n">
        <v>0</v>
      </c>
      <c r="R179" t="n">
        <v>0</v>
      </c>
      <c r="S179" t="n">
        <v>0</v>
      </c>
      <c r="T179" t="n">
        <v>0</v>
      </c>
      <c r="U179" s="2" t="inlineStr"/>
    </row>
    <row r="180" ht="15" customHeight="1">
      <c r="A180" t="inlineStr">
        <is>
          <t>A 7723-2024</t>
        </is>
      </c>
      <c r="B180" t="inlineStr">
        <is>
          <t>avverkningsanmälan</t>
        </is>
      </c>
      <c r="C180" t="inlineStr">
        <is>
          <t>Föryngringsavverkning</t>
        </is>
      </c>
      <c r="D180" s="1" t="n">
        <v>45348</v>
      </c>
      <c r="E180" s="1" t="n">
        <v>46219</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s="2" t="inlineStr"/>
    </row>
    <row r="181" ht="15" customHeight="1">
      <c r="A181" t="inlineStr">
        <is>
          <t>A 70740-2021</t>
        </is>
      </c>
      <c r="B181" t="inlineStr">
        <is>
          <t>avverkningsanmälan</t>
        </is>
      </c>
      <c r="C181" t="inlineStr">
        <is>
          <t>Föryngringsavverkning</t>
        </is>
      </c>
      <c r="D181" s="1" t="n">
        <v>44536</v>
      </c>
      <c r="E181" s="1" t="n">
        <v>46219</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64503-2023</t>
        </is>
      </c>
      <c r="B182" t="inlineStr">
        <is>
          <t>avverkningsanmälan</t>
        </is>
      </c>
      <c r="C182" t="inlineStr">
        <is>
          <t>Avverkning för att bevara och utveckla /försöksver</t>
        </is>
      </c>
      <c r="D182" s="1" t="n">
        <v>45280</v>
      </c>
      <c r="E182" s="1" t="n">
        <v>46219</v>
      </c>
      <c r="F182" t="inlineStr">
        <is>
          <t>VÄSTERBOTTENS LÄN</t>
        </is>
      </c>
      <c r="G182" t="inlineStr">
        <is>
          <t>BJURHOLM</t>
        </is>
      </c>
      <c r="H182" t="inlineStr">
        <is>
          <t>SCA</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49236-2025</t>
        </is>
      </c>
      <c r="B183" t="inlineStr">
        <is>
          <t>avverkningsanmälan</t>
        </is>
      </c>
      <c r="C183" t="inlineStr">
        <is>
          <t>Föryngringsavverkning</t>
        </is>
      </c>
      <c r="D183" s="1" t="n">
        <v>45938</v>
      </c>
      <c r="E183" s="1" t="n">
        <v>46219</v>
      </c>
      <c r="F183" t="inlineStr">
        <is>
          <t>VÄSTERBOTTENS LÄN</t>
        </is>
      </c>
      <c r="G183" t="inlineStr">
        <is>
          <t>BJURHOLM</t>
        </is>
      </c>
      <c r="H183" t="inlineStr">
        <is>
          <t>Sveaskog</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49382-2025</t>
        </is>
      </c>
      <c r="B184" t="inlineStr">
        <is>
          <t>avverkningsanmälan</t>
        </is>
      </c>
      <c r="C184" t="inlineStr">
        <is>
          <t>Föryngringsavverkning</t>
        </is>
      </c>
      <c r="D184" s="1" t="n">
        <v>45938</v>
      </c>
      <c r="E184" s="1" t="n">
        <v>46219</v>
      </c>
      <c r="F184" t="inlineStr">
        <is>
          <t>VÄSTERBOTTENS LÄN</t>
        </is>
      </c>
      <c r="G184" t="inlineStr">
        <is>
          <t>BJURHOLM</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43317-2024</t>
        </is>
      </c>
      <c r="B185" t="inlineStr">
        <is>
          <t>avverkningsanmälan</t>
        </is>
      </c>
      <c r="C185" t="inlineStr">
        <is>
          <t>Föryngringsavverkning</t>
        </is>
      </c>
      <c r="D185" s="1" t="n">
        <v>45568</v>
      </c>
      <c r="E185" s="1" t="n">
        <v>46219</v>
      </c>
      <c r="F185" t="inlineStr">
        <is>
          <t>VÄSTERBOTTENS LÄN</t>
        </is>
      </c>
      <c r="G185" t="inlineStr">
        <is>
          <t>BJURHOLM</t>
        </is>
      </c>
      <c r="I185" t="n">
        <v>4.5</v>
      </c>
      <c r="J185" t="n">
        <v>0</v>
      </c>
      <c r="K185" t="n">
        <v>0</v>
      </c>
      <c r="L185" t="n">
        <v>0</v>
      </c>
      <c r="M185" t="n">
        <v>0</v>
      </c>
      <c r="N185" t="n">
        <v>0</v>
      </c>
      <c r="O185" t="n">
        <v>0</v>
      </c>
      <c r="P185" t="n">
        <v>0</v>
      </c>
      <c r="Q185" t="n">
        <v>0</v>
      </c>
      <c r="R185" t="n">
        <v>0</v>
      </c>
      <c r="S185" t="n">
        <v>0</v>
      </c>
      <c r="T185" t="n">
        <v>0</v>
      </c>
      <c r="U185" s="2" t="inlineStr"/>
    </row>
    <row r="186" ht="15" customHeight="1">
      <c r="A186" t="inlineStr">
        <is>
          <t>A 50027-2025</t>
        </is>
      </c>
      <c r="B186" t="inlineStr">
        <is>
          <t>avverkningsanmälan</t>
        </is>
      </c>
      <c r="C186" t="inlineStr">
        <is>
          <t>Föryngringsavverkning</t>
        </is>
      </c>
      <c r="D186" s="1" t="n">
        <v>45943</v>
      </c>
      <c r="E186" s="1" t="n">
        <v>46219</v>
      </c>
      <c r="F186" t="inlineStr">
        <is>
          <t>VÄSTERBOTTENS LÄN</t>
        </is>
      </c>
      <c r="G186" t="inlineStr">
        <is>
          <t>BJURHOLM</t>
        </is>
      </c>
      <c r="I186" t="n">
        <v>2.6</v>
      </c>
      <c r="J186" t="n">
        <v>0</v>
      </c>
      <c r="K186" t="n">
        <v>0</v>
      </c>
      <c r="L186" t="n">
        <v>0</v>
      </c>
      <c r="M186" t="n">
        <v>0</v>
      </c>
      <c r="N186" t="n">
        <v>0</v>
      </c>
      <c r="O186" t="n">
        <v>0</v>
      </c>
      <c r="P186" t="n">
        <v>0</v>
      </c>
      <c r="Q186" t="n">
        <v>0</v>
      </c>
      <c r="R186" t="n">
        <v>0</v>
      </c>
      <c r="S186" t="n">
        <v>0</v>
      </c>
      <c r="T186" t="n">
        <v>0</v>
      </c>
      <c r="U186" s="2" t="inlineStr"/>
    </row>
    <row r="187" ht="15" customHeight="1">
      <c r="A187" t="inlineStr">
        <is>
          <t>A 55512-2021</t>
        </is>
      </c>
      <c r="B187" t="inlineStr">
        <is>
          <t>avverkningsanmälan</t>
        </is>
      </c>
      <c r="C187" t="inlineStr">
        <is>
          <t>Föryngringsavverkning</t>
        </is>
      </c>
      <c r="D187" s="1" t="n">
        <v>44475</v>
      </c>
      <c r="E187" s="1" t="n">
        <v>46219</v>
      </c>
      <c r="F187" t="inlineStr">
        <is>
          <t>VÄSTERBOTTENS LÄN</t>
        </is>
      </c>
      <c r="G187" t="inlineStr">
        <is>
          <t>BJURHOLM</t>
        </is>
      </c>
      <c r="H187" t="inlineStr">
        <is>
          <t>Holmen skog AB</t>
        </is>
      </c>
      <c r="I187" t="n">
        <v>28.3</v>
      </c>
      <c r="J187" t="n">
        <v>0</v>
      </c>
      <c r="K187" t="n">
        <v>0</v>
      </c>
      <c r="L187" t="n">
        <v>0</v>
      </c>
      <c r="M187" t="n">
        <v>0</v>
      </c>
      <c r="N187" t="n">
        <v>0</v>
      </c>
      <c r="O187" t="n">
        <v>0</v>
      </c>
      <c r="P187" t="n">
        <v>0</v>
      </c>
      <c r="Q187" t="n">
        <v>0</v>
      </c>
      <c r="R187" t="n">
        <v>0</v>
      </c>
      <c r="S187" t="n">
        <v>0</v>
      </c>
      <c r="T187" t="n">
        <v>0</v>
      </c>
      <c r="U187" s="2" t="inlineStr"/>
    </row>
    <row r="188" ht="15" customHeight="1">
      <c r="A188" t="inlineStr">
        <is>
          <t>A 50494-2025</t>
        </is>
      </c>
      <c r="B188" t="inlineStr">
        <is>
          <t>avverkningsanmälan</t>
        </is>
      </c>
      <c r="C188" t="inlineStr">
        <is>
          <t>Föryngringsavverkning</t>
        </is>
      </c>
      <c r="D188" s="1" t="n">
        <v>45945</v>
      </c>
      <c r="E188" s="1" t="n">
        <v>46219</v>
      </c>
      <c r="F188" t="inlineStr">
        <is>
          <t>VÄSTERBOTTENS LÄN</t>
        </is>
      </c>
      <c r="G188" t="inlineStr">
        <is>
          <t>BJURHOLM</t>
        </is>
      </c>
      <c r="I188" t="n">
        <v>7.5</v>
      </c>
      <c r="J188" t="n">
        <v>0</v>
      </c>
      <c r="K188" t="n">
        <v>0</v>
      </c>
      <c r="L188" t="n">
        <v>0</v>
      </c>
      <c r="M188" t="n">
        <v>0</v>
      </c>
      <c r="N188" t="n">
        <v>0</v>
      </c>
      <c r="O188" t="n">
        <v>0</v>
      </c>
      <c r="P188" t="n">
        <v>0</v>
      </c>
      <c r="Q188" t="n">
        <v>0</v>
      </c>
      <c r="R188" t="n">
        <v>0</v>
      </c>
      <c r="S188" t="n">
        <v>0</v>
      </c>
      <c r="T188" t="n">
        <v>0</v>
      </c>
      <c r="U188" s="2" t="inlineStr"/>
    </row>
    <row r="189" ht="15" customHeight="1">
      <c r="A189" t="inlineStr">
        <is>
          <t>A 60690-2022</t>
        </is>
      </c>
      <c r="B189" t="inlineStr">
        <is>
          <t>avverkningsanmälan</t>
        </is>
      </c>
      <c r="C189" t="inlineStr">
        <is>
          <t>Föryngringsavverkning</t>
        </is>
      </c>
      <c r="D189" s="1" t="n">
        <v>44911</v>
      </c>
      <c r="E189" s="1" t="n">
        <v>46219</v>
      </c>
      <c r="F189" t="inlineStr">
        <is>
          <t>VÄSTERBOTTENS LÄN</t>
        </is>
      </c>
      <c r="G189" t="inlineStr">
        <is>
          <t>BJURHOLM</t>
        </is>
      </c>
      <c r="H189" t="inlineStr">
        <is>
          <t>SCA</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50810-2025</t>
        </is>
      </c>
      <c r="B190" t="inlineStr">
        <is>
          <t>avverkningsanmälan</t>
        </is>
      </c>
      <c r="C190" t="inlineStr">
        <is>
          <t>Föryngringsavverkning</t>
        </is>
      </c>
      <c r="D190" s="1" t="n">
        <v>45946</v>
      </c>
      <c r="E190" s="1" t="n">
        <v>46219</v>
      </c>
      <c r="F190" t="inlineStr">
        <is>
          <t>VÄSTERBOTTENS LÄN</t>
        </is>
      </c>
      <c r="G190" t="inlineStr">
        <is>
          <t>BJURHOLM</t>
        </is>
      </c>
      <c r="I190" t="n">
        <v>8.6</v>
      </c>
      <c r="J190" t="n">
        <v>0</v>
      </c>
      <c r="K190" t="n">
        <v>0</v>
      </c>
      <c r="L190" t="n">
        <v>0</v>
      </c>
      <c r="M190" t="n">
        <v>0</v>
      </c>
      <c r="N190" t="n">
        <v>0</v>
      </c>
      <c r="O190" t="n">
        <v>0</v>
      </c>
      <c r="P190" t="n">
        <v>0</v>
      </c>
      <c r="Q190" t="n">
        <v>0</v>
      </c>
      <c r="R190" t="n">
        <v>0</v>
      </c>
      <c r="S190" t="n">
        <v>0</v>
      </c>
      <c r="T190" t="n">
        <v>0</v>
      </c>
      <c r="U190" s="2" t="inlineStr"/>
    </row>
    <row r="191" ht="15" customHeight="1">
      <c r="A191" t="inlineStr">
        <is>
          <t>A 46743-2023</t>
        </is>
      </c>
      <c r="B191" t="inlineStr">
        <is>
          <t>avverkningsanmälan</t>
        </is>
      </c>
      <c r="C191" t="inlineStr">
        <is>
          <t>Föryngringsavverkning</t>
        </is>
      </c>
      <c r="D191" s="1" t="n">
        <v>45195</v>
      </c>
      <c r="E191" s="1" t="n">
        <v>46219</v>
      </c>
      <c r="F191" t="inlineStr">
        <is>
          <t>VÄSTERBOTTENS LÄN</t>
        </is>
      </c>
      <c r="G191" t="inlineStr">
        <is>
          <t>BJURHOLM</t>
        </is>
      </c>
      <c r="I191" t="n">
        <v>12.9</v>
      </c>
      <c r="J191" t="n">
        <v>0</v>
      </c>
      <c r="K191" t="n">
        <v>0</v>
      </c>
      <c r="L191" t="n">
        <v>0</v>
      </c>
      <c r="M191" t="n">
        <v>0</v>
      </c>
      <c r="N191" t="n">
        <v>0</v>
      </c>
      <c r="O191" t="n">
        <v>0</v>
      </c>
      <c r="P191" t="n">
        <v>0</v>
      </c>
      <c r="Q191" t="n">
        <v>0</v>
      </c>
      <c r="R191" t="n">
        <v>0</v>
      </c>
      <c r="S191" t="n">
        <v>0</v>
      </c>
      <c r="T191" t="n">
        <v>0</v>
      </c>
      <c r="U191" s="2" t="inlineStr"/>
    </row>
    <row r="192" ht="15" customHeight="1">
      <c r="A192" t="inlineStr">
        <is>
          <t>A 53375-2024</t>
        </is>
      </c>
      <c r="B192" t="inlineStr">
        <is>
          <t>avverkningsanmälan</t>
        </is>
      </c>
      <c r="C192" t="inlineStr">
        <is>
          <t>Föryngringsavverkning</t>
        </is>
      </c>
      <c r="D192" s="1" t="n">
        <v>45614</v>
      </c>
      <c r="E192" s="1" t="n">
        <v>46219</v>
      </c>
      <c r="F192" t="inlineStr">
        <is>
          <t>VÄSTERBOTTENS LÄN</t>
        </is>
      </c>
      <c r="G192" t="inlineStr">
        <is>
          <t>BJURHOLM</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13842-2025</t>
        </is>
      </c>
      <c r="B193" t="inlineStr">
        <is>
          <t>avverkningsanmälan</t>
        </is>
      </c>
      <c r="C193" t="inlineStr">
        <is>
          <t>Föryngringsavverkning</t>
        </is>
      </c>
      <c r="D193" s="1" t="n">
        <v>45737</v>
      </c>
      <c r="E193" s="1" t="n">
        <v>46219</v>
      </c>
      <c r="F193" t="inlineStr">
        <is>
          <t>VÄSTERBOTTENS LÄN</t>
        </is>
      </c>
      <c r="G193" t="inlineStr">
        <is>
          <t>BJURHOLM</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15054-2024</t>
        </is>
      </c>
      <c r="B194" t="inlineStr">
        <is>
          <t>avverkningsanmälan</t>
        </is>
      </c>
      <c r="C194" t="inlineStr">
        <is>
          <t>Föryngringsavverkning</t>
        </is>
      </c>
      <c r="D194" s="1" t="n">
        <v>45399</v>
      </c>
      <c r="E194" s="1" t="n">
        <v>46219</v>
      </c>
      <c r="F194" t="inlineStr">
        <is>
          <t>VÄSTERBOTTENS LÄN</t>
        </is>
      </c>
      <c r="G194" t="inlineStr">
        <is>
          <t>BJURHOLM</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57697-2024</t>
        </is>
      </c>
      <c r="B195" t="inlineStr">
        <is>
          <t>avverkningsanmälan</t>
        </is>
      </c>
      <c r="C195" t="inlineStr">
        <is>
          <t>Föryngringsavverkning</t>
        </is>
      </c>
      <c r="D195" s="1" t="n">
        <v>45630</v>
      </c>
      <c r="E195" s="1" t="n">
        <v>46219</v>
      </c>
      <c r="F195" t="inlineStr">
        <is>
          <t>VÄSTERBOTTENS LÄN</t>
        </is>
      </c>
      <c r="G195" t="inlineStr">
        <is>
          <t>BJURHOLM</t>
        </is>
      </c>
      <c r="H195" t="inlineStr">
        <is>
          <t>Sveaskog</t>
        </is>
      </c>
      <c r="I195" t="n">
        <v>2.7</v>
      </c>
      <c r="J195" t="n">
        <v>0</v>
      </c>
      <c r="K195" t="n">
        <v>0</v>
      </c>
      <c r="L195" t="n">
        <v>0</v>
      </c>
      <c r="M195" t="n">
        <v>0</v>
      </c>
      <c r="N195" t="n">
        <v>0</v>
      </c>
      <c r="O195" t="n">
        <v>0</v>
      </c>
      <c r="P195" t="n">
        <v>0</v>
      </c>
      <c r="Q195" t="n">
        <v>0</v>
      </c>
      <c r="R195" t="n">
        <v>0</v>
      </c>
      <c r="S195" t="n">
        <v>0</v>
      </c>
      <c r="T195" t="n">
        <v>0</v>
      </c>
      <c r="U195" s="2" t="inlineStr"/>
    </row>
    <row r="196" ht="15" customHeight="1">
      <c r="A196" t="inlineStr">
        <is>
          <t>A 8502-2024</t>
        </is>
      </c>
      <c r="B196" t="inlineStr">
        <is>
          <t>avverkningsanmälan</t>
        </is>
      </c>
      <c r="C196" t="inlineStr">
        <is>
          <t>Föryngringsavverkning</t>
        </is>
      </c>
      <c r="D196" s="1" t="n">
        <v>45351</v>
      </c>
      <c r="E196" s="1" t="n">
        <v>46219</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29368-2026</t>
        </is>
      </c>
      <c r="B197" t="inlineStr">
        <is>
          <t>avverkningsanmälan</t>
        </is>
      </c>
      <c r="C197" t="inlineStr">
        <is>
          <t>Föryngringsavverkning</t>
        </is>
      </c>
      <c r="D197" s="1" t="n">
        <v>46203</v>
      </c>
      <c r="E197" s="1" t="n">
        <v>46219</v>
      </c>
      <c r="F197" t="inlineStr">
        <is>
          <t>VÄSTERBOTTENS LÄN</t>
        </is>
      </c>
      <c r="G197" t="inlineStr">
        <is>
          <t>BJURHOLM</t>
        </is>
      </c>
      <c r="H197" t="inlineStr">
        <is>
          <t>Holmen skog AB</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7431-2024</t>
        </is>
      </c>
      <c r="B198" t="inlineStr">
        <is>
          <t>avverkningsanmälan</t>
        </is>
      </c>
      <c r="C198" t="inlineStr">
        <is>
          <t>Föryngringsavverkning</t>
        </is>
      </c>
      <c r="D198" s="1" t="n">
        <v>45345</v>
      </c>
      <c r="E198" s="1" t="n">
        <v>46219</v>
      </c>
      <c r="F198" t="inlineStr">
        <is>
          <t>VÄSTERBOTTENS LÄN</t>
        </is>
      </c>
      <c r="G198" t="inlineStr">
        <is>
          <t>BJURHOLM</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52208-2025</t>
        </is>
      </c>
      <c r="B199" t="inlineStr">
        <is>
          <t>avverkningsanmälan</t>
        </is>
      </c>
      <c r="C199" t="inlineStr">
        <is>
          <t>Föryngringsavverkning</t>
        </is>
      </c>
      <c r="D199" s="1" t="n">
        <v>45953</v>
      </c>
      <c r="E199" s="1" t="n">
        <v>46219</v>
      </c>
      <c r="F199" t="inlineStr">
        <is>
          <t>VÄSTERBOTTENS LÄN</t>
        </is>
      </c>
      <c r="G199" t="inlineStr">
        <is>
          <t>BJURHOLM</t>
        </is>
      </c>
      <c r="I199" t="n">
        <v>5.9</v>
      </c>
      <c r="J199" t="n">
        <v>0</v>
      </c>
      <c r="K199" t="n">
        <v>0</v>
      </c>
      <c r="L199" t="n">
        <v>0</v>
      </c>
      <c r="M199" t="n">
        <v>0</v>
      </c>
      <c r="N199" t="n">
        <v>0</v>
      </c>
      <c r="O199" t="n">
        <v>0</v>
      </c>
      <c r="P199" t="n">
        <v>0</v>
      </c>
      <c r="Q199" t="n">
        <v>0</v>
      </c>
      <c r="R199" t="n">
        <v>0</v>
      </c>
      <c r="S199" t="n">
        <v>0</v>
      </c>
      <c r="T199" t="n">
        <v>0</v>
      </c>
      <c r="U199" s="2" t="inlineStr"/>
    </row>
    <row r="200" ht="15" customHeight="1">
      <c r="A200" t="inlineStr">
        <is>
          <t>A 52235-2025</t>
        </is>
      </c>
      <c r="B200" t="inlineStr">
        <is>
          <t>avverkningsanmälan</t>
        </is>
      </c>
      <c r="C200" t="inlineStr">
        <is>
          <t>Föryngringsavverkning</t>
        </is>
      </c>
      <c r="D200" s="1" t="n">
        <v>45953</v>
      </c>
      <c r="E200" s="1" t="n">
        <v>46219</v>
      </c>
      <c r="F200" t="inlineStr">
        <is>
          <t>VÄSTERBOTTENS LÄN</t>
        </is>
      </c>
      <c r="G200" t="inlineStr">
        <is>
          <t>BJURHOLM</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23563-2026</t>
        </is>
      </c>
      <c r="B201" t="inlineStr">
        <is>
          <t>avverkningsanmälan</t>
        </is>
      </c>
      <c r="C201" t="inlineStr">
        <is>
          <t>Föryngringsavverkning</t>
        </is>
      </c>
      <c r="D201" s="1" t="n">
        <v>46163</v>
      </c>
      <c r="E201" s="1" t="n">
        <v>46219</v>
      </c>
      <c r="F201" t="inlineStr">
        <is>
          <t>VÄSTERBOTTENS LÄN</t>
        </is>
      </c>
      <c r="G201" t="inlineStr">
        <is>
          <t>BJURHOLM</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54123-2025</t>
        </is>
      </c>
      <c r="B202" t="inlineStr">
        <is>
          <t>avverkningsanmälan</t>
        </is>
      </c>
      <c r="C202" t="inlineStr">
        <is>
          <t>Föryngringsavverkning</t>
        </is>
      </c>
      <c r="D202" s="1" t="n">
        <v>45964</v>
      </c>
      <c r="E202" s="1" t="n">
        <v>46219</v>
      </c>
      <c r="F202" t="inlineStr">
        <is>
          <t>VÄSTERBOTTENS LÄN</t>
        </is>
      </c>
      <c r="G202" t="inlineStr">
        <is>
          <t>BJURHOLM</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23731-2026</t>
        </is>
      </c>
      <c r="B203" t="inlineStr">
        <is>
          <t>avverkningsanmälan</t>
        </is>
      </c>
      <c r="C203" t="inlineStr">
        <is>
          <t>Föryngringsavverkning</t>
        </is>
      </c>
      <c r="D203" s="1" t="n">
        <v>46164</v>
      </c>
      <c r="E203" s="1" t="n">
        <v>46219</v>
      </c>
      <c r="F203" t="inlineStr">
        <is>
          <t>VÄSTERBOTTENS LÄN</t>
        </is>
      </c>
      <c r="G203" t="inlineStr">
        <is>
          <t>BJURHOLM</t>
        </is>
      </c>
      <c r="H203" t="inlineStr">
        <is>
          <t>Holmen skog AB</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62088-2022</t>
        </is>
      </c>
      <c r="B204" t="inlineStr">
        <is>
          <t>avverkningsanmälan</t>
        </is>
      </c>
      <c r="C204" t="inlineStr">
        <is>
          <t>Föryngringsavverkning</t>
        </is>
      </c>
      <c r="D204" s="1" t="n">
        <v>44919</v>
      </c>
      <c r="E204" s="1" t="n">
        <v>46219</v>
      </c>
      <c r="F204" t="inlineStr">
        <is>
          <t>VÄSTERBOTTENS LÄN</t>
        </is>
      </c>
      <c r="G204" t="inlineStr">
        <is>
          <t>BJURHOLM</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55542-2022</t>
        </is>
      </c>
      <c r="B205" t="inlineStr">
        <is>
          <t>avverkningsanmälan</t>
        </is>
      </c>
      <c r="C205" t="inlineStr">
        <is>
          <t>Avverkning för att bevara och utveckla /försöksver</t>
        </is>
      </c>
      <c r="D205" s="1" t="n">
        <v>44887</v>
      </c>
      <c r="E205" s="1" t="n">
        <v>46219</v>
      </c>
      <c r="F205" t="inlineStr">
        <is>
          <t>VÄSTERBOTTENS LÄN</t>
        </is>
      </c>
      <c r="G205" t="inlineStr">
        <is>
          <t>BJURHOLM</t>
        </is>
      </c>
      <c r="H205" t="inlineStr">
        <is>
          <t>SCA</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31738-2023</t>
        </is>
      </c>
      <c r="B206" t="inlineStr">
        <is>
          <t>avverkningsanmälan</t>
        </is>
      </c>
      <c r="C206" t="inlineStr">
        <is>
          <t>Föryngringsavverkning</t>
        </is>
      </c>
      <c r="D206" s="1" t="n">
        <v>45117</v>
      </c>
      <c r="E206" s="1" t="n">
        <v>46219</v>
      </c>
      <c r="F206" t="inlineStr">
        <is>
          <t>VÄSTERBOTTENS LÄN</t>
        </is>
      </c>
      <c r="G206" t="inlineStr">
        <is>
          <t>BJURHOLM</t>
        </is>
      </c>
      <c r="H206" t="inlineStr">
        <is>
          <t>SCA</t>
        </is>
      </c>
      <c r="I206" t="n">
        <v>4.8</v>
      </c>
      <c r="J206" t="n">
        <v>0</v>
      </c>
      <c r="K206" t="n">
        <v>0</v>
      </c>
      <c r="L206" t="n">
        <v>0</v>
      </c>
      <c r="M206" t="n">
        <v>0</v>
      </c>
      <c r="N206" t="n">
        <v>0</v>
      </c>
      <c r="O206" t="n">
        <v>0</v>
      </c>
      <c r="P206" t="n">
        <v>0</v>
      </c>
      <c r="Q206" t="n">
        <v>0</v>
      </c>
      <c r="R206" t="n">
        <v>0</v>
      </c>
      <c r="S206" t="n">
        <v>0</v>
      </c>
      <c r="T206" t="n">
        <v>0</v>
      </c>
      <c r="U206" s="2" t="inlineStr"/>
    </row>
    <row r="207" ht="15" customHeight="1">
      <c r="A207" t="inlineStr">
        <is>
          <t>A 23967-2026</t>
        </is>
      </c>
      <c r="B207" t="inlineStr">
        <is>
          <t>avverkningsanmälan</t>
        </is>
      </c>
      <c r="C207" t="inlineStr">
        <is>
          <t>Föryngringsavverkning</t>
        </is>
      </c>
      <c r="D207" s="1" t="n">
        <v>46167</v>
      </c>
      <c r="E207" s="1" t="n">
        <v>46219</v>
      </c>
      <c r="F207" t="inlineStr">
        <is>
          <t>VÄSTERBOTTENS LÄN</t>
        </is>
      </c>
      <c r="G207" t="inlineStr">
        <is>
          <t>BJURHOLM</t>
        </is>
      </c>
      <c r="H207" t="inlineStr">
        <is>
          <t>Holmen skog AB</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50441-2024</t>
        </is>
      </c>
      <c r="B208" t="inlineStr">
        <is>
          <t>avverkningsanmälan</t>
        </is>
      </c>
      <c r="C208" t="inlineStr">
        <is>
          <t>Föryngringsavverkning</t>
        </is>
      </c>
      <c r="D208" s="1" t="n">
        <v>45601</v>
      </c>
      <c r="E208" s="1" t="n">
        <v>46219</v>
      </c>
      <c r="F208" t="inlineStr">
        <is>
          <t>VÄSTERBOTTENS LÄN</t>
        </is>
      </c>
      <c r="G208" t="inlineStr">
        <is>
          <t>BJURHOLM</t>
        </is>
      </c>
      <c r="H208" t="inlineStr">
        <is>
          <t>Sveaskog</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23841-2026</t>
        </is>
      </c>
      <c r="B209" t="inlineStr">
        <is>
          <t>avverkningsanmälan</t>
        </is>
      </c>
      <c r="C209" t="inlineStr">
        <is>
          <t>Föryngringsavverkning</t>
        </is>
      </c>
      <c r="D209" s="1" t="n">
        <v>46167</v>
      </c>
      <c r="E209" s="1" t="n">
        <v>46219</v>
      </c>
      <c r="F209" t="inlineStr">
        <is>
          <t>VÄSTERBOTTENS LÄN</t>
        </is>
      </c>
      <c r="G209" t="inlineStr">
        <is>
          <t>BJURHOLM</t>
        </is>
      </c>
      <c r="H209" t="inlineStr">
        <is>
          <t>Holmen skog AB</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23868-2026</t>
        </is>
      </c>
      <c r="B210" t="inlineStr">
        <is>
          <t>avverkningsanmälan</t>
        </is>
      </c>
      <c r="C210" t="inlineStr">
        <is>
          <t>Föryngringsavverkning</t>
        </is>
      </c>
      <c r="D210" s="1" t="n">
        <v>46167</v>
      </c>
      <c r="E210" s="1" t="n">
        <v>46219</v>
      </c>
      <c r="F210" t="inlineStr">
        <is>
          <t>VÄSTERBOTTENS LÄN</t>
        </is>
      </c>
      <c r="G210" t="inlineStr">
        <is>
          <t>BJURHOLM</t>
        </is>
      </c>
      <c r="H210" t="inlineStr">
        <is>
          <t>Sveaskog</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23869-2026</t>
        </is>
      </c>
      <c r="B211" t="inlineStr">
        <is>
          <t>avverkningsanmälan</t>
        </is>
      </c>
      <c r="C211" t="inlineStr">
        <is>
          <t>Föryngringsavverkning</t>
        </is>
      </c>
      <c r="D211" s="1" t="n">
        <v>46167</v>
      </c>
      <c r="E211" s="1" t="n">
        <v>46219</v>
      </c>
      <c r="F211" t="inlineStr">
        <is>
          <t>VÄSTERBOTTENS LÄN</t>
        </is>
      </c>
      <c r="G211" t="inlineStr">
        <is>
          <t>BJURHOLM</t>
        </is>
      </c>
      <c r="H211" t="inlineStr">
        <is>
          <t>Sveaskog</t>
        </is>
      </c>
      <c r="I211" t="n">
        <v>4</v>
      </c>
      <c r="J211" t="n">
        <v>0</v>
      </c>
      <c r="K211" t="n">
        <v>0</v>
      </c>
      <c r="L211" t="n">
        <v>0</v>
      </c>
      <c r="M211" t="n">
        <v>0</v>
      </c>
      <c r="N211" t="n">
        <v>0</v>
      </c>
      <c r="O211" t="n">
        <v>0</v>
      </c>
      <c r="P211" t="n">
        <v>0</v>
      </c>
      <c r="Q211" t="n">
        <v>0</v>
      </c>
      <c r="R211" t="n">
        <v>0</v>
      </c>
      <c r="S211" t="n">
        <v>0</v>
      </c>
      <c r="T211" t="n">
        <v>0</v>
      </c>
      <c r="U211" s="2" t="inlineStr"/>
    </row>
    <row r="212" ht="15" customHeight="1">
      <c r="A212" t="inlineStr">
        <is>
          <t>A 23835-2026</t>
        </is>
      </c>
      <c r="B212" t="inlineStr">
        <is>
          <t>avverkningsanmälan</t>
        </is>
      </c>
      <c r="C212" t="inlineStr">
        <is>
          <t>Föryngringsavverkning</t>
        </is>
      </c>
      <c r="D212" s="1" t="n">
        <v>46167</v>
      </c>
      <c r="E212" s="1" t="n">
        <v>46219</v>
      </c>
      <c r="F212" t="inlineStr">
        <is>
          <t>VÄSTERBOTTENS LÄN</t>
        </is>
      </c>
      <c r="G212" t="inlineStr">
        <is>
          <t>BJURHOLM</t>
        </is>
      </c>
      <c r="H212" t="inlineStr">
        <is>
          <t>Holmen skog AB</t>
        </is>
      </c>
      <c r="I212" t="n">
        <v>4.2</v>
      </c>
      <c r="J212" t="n">
        <v>0</v>
      </c>
      <c r="K212" t="n">
        <v>0</v>
      </c>
      <c r="L212" t="n">
        <v>0</v>
      </c>
      <c r="M212" t="n">
        <v>0</v>
      </c>
      <c r="N212" t="n">
        <v>0</v>
      </c>
      <c r="O212" t="n">
        <v>0</v>
      </c>
      <c r="P212" t="n">
        <v>0</v>
      </c>
      <c r="Q212" t="n">
        <v>0</v>
      </c>
      <c r="R212" t="n">
        <v>0</v>
      </c>
      <c r="S212" t="n">
        <v>0</v>
      </c>
      <c r="T212" t="n">
        <v>0</v>
      </c>
      <c r="U212" s="2" t="inlineStr"/>
    </row>
    <row r="213" ht="15" customHeight="1">
      <c r="A213" t="inlineStr">
        <is>
          <t>A 56808-2025</t>
        </is>
      </c>
      <c r="B213" t="inlineStr">
        <is>
          <t>avverkningsanmälan</t>
        </is>
      </c>
      <c r="C213" t="inlineStr">
        <is>
          <t>Föryngringsavverkning</t>
        </is>
      </c>
      <c r="D213" s="1" t="n">
        <v>45978</v>
      </c>
      <c r="E213" s="1" t="n">
        <v>46219</v>
      </c>
      <c r="F213" t="inlineStr">
        <is>
          <t>VÄSTERBOTTENS LÄN</t>
        </is>
      </c>
      <c r="G213" t="inlineStr">
        <is>
          <t>BJURHOLM</t>
        </is>
      </c>
      <c r="I213" t="n">
        <v>4.9</v>
      </c>
      <c r="J213" t="n">
        <v>0</v>
      </c>
      <c r="K213" t="n">
        <v>0</v>
      </c>
      <c r="L213" t="n">
        <v>0</v>
      </c>
      <c r="M213" t="n">
        <v>0</v>
      </c>
      <c r="N213" t="n">
        <v>0</v>
      </c>
      <c r="O213" t="n">
        <v>0</v>
      </c>
      <c r="P213" t="n">
        <v>0</v>
      </c>
      <c r="Q213" t="n">
        <v>0</v>
      </c>
      <c r="R213" t="n">
        <v>0</v>
      </c>
      <c r="S213" t="n">
        <v>0</v>
      </c>
      <c r="T213" t="n">
        <v>0</v>
      </c>
      <c r="U213" s="2" t="inlineStr"/>
    </row>
    <row r="214" ht="15" customHeight="1">
      <c r="A214" t="inlineStr">
        <is>
          <t>A 30845-2026</t>
        </is>
      </c>
      <c r="B214" t="inlineStr">
        <is>
          <t>avverkningsanmälan</t>
        </is>
      </c>
      <c r="C214" t="inlineStr">
        <is>
          <t>Föryngringsavverkning</t>
        </is>
      </c>
      <c r="D214" s="1" t="n">
        <v>46205</v>
      </c>
      <c r="E214" s="1" t="n">
        <v>46219</v>
      </c>
      <c r="F214" t="inlineStr">
        <is>
          <t>VÄSTERBOTTENS LÄN</t>
        </is>
      </c>
      <c r="G214" t="inlineStr">
        <is>
          <t>BJURHOLM</t>
        </is>
      </c>
      <c r="I214" t="n">
        <v>27.9</v>
      </c>
      <c r="J214" t="n">
        <v>0</v>
      </c>
      <c r="K214" t="n">
        <v>0</v>
      </c>
      <c r="L214" t="n">
        <v>0</v>
      </c>
      <c r="M214" t="n">
        <v>0</v>
      </c>
      <c r="N214" t="n">
        <v>0</v>
      </c>
      <c r="O214" t="n">
        <v>0</v>
      </c>
      <c r="P214" t="n">
        <v>0</v>
      </c>
      <c r="Q214" t="n">
        <v>0</v>
      </c>
      <c r="R214" t="n">
        <v>0</v>
      </c>
      <c r="S214" t="n">
        <v>0</v>
      </c>
      <c r="T214" t="n">
        <v>0</v>
      </c>
      <c r="U214" s="2" t="inlineStr"/>
    </row>
    <row r="215" ht="15" customHeight="1">
      <c r="A215" t="inlineStr">
        <is>
          <t>A 30847-2026</t>
        </is>
      </c>
      <c r="B215" t="inlineStr">
        <is>
          <t>avverkningsanmälan</t>
        </is>
      </c>
      <c r="C215" t="inlineStr">
        <is>
          <t>Föryngringsavverkning</t>
        </is>
      </c>
      <c r="D215" s="1" t="n">
        <v>46205</v>
      </c>
      <c r="E215" s="1" t="n">
        <v>46219</v>
      </c>
      <c r="F215" t="inlineStr">
        <is>
          <t>VÄSTERBOTTENS LÄN</t>
        </is>
      </c>
      <c r="G215" t="inlineStr">
        <is>
          <t>BJURHOLM</t>
        </is>
      </c>
      <c r="I215" t="n">
        <v>5.1</v>
      </c>
      <c r="J215" t="n">
        <v>0</v>
      </c>
      <c r="K215" t="n">
        <v>0</v>
      </c>
      <c r="L215" t="n">
        <v>0</v>
      </c>
      <c r="M215" t="n">
        <v>0</v>
      </c>
      <c r="N215" t="n">
        <v>0</v>
      </c>
      <c r="O215" t="n">
        <v>0</v>
      </c>
      <c r="P215" t="n">
        <v>0</v>
      </c>
      <c r="Q215" t="n">
        <v>0</v>
      </c>
      <c r="R215" t="n">
        <v>0</v>
      </c>
      <c r="S215" t="n">
        <v>0</v>
      </c>
      <c r="T215" t="n">
        <v>0</v>
      </c>
      <c r="U215" s="2" t="inlineStr"/>
    </row>
    <row r="216" ht="15" customHeight="1">
      <c r="A216" t="inlineStr">
        <is>
          <t>A 74152-2021</t>
        </is>
      </c>
      <c r="B216" t="inlineStr">
        <is>
          <t>avverkningsanmälan</t>
        </is>
      </c>
      <c r="C216" t="inlineStr">
        <is>
          <t>Avverkning för annat ändamål</t>
        </is>
      </c>
      <c r="D216" s="1" t="n">
        <v>44557</v>
      </c>
      <c r="E216" s="1" t="n">
        <v>46219</v>
      </c>
      <c r="F216" t="inlineStr">
        <is>
          <t>VÄSTERBOTTENS LÄN</t>
        </is>
      </c>
      <c r="G216" t="inlineStr">
        <is>
          <t>BJURHOLM</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32502-2024</t>
        </is>
      </c>
      <c r="B217" t="inlineStr">
        <is>
          <t>avverkningsanmälan</t>
        </is>
      </c>
      <c r="C217" t="inlineStr">
        <is>
          <t>Föryngringsavverkning</t>
        </is>
      </c>
      <c r="D217" s="1" t="n">
        <v>45513</v>
      </c>
      <c r="E217" s="1" t="n">
        <v>46219</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56467-2025</t>
        </is>
      </c>
      <c r="B218" t="inlineStr">
        <is>
          <t>avverkningsanmälan</t>
        </is>
      </c>
      <c r="C218" t="inlineStr">
        <is>
          <t>Föryngringsavverkning</t>
        </is>
      </c>
      <c r="D218" s="1" t="n">
        <v>45975</v>
      </c>
      <c r="E218" s="1" t="n">
        <v>46219</v>
      </c>
      <c r="F218" t="inlineStr">
        <is>
          <t>VÄSTERBOTTENS LÄN</t>
        </is>
      </c>
      <c r="G218" t="inlineStr">
        <is>
          <t>BJURHOLM</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30842-2026</t>
        </is>
      </c>
      <c r="B219" t="inlineStr">
        <is>
          <t>avverkningsanmälan</t>
        </is>
      </c>
      <c r="C219" t="inlineStr">
        <is>
          <t>Föryngringsavverkning</t>
        </is>
      </c>
      <c r="D219" s="1" t="n">
        <v>46205</v>
      </c>
      <c r="E219" s="1" t="n">
        <v>46219</v>
      </c>
      <c r="F219" t="inlineStr">
        <is>
          <t>VÄSTERBOTTENS LÄN</t>
        </is>
      </c>
      <c r="G219" t="inlineStr">
        <is>
          <t>BJURHOLM</t>
        </is>
      </c>
      <c r="I219" t="n">
        <v>6.3</v>
      </c>
      <c r="J219" t="n">
        <v>0</v>
      </c>
      <c r="K219" t="n">
        <v>0</v>
      </c>
      <c r="L219" t="n">
        <v>0</v>
      </c>
      <c r="M219" t="n">
        <v>0</v>
      </c>
      <c r="N219" t="n">
        <v>0</v>
      </c>
      <c r="O219" t="n">
        <v>0</v>
      </c>
      <c r="P219" t="n">
        <v>0</v>
      </c>
      <c r="Q219" t="n">
        <v>0</v>
      </c>
      <c r="R219" t="n">
        <v>0</v>
      </c>
      <c r="S219" t="n">
        <v>0</v>
      </c>
      <c r="T219" t="n">
        <v>0</v>
      </c>
      <c r="U219" s="2" t="inlineStr"/>
    </row>
    <row r="220" ht="15" customHeight="1">
      <c r="A220" t="inlineStr">
        <is>
          <t>A 30861-2026</t>
        </is>
      </c>
      <c r="B220" t="inlineStr">
        <is>
          <t>avverkningsanmälan</t>
        </is>
      </c>
      <c r="C220" t="inlineStr">
        <is>
          <t>Föryngringsavverkning</t>
        </is>
      </c>
      <c r="D220" s="1" t="n">
        <v>46205</v>
      </c>
      <c r="E220" s="1" t="n">
        <v>46219</v>
      </c>
      <c r="F220" t="inlineStr">
        <is>
          <t>VÄSTERBOTTENS LÄN</t>
        </is>
      </c>
      <c r="G220" t="inlineStr">
        <is>
          <t>BJURHOLM</t>
        </is>
      </c>
      <c r="I220" t="n">
        <v>12.4</v>
      </c>
      <c r="J220" t="n">
        <v>0</v>
      </c>
      <c r="K220" t="n">
        <v>0</v>
      </c>
      <c r="L220" t="n">
        <v>0</v>
      </c>
      <c r="M220" t="n">
        <v>0</v>
      </c>
      <c r="N220" t="n">
        <v>0</v>
      </c>
      <c r="O220" t="n">
        <v>0</v>
      </c>
      <c r="P220" t="n">
        <v>0</v>
      </c>
      <c r="Q220" t="n">
        <v>0</v>
      </c>
      <c r="R220" t="n">
        <v>0</v>
      </c>
      <c r="S220" t="n">
        <v>0</v>
      </c>
      <c r="T220" t="n">
        <v>0</v>
      </c>
      <c r="U220" s="2" t="inlineStr"/>
    </row>
    <row r="221" ht="15" customHeight="1">
      <c r="A221" t="inlineStr">
        <is>
          <t>A 56724-2025</t>
        </is>
      </c>
      <c r="B221" t="inlineStr">
        <is>
          <t>avverkningsanmälan</t>
        </is>
      </c>
      <c r="C221" t="inlineStr">
        <is>
          <t>Föryngringsavverkning</t>
        </is>
      </c>
      <c r="D221" s="1" t="n">
        <v>45978</v>
      </c>
      <c r="E221" s="1" t="n">
        <v>46219</v>
      </c>
      <c r="F221" t="inlineStr">
        <is>
          <t>VÄSTERBOTTENS LÄN</t>
        </is>
      </c>
      <c r="G221" t="inlineStr">
        <is>
          <t>BJURHOLM</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57368-2025</t>
        </is>
      </c>
      <c r="B222" t="inlineStr">
        <is>
          <t>avverkningsanmälan</t>
        </is>
      </c>
      <c r="C222" t="inlineStr">
        <is>
          <t>Föryngringsavverkning</t>
        </is>
      </c>
      <c r="D222" s="1" t="n">
        <v>45980</v>
      </c>
      <c r="E222" s="1" t="n">
        <v>46219</v>
      </c>
      <c r="F222" t="inlineStr">
        <is>
          <t>VÄSTERBOTTENS LÄN</t>
        </is>
      </c>
      <c r="G222" t="inlineStr">
        <is>
          <t>BJURHOLM</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40142-2023</t>
        </is>
      </c>
      <c r="B223" t="inlineStr">
        <is>
          <t>avverkningsanmälan</t>
        </is>
      </c>
      <c r="C223" t="inlineStr">
        <is>
          <t>Föryngringsavverkning</t>
        </is>
      </c>
      <c r="D223" s="1" t="n">
        <v>45168</v>
      </c>
      <c r="E223" s="1" t="n">
        <v>46219</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30807-2026</t>
        </is>
      </c>
      <c r="B224" t="inlineStr">
        <is>
          <t>avverkningsanmälan</t>
        </is>
      </c>
      <c r="C224" t="inlineStr">
        <is>
          <t>Föryngringsavverkning</t>
        </is>
      </c>
      <c r="D224" s="1" t="n">
        <v>46205</v>
      </c>
      <c r="E224" s="1" t="n">
        <v>46219</v>
      </c>
      <c r="F224" t="inlineStr">
        <is>
          <t>VÄSTERBOTTENS LÄN</t>
        </is>
      </c>
      <c r="G224" t="inlineStr">
        <is>
          <t>BJURHOLM</t>
        </is>
      </c>
      <c r="I224" t="n">
        <v>8.1</v>
      </c>
      <c r="J224" t="n">
        <v>0</v>
      </c>
      <c r="K224" t="n">
        <v>0</v>
      </c>
      <c r="L224" t="n">
        <v>0</v>
      </c>
      <c r="M224" t="n">
        <v>0</v>
      </c>
      <c r="N224" t="n">
        <v>0</v>
      </c>
      <c r="O224" t="n">
        <v>0</v>
      </c>
      <c r="P224" t="n">
        <v>0</v>
      </c>
      <c r="Q224" t="n">
        <v>0</v>
      </c>
      <c r="R224" t="n">
        <v>0</v>
      </c>
      <c r="S224" t="n">
        <v>0</v>
      </c>
      <c r="T224" t="n">
        <v>0</v>
      </c>
      <c r="U224" s="2" t="inlineStr"/>
    </row>
    <row r="225" ht="15" customHeight="1">
      <c r="A225" t="inlineStr">
        <is>
          <t>A 26459-2024</t>
        </is>
      </c>
      <c r="B225" t="inlineStr">
        <is>
          <t>avverkningsanmälan</t>
        </is>
      </c>
      <c r="C225" t="inlineStr">
        <is>
          <t>Avverkning för annat ändamål</t>
        </is>
      </c>
      <c r="D225" s="1" t="n">
        <v>45469</v>
      </c>
      <c r="E225" s="1" t="n">
        <v>46219</v>
      </c>
      <c r="F225" t="inlineStr">
        <is>
          <t>VÄSTERBOTTENS LÄN</t>
        </is>
      </c>
      <c r="G225" t="inlineStr">
        <is>
          <t>BJURHOLM</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50726-2024</t>
        </is>
      </c>
      <c r="B226" t="inlineStr">
        <is>
          <t>avverkningsanmälan</t>
        </is>
      </c>
      <c r="C226" t="inlineStr">
        <is>
          <t>Föryngringsavverkning</t>
        </is>
      </c>
      <c r="D226" s="1" t="n">
        <v>45602</v>
      </c>
      <c r="E226" s="1" t="n">
        <v>46219</v>
      </c>
      <c r="F226" t="inlineStr">
        <is>
          <t>VÄSTERBOTTENS LÄN</t>
        </is>
      </c>
      <c r="G226" t="inlineStr">
        <is>
          <t>BJURHOLM</t>
        </is>
      </c>
      <c r="I226" t="n">
        <v>3.1</v>
      </c>
      <c r="J226" t="n">
        <v>0</v>
      </c>
      <c r="K226" t="n">
        <v>0</v>
      </c>
      <c r="L226" t="n">
        <v>0</v>
      </c>
      <c r="M226" t="n">
        <v>0</v>
      </c>
      <c r="N226" t="n">
        <v>0</v>
      </c>
      <c r="O226" t="n">
        <v>0</v>
      </c>
      <c r="P226" t="n">
        <v>0</v>
      </c>
      <c r="Q226" t="n">
        <v>0</v>
      </c>
      <c r="R226" t="n">
        <v>0</v>
      </c>
      <c r="S226" t="n">
        <v>0</v>
      </c>
      <c r="T226" t="n">
        <v>0</v>
      </c>
      <c r="U226" s="2" t="inlineStr"/>
    </row>
    <row r="227" ht="15" customHeight="1">
      <c r="A227" t="inlineStr">
        <is>
          <t>A 50728-2024</t>
        </is>
      </c>
      <c r="B227" t="inlineStr">
        <is>
          <t>avverkningsanmälan</t>
        </is>
      </c>
      <c r="C227" t="inlineStr">
        <is>
          <t>Föryngringsavverkning</t>
        </is>
      </c>
      <c r="D227" s="1" t="n">
        <v>45602</v>
      </c>
      <c r="E227" s="1" t="n">
        <v>46219</v>
      </c>
      <c r="F227" t="inlineStr">
        <is>
          <t>VÄSTERBOTTENS LÄN</t>
        </is>
      </c>
      <c r="G227" t="inlineStr">
        <is>
          <t>BJURHOLM</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57263-2025</t>
        </is>
      </c>
      <c r="B228" t="inlineStr">
        <is>
          <t>avverkningsanmälan</t>
        </is>
      </c>
      <c r="C228" t="inlineStr">
        <is>
          <t>Föryngringsavverkning</t>
        </is>
      </c>
      <c r="D228" s="1" t="n">
        <v>45979</v>
      </c>
      <c r="E228" s="1" t="n">
        <v>46219</v>
      </c>
      <c r="F228" t="inlineStr">
        <is>
          <t>VÄSTERBOTTENS LÄN</t>
        </is>
      </c>
      <c r="G228" t="inlineStr">
        <is>
          <t>BJURHOLM</t>
        </is>
      </c>
      <c r="H228" t="inlineStr">
        <is>
          <t>Sveaskog</t>
        </is>
      </c>
      <c r="I228" t="n">
        <v>28.7</v>
      </c>
      <c r="J228" t="n">
        <v>0</v>
      </c>
      <c r="K228" t="n">
        <v>0</v>
      </c>
      <c r="L228" t="n">
        <v>0</v>
      </c>
      <c r="M228" t="n">
        <v>0</v>
      </c>
      <c r="N228" t="n">
        <v>0</v>
      </c>
      <c r="O228" t="n">
        <v>0</v>
      </c>
      <c r="P228" t="n">
        <v>0</v>
      </c>
      <c r="Q228" t="n">
        <v>0</v>
      </c>
      <c r="R228" t="n">
        <v>0</v>
      </c>
      <c r="S228" t="n">
        <v>0</v>
      </c>
      <c r="T228" t="n">
        <v>0</v>
      </c>
      <c r="U228" s="2" t="inlineStr"/>
    </row>
    <row r="229" ht="15" customHeight="1">
      <c r="A229" t="inlineStr">
        <is>
          <t>A 30805-2026</t>
        </is>
      </c>
      <c r="B229" t="inlineStr">
        <is>
          <t>avverkningsanmälan</t>
        </is>
      </c>
      <c r="C229" t="inlineStr">
        <is>
          <t>Föryngringsavverkning</t>
        </is>
      </c>
      <c r="D229" s="1" t="n">
        <v>46205</v>
      </c>
      <c r="E229" s="1" t="n">
        <v>46219</v>
      </c>
      <c r="F229" t="inlineStr">
        <is>
          <t>VÄSTERBOTTENS LÄN</t>
        </is>
      </c>
      <c r="G229" t="inlineStr">
        <is>
          <t>BJURHOLM</t>
        </is>
      </c>
      <c r="I229" t="n">
        <v>5.9</v>
      </c>
      <c r="J229" t="n">
        <v>0</v>
      </c>
      <c r="K229" t="n">
        <v>0</v>
      </c>
      <c r="L229" t="n">
        <v>0</v>
      </c>
      <c r="M229" t="n">
        <v>0</v>
      </c>
      <c r="N229" t="n">
        <v>0</v>
      </c>
      <c r="O229" t="n">
        <v>0</v>
      </c>
      <c r="P229" t="n">
        <v>0</v>
      </c>
      <c r="Q229" t="n">
        <v>0</v>
      </c>
      <c r="R229" t="n">
        <v>0</v>
      </c>
      <c r="S229" t="n">
        <v>0</v>
      </c>
      <c r="T229" t="n">
        <v>0</v>
      </c>
      <c r="U229" s="2" t="inlineStr"/>
    </row>
    <row r="230" ht="15" customHeight="1">
      <c r="A230" t="inlineStr">
        <is>
          <t>A 57215-2025</t>
        </is>
      </c>
      <c r="B230" t="inlineStr">
        <is>
          <t>avverkningsanmälan</t>
        </is>
      </c>
      <c r="C230" t="inlineStr">
        <is>
          <t>Föryngringsavverkning</t>
        </is>
      </c>
      <c r="D230" s="1" t="n">
        <v>45979</v>
      </c>
      <c r="E230" s="1" t="n">
        <v>46219</v>
      </c>
      <c r="F230" t="inlineStr">
        <is>
          <t>VÄSTERBOTTENS LÄN</t>
        </is>
      </c>
      <c r="G230" t="inlineStr">
        <is>
          <t>BJURHOLM</t>
        </is>
      </c>
      <c r="H230" t="inlineStr">
        <is>
          <t>Sveaskog</t>
        </is>
      </c>
      <c r="I230" t="n">
        <v>5.8</v>
      </c>
      <c r="J230" t="n">
        <v>0</v>
      </c>
      <c r="K230" t="n">
        <v>0</v>
      </c>
      <c r="L230" t="n">
        <v>0</v>
      </c>
      <c r="M230" t="n">
        <v>0</v>
      </c>
      <c r="N230" t="n">
        <v>0</v>
      </c>
      <c r="O230" t="n">
        <v>0</v>
      </c>
      <c r="P230" t="n">
        <v>0</v>
      </c>
      <c r="Q230" t="n">
        <v>0</v>
      </c>
      <c r="R230" t="n">
        <v>0</v>
      </c>
      <c r="S230" t="n">
        <v>0</v>
      </c>
      <c r="T230" t="n">
        <v>0</v>
      </c>
      <c r="U230" s="2" t="inlineStr"/>
    </row>
    <row r="231" ht="15" customHeight="1">
      <c r="A231" t="inlineStr">
        <is>
          <t>A 30867-2026</t>
        </is>
      </c>
      <c r="B231" t="inlineStr">
        <is>
          <t>avverkningsanmälan</t>
        </is>
      </c>
      <c r="C231" t="inlineStr">
        <is>
          <t>Föryngringsavverkning</t>
        </is>
      </c>
      <c r="D231" s="1" t="n">
        <v>46205</v>
      </c>
      <c r="E231" s="1" t="n">
        <v>46219</v>
      </c>
      <c r="F231" t="inlineStr">
        <is>
          <t>VÄSTERBOTTENS LÄN</t>
        </is>
      </c>
      <c r="G231" t="inlineStr">
        <is>
          <t>BJURHOLM</t>
        </is>
      </c>
      <c r="I231" t="n">
        <v>3.7</v>
      </c>
      <c r="J231" t="n">
        <v>0</v>
      </c>
      <c r="K231" t="n">
        <v>0</v>
      </c>
      <c r="L231" t="n">
        <v>0</v>
      </c>
      <c r="M231" t="n">
        <v>0</v>
      </c>
      <c r="N231" t="n">
        <v>0</v>
      </c>
      <c r="O231" t="n">
        <v>0</v>
      </c>
      <c r="P231" t="n">
        <v>0</v>
      </c>
      <c r="Q231" t="n">
        <v>0</v>
      </c>
      <c r="R231" t="n">
        <v>0</v>
      </c>
      <c r="S231" t="n">
        <v>0</v>
      </c>
      <c r="T231" t="n">
        <v>0</v>
      </c>
      <c r="U231" s="2" t="inlineStr"/>
    </row>
    <row r="232" ht="15" customHeight="1">
      <c r="A232" t="inlineStr">
        <is>
          <t>A 58150-2025</t>
        </is>
      </c>
      <c r="B232" t="inlineStr">
        <is>
          <t>avverkningsanmälan</t>
        </is>
      </c>
      <c r="C232" t="inlineStr">
        <is>
          <t>Föryngringsavverkning</t>
        </is>
      </c>
      <c r="D232" s="1" t="n">
        <v>45982</v>
      </c>
      <c r="E232" s="1" t="n">
        <v>46219</v>
      </c>
      <c r="F232" t="inlineStr">
        <is>
          <t>VÄSTERBOTTENS LÄN</t>
        </is>
      </c>
      <c r="G232" t="inlineStr">
        <is>
          <t>BJURHOLM</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58005-2025</t>
        </is>
      </c>
      <c r="B233" t="inlineStr">
        <is>
          <t>avverkningsanmälan</t>
        </is>
      </c>
      <c r="C233" t="inlineStr">
        <is>
          <t>Avverkning för annat ändamål</t>
        </is>
      </c>
      <c r="D233" s="1" t="n">
        <v>45982</v>
      </c>
      <c r="E233" s="1" t="n">
        <v>46219</v>
      </c>
      <c r="F233" t="inlineStr">
        <is>
          <t>VÄSTERBOTTENS LÄN</t>
        </is>
      </c>
      <c r="G233" t="inlineStr">
        <is>
          <t>BJURHOLM</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24657-2026</t>
        </is>
      </c>
      <c r="B234" t="inlineStr">
        <is>
          <t>avverkningsanmälan</t>
        </is>
      </c>
      <c r="C234" t="inlineStr">
        <is>
          <t>Föryngringsavverkning</t>
        </is>
      </c>
      <c r="D234" s="1" t="n">
        <v>46171</v>
      </c>
      <c r="E234" s="1" t="n">
        <v>46219</v>
      </c>
      <c r="F234" t="inlineStr">
        <is>
          <t>VÄSTERBOTTENS LÄN</t>
        </is>
      </c>
      <c r="G234" t="inlineStr">
        <is>
          <t>BJURHOLM</t>
        </is>
      </c>
      <c r="I234" t="n">
        <v>3.4</v>
      </c>
      <c r="J234" t="n">
        <v>0</v>
      </c>
      <c r="K234" t="n">
        <v>0</v>
      </c>
      <c r="L234" t="n">
        <v>0</v>
      </c>
      <c r="M234" t="n">
        <v>0</v>
      </c>
      <c r="N234" t="n">
        <v>0</v>
      </c>
      <c r="O234" t="n">
        <v>0</v>
      </c>
      <c r="P234" t="n">
        <v>0</v>
      </c>
      <c r="Q234" t="n">
        <v>0</v>
      </c>
      <c r="R234" t="n">
        <v>0</v>
      </c>
      <c r="S234" t="n">
        <v>0</v>
      </c>
      <c r="T234" t="n">
        <v>0</v>
      </c>
      <c r="U234" s="2" t="inlineStr"/>
    </row>
    <row r="235" ht="15" customHeight="1">
      <c r="A235" t="inlineStr">
        <is>
          <t>A 36448-2024</t>
        </is>
      </c>
      <c r="B235" t="inlineStr">
        <is>
          <t>avverkningsanmälan</t>
        </is>
      </c>
      <c r="C235" t="inlineStr">
        <is>
          <t>Avverkning för annat ändamål</t>
        </is>
      </c>
      <c r="D235" s="1" t="n">
        <v>45537</v>
      </c>
      <c r="E235" s="1" t="n">
        <v>46219</v>
      </c>
      <c r="F235" t="inlineStr">
        <is>
          <t>VÄSTERBOTTENS LÄN</t>
        </is>
      </c>
      <c r="G235" t="inlineStr">
        <is>
          <t>BJURHOLM</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58729-2025</t>
        </is>
      </c>
      <c r="B236" t="inlineStr">
        <is>
          <t>avverkningsanmälan</t>
        </is>
      </c>
      <c r="C236" t="inlineStr">
        <is>
          <t>Föryngringsavverkning</t>
        </is>
      </c>
      <c r="D236" s="1" t="n">
        <v>45986</v>
      </c>
      <c r="E236" s="1" t="n">
        <v>46219</v>
      </c>
      <c r="F236" t="inlineStr">
        <is>
          <t>VÄSTERBOTTENS LÄN</t>
        </is>
      </c>
      <c r="G236" t="inlineStr">
        <is>
          <t>BJURHOLM</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8644-2023</t>
        </is>
      </c>
      <c r="B237" t="inlineStr">
        <is>
          <t>avverkningsanmälan</t>
        </is>
      </c>
      <c r="C237" t="inlineStr">
        <is>
          <t>Föryngringsavverkning</t>
        </is>
      </c>
      <c r="D237" s="1" t="n">
        <v>44977</v>
      </c>
      <c r="E237" s="1" t="n">
        <v>46219</v>
      </c>
      <c r="F237" t="inlineStr">
        <is>
          <t>VÄSTERBOTTENS LÄN</t>
        </is>
      </c>
      <c r="G237" t="inlineStr">
        <is>
          <t>BJURHOLM</t>
        </is>
      </c>
      <c r="H237" t="inlineStr">
        <is>
          <t>SCA</t>
        </is>
      </c>
      <c r="I237" t="n">
        <v>3.8</v>
      </c>
      <c r="J237" t="n">
        <v>0</v>
      </c>
      <c r="K237" t="n">
        <v>0</v>
      </c>
      <c r="L237" t="n">
        <v>0</v>
      </c>
      <c r="M237" t="n">
        <v>0</v>
      </c>
      <c r="N237" t="n">
        <v>0</v>
      </c>
      <c r="O237" t="n">
        <v>0</v>
      </c>
      <c r="P237" t="n">
        <v>0</v>
      </c>
      <c r="Q237" t="n">
        <v>0</v>
      </c>
      <c r="R237" t="n">
        <v>0</v>
      </c>
      <c r="S237" t="n">
        <v>0</v>
      </c>
      <c r="T237" t="n">
        <v>0</v>
      </c>
      <c r="U237" s="2" t="inlineStr"/>
    </row>
    <row r="238" ht="15" customHeight="1">
      <c r="A238" t="inlineStr">
        <is>
          <t>A 24663-2026</t>
        </is>
      </c>
      <c r="B238" t="inlineStr">
        <is>
          <t>avverkningsanmälan</t>
        </is>
      </c>
      <c r="C238" t="inlineStr">
        <is>
          <t>Föryngringsavverkning</t>
        </is>
      </c>
      <c r="D238" s="1" t="n">
        <v>46171</v>
      </c>
      <c r="E238" s="1" t="n">
        <v>46219</v>
      </c>
      <c r="F238" t="inlineStr">
        <is>
          <t>VÄSTERBOTTENS LÄN</t>
        </is>
      </c>
      <c r="G238" t="inlineStr">
        <is>
          <t>BJURHOLM</t>
        </is>
      </c>
      <c r="I238" t="n">
        <v>3.9</v>
      </c>
      <c r="J238" t="n">
        <v>0</v>
      </c>
      <c r="K238" t="n">
        <v>0</v>
      </c>
      <c r="L238" t="n">
        <v>0</v>
      </c>
      <c r="M238" t="n">
        <v>0</v>
      </c>
      <c r="N238" t="n">
        <v>0</v>
      </c>
      <c r="O238" t="n">
        <v>0</v>
      </c>
      <c r="P238" t="n">
        <v>0</v>
      </c>
      <c r="Q238" t="n">
        <v>0</v>
      </c>
      <c r="R238" t="n">
        <v>0</v>
      </c>
      <c r="S238" t="n">
        <v>0</v>
      </c>
      <c r="T238" t="n">
        <v>0</v>
      </c>
      <c r="U238" s="2" t="inlineStr"/>
    </row>
    <row r="239" ht="15" customHeight="1">
      <c r="A239" t="inlineStr">
        <is>
          <t>A 59073-2025</t>
        </is>
      </c>
      <c r="B239" t="inlineStr">
        <is>
          <t>avverkningsanmälan</t>
        </is>
      </c>
      <c r="C239" t="inlineStr">
        <is>
          <t>Föryngringsavverkning</t>
        </is>
      </c>
      <c r="D239" s="1" t="n">
        <v>45988</v>
      </c>
      <c r="E239" s="1" t="n">
        <v>46219</v>
      </c>
      <c r="F239" t="inlineStr">
        <is>
          <t>VÄSTERBOTTENS LÄN</t>
        </is>
      </c>
      <c r="G239" t="inlineStr">
        <is>
          <t>BJURHOLM</t>
        </is>
      </c>
      <c r="H239" t="inlineStr">
        <is>
          <t>Holmen skog AB</t>
        </is>
      </c>
      <c r="I239" t="n">
        <v>11.8</v>
      </c>
      <c r="J239" t="n">
        <v>0</v>
      </c>
      <c r="K239" t="n">
        <v>0</v>
      </c>
      <c r="L239" t="n">
        <v>0</v>
      </c>
      <c r="M239" t="n">
        <v>0</v>
      </c>
      <c r="N239" t="n">
        <v>0</v>
      </c>
      <c r="O239" t="n">
        <v>0</v>
      </c>
      <c r="P239" t="n">
        <v>0</v>
      </c>
      <c r="Q239" t="n">
        <v>0</v>
      </c>
      <c r="R239" t="n">
        <v>0</v>
      </c>
      <c r="S239" t="n">
        <v>0</v>
      </c>
      <c r="T239" t="n">
        <v>0</v>
      </c>
      <c r="U239" s="2" t="inlineStr"/>
    </row>
    <row r="240" ht="15" customHeight="1">
      <c r="A240" t="inlineStr">
        <is>
          <t>A 24757-2026</t>
        </is>
      </c>
      <c r="B240" t="inlineStr">
        <is>
          <t>avverkningsanmälan</t>
        </is>
      </c>
      <c r="C240" t="inlineStr">
        <is>
          <t>Föryngringsavverkning</t>
        </is>
      </c>
      <c r="D240" s="1" t="n">
        <v>46171</v>
      </c>
      <c r="E240" s="1" t="n">
        <v>46219</v>
      </c>
      <c r="F240" t="inlineStr">
        <is>
          <t>VÄSTERBOTTENS LÄN</t>
        </is>
      </c>
      <c r="G240" t="inlineStr">
        <is>
          <t>BJURHOLM</t>
        </is>
      </c>
      <c r="H240" t="inlineStr">
        <is>
          <t>SCA</t>
        </is>
      </c>
      <c r="I240" t="n">
        <v>5.7</v>
      </c>
      <c r="J240" t="n">
        <v>0</v>
      </c>
      <c r="K240" t="n">
        <v>0</v>
      </c>
      <c r="L240" t="n">
        <v>0</v>
      </c>
      <c r="M240" t="n">
        <v>0</v>
      </c>
      <c r="N240" t="n">
        <v>0</v>
      </c>
      <c r="O240" t="n">
        <v>0</v>
      </c>
      <c r="P240" t="n">
        <v>0</v>
      </c>
      <c r="Q240" t="n">
        <v>0</v>
      </c>
      <c r="R240" t="n">
        <v>0</v>
      </c>
      <c r="S240" t="n">
        <v>0</v>
      </c>
      <c r="T240" t="n">
        <v>0</v>
      </c>
      <c r="U240" s="2" t="inlineStr"/>
    </row>
    <row r="241" ht="15" customHeight="1">
      <c r="A241" t="inlineStr">
        <is>
          <t>A 59278-2025</t>
        </is>
      </c>
      <c r="B241" t="inlineStr">
        <is>
          <t>avverkningsanmälan</t>
        </is>
      </c>
      <c r="C241" t="inlineStr">
        <is>
          <t>Föryngringsavverkning</t>
        </is>
      </c>
      <c r="D241" s="1" t="n">
        <v>45988</v>
      </c>
      <c r="E241" s="1" t="n">
        <v>46219</v>
      </c>
      <c r="F241" t="inlineStr">
        <is>
          <t>VÄSTERBOTTENS LÄN</t>
        </is>
      </c>
      <c r="G241" t="inlineStr">
        <is>
          <t>BJURHOLM</t>
        </is>
      </c>
      <c r="I241" t="n">
        <v>3.8</v>
      </c>
      <c r="J241" t="n">
        <v>0</v>
      </c>
      <c r="K241" t="n">
        <v>0</v>
      </c>
      <c r="L241" t="n">
        <v>0</v>
      </c>
      <c r="M241" t="n">
        <v>0</v>
      </c>
      <c r="N241" t="n">
        <v>0</v>
      </c>
      <c r="O241" t="n">
        <v>0</v>
      </c>
      <c r="P241" t="n">
        <v>0</v>
      </c>
      <c r="Q241" t="n">
        <v>0</v>
      </c>
      <c r="R241" t="n">
        <v>0</v>
      </c>
      <c r="S241" t="n">
        <v>0</v>
      </c>
      <c r="T241" t="n">
        <v>0</v>
      </c>
      <c r="U241" s="2" t="inlineStr"/>
    </row>
    <row r="242" ht="15" customHeight="1">
      <c r="A242" t="inlineStr">
        <is>
          <t>A 30886-2026</t>
        </is>
      </c>
      <c r="B242" t="inlineStr">
        <is>
          <t>avverkningsanmälan</t>
        </is>
      </c>
      <c r="C242" t="inlineStr">
        <is>
          <t>Föryngringsavverkning</t>
        </is>
      </c>
      <c r="D242" s="1" t="n">
        <v>46212</v>
      </c>
      <c r="E242" s="1" t="n">
        <v>46219</v>
      </c>
      <c r="F242" t="inlineStr">
        <is>
          <t>VÄSTERBOTTENS LÄN</t>
        </is>
      </c>
      <c r="G242" t="inlineStr">
        <is>
          <t>BJURHOLM</t>
        </is>
      </c>
      <c r="I242" t="n">
        <v>9</v>
      </c>
      <c r="J242" t="n">
        <v>0</v>
      </c>
      <c r="K242" t="n">
        <v>0</v>
      </c>
      <c r="L242" t="n">
        <v>0</v>
      </c>
      <c r="M242" t="n">
        <v>0</v>
      </c>
      <c r="N242" t="n">
        <v>0</v>
      </c>
      <c r="O242" t="n">
        <v>0</v>
      </c>
      <c r="P242" t="n">
        <v>0</v>
      </c>
      <c r="Q242" t="n">
        <v>0</v>
      </c>
      <c r="R242" t="n">
        <v>0</v>
      </c>
      <c r="S242" t="n">
        <v>0</v>
      </c>
      <c r="T242" t="n">
        <v>0</v>
      </c>
      <c r="U242" s="2" t="inlineStr"/>
    </row>
    <row r="243" ht="15" customHeight="1">
      <c r="A243" t="inlineStr">
        <is>
          <t>A 24667-2026</t>
        </is>
      </c>
      <c r="B243" t="inlineStr">
        <is>
          <t>avverkningsanmälan</t>
        </is>
      </c>
      <c r="C243" t="inlineStr">
        <is>
          <t>Föryngringsavverkning</t>
        </is>
      </c>
      <c r="D243" s="1" t="n">
        <v>46171</v>
      </c>
      <c r="E243" s="1" t="n">
        <v>46219</v>
      </c>
      <c r="F243" t="inlineStr">
        <is>
          <t>VÄSTERBOTTENS LÄN</t>
        </is>
      </c>
      <c r="G243" t="inlineStr">
        <is>
          <t>BJURHOLM</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59324-2025</t>
        </is>
      </c>
      <c r="B244" t="inlineStr">
        <is>
          <t>avverkningsanmälan</t>
        </is>
      </c>
      <c r="C244" t="inlineStr">
        <is>
          <t>Föryngringsavverkning</t>
        </is>
      </c>
      <c r="D244" s="1" t="n">
        <v>45989</v>
      </c>
      <c r="E244" s="1" t="n">
        <v>46219</v>
      </c>
      <c r="F244" t="inlineStr">
        <is>
          <t>VÄSTERBOTTENS LÄN</t>
        </is>
      </c>
      <c r="G244" t="inlineStr">
        <is>
          <t>BJURHOLM</t>
        </is>
      </c>
      <c r="H244" t="inlineStr">
        <is>
          <t>SCA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59279-2025</t>
        </is>
      </c>
      <c r="B245" t="inlineStr">
        <is>
          <t>avverkningsanmälan</t>
        </is>
      </c>
      <c r="C245" t="inlineStr">
        <is>
          <t>Avverkning för annat ändamål</t>
        </is>
      </c>
      <c r="D245" s="1" t="n">
        <v>45988</v>
      </c>
      <c r="E245" s="1" t="n">
        <v>46219</v>
      </c>
      <c r="F245" t="inlineStr">
        <is>
          <t>VÄSTERBOTTENS LÄN</t>
        </is>
      </c>
      <c r="G245" t="inlineStr">
        <is>
          <t>BJURHOLM</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59386-2025</t>
        </is>
      </c>
      <c r="B246" t="inlineStr">
        <is>
          <t>avverkningsanmälan</t>
        </is>
      </c>
      <c r="C246" t="inlineStr">
        <is>
          <t>Föryngringsavverkning</t>
        </is>
      </c>
      <c r="D246" s="1" t="n">
        <v>45989</v>
      </c>
      <c r="E246" s="1" t="n">
        <v>46219</v>
      </c>
      <c r="F246" t="inlineStr">
        <is>
          <t>VÄSTERBOTTENS LÄN</t>
        </is>
      </c>
      <c r="G246" t="inlineStr">
        <is>
          <t>BJURHOLM</t>
        </is>
      </c>
      <c r="H246" t="inlineStr">
        <is>
          <t>Holmen skog AB</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50727-2024</t>
        </is>
      </c>
      <c r="B247" t="inlineStr">
        <is>
          <t>avverkningsanmälan</t>
        </is>
      </c>
      <c r="C247" t="inlineStr">
        <is>
          <t>Föryngringsavverkning</t>
        </is>
      </c>
      <c r="D247" s="1" t="n">
        <v>45602</v>
      </c>
      <c r="E247" s="1" t="n">
        <v>46219</v>
      </c>
      <c r="F247" t="inlineStr">
        <is>
          <t>VÄSTERBOTTENS LÄN</t>
        </is>
      </c>
      <c r="G247" t="inlineStr">
        <is>
          <t>BJURHOLM</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50729-2024</t>
        </is>
      </c>
      <c r="B248" t="inlineStr">
        <is>
          <t>avverkningsanmälan</t>
        </is>
      </c>
      <c r="C248" t="inlineStr">
        <is>
          <t>Föryngringsavverkning</t>
        </is>
      </c>
      <c r="D248" s="1" t="n">
        <v>45602</v>
      </c>
      <c r="E248" s="1" t="n">
        <v>46219</v>
      </c>
      <c r="F248" t="inlineStr">
        <is>
          <t>VÄSTERBOTTENS LÄN</t>
        </is>
      </c>
      <c r="G248" t="inlineStr">
        <is>
          <t>BJURHOLM</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50773-2024</t>
        </is>
      </c>
      <c r="B249" t="inlineStr">
        <is>
          <t>avverkningsanmälan</t>
        </is>
      </c>
      <c r="C249" t="inlineStr">
        <is>
          <t>Föryngringsavverkning</t>
        </is>
      </c>
      <c r="D249" s="1" t="n">
        <v>45602</v>
      </c>
      <c r="E249" s="1" t="n">
        <v>46219</v>
      </c>
      <c r="F249" t="inlineStr">
        <is>
          <t>VÄSTERBOTTENS LÄN</t>
        </is>
      </c>
      <c r="G249" t="inlineStr">
        <is>
          <t>BJURHOLM</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60060-2025</t>
        </is>
      </c>
      <c r="B250" t="inlineStr">
        <is>
          <t>avverkningsanmälan</t>
        </is>
      </c>
      <c r="C250" t="inlineStr">
        <is>
          <t>Föryngringsavverkning</t>
        </is>
      </c>
      <c r="D250" s="1" t="n">
        <v>45993</v>
      </c>
      <c r="E250" s="1" t="n">
        <v>46219</v>
      </c>
      <c r="F250" t="inlineStr">
        <is>
          <t>VÄSTERBOTTENS LÄN</t>
        </is>
      </c>
      <c r="G250" t="inlineStr">
        <is>
          <t>BJURHOLM</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25301-2026</t>
        </is>
      </c>
      <c r="B251" t="inlineStr">
        <is>
          <t>avverkningsanmälan</t>
        </is>
      </c>
      <c r="C251" t="inlineStr">
        <is>
          <t>Föryngringsavverkning</t>
        </is>
      </c>
      <c r="D251" s="1" t="n">
        <v>46176</v>
      </c>
      <c r="E251" s="1" t="n">
        <v>46219</v>
      </c>
      <c r="F251" t="inlineStr">
        <is>
          <t>VÄSTERBOTTENS LÄN</t>
        </is>
      </c>
      <c r="G251" t="inlineStr">
        <is>
          <t>BJURHOLM</t>
        </is>
      </c>
      <c r="H251" t="inlineStr">
        <is>
          <t>SCA</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25226-2026</t>
        </is>
      </c>
      <c r="B252" t="inlineStr">
        <is>
          <t>avverkningsanmälan</t>
        </is>
      </c>
      <c r="C252" t="inlineStr">
        <is>
          <t>Föryngringsavverkning</t>
        </is>
      </c>
      <c r="D252" s="1" t="n">
        <v>46175</v>
      </c>
      <c r="E252" s="1" t="n">
        <v>46219</v>
      </c>
      <c r="F252" t="inlineStr">
        <is>
          <t>VÄSTERBOTTENS LÄN</t>
        </is>
      </c>
      <c r="G252" t="inlineStr">
        <is>
          <t>BJURHOLM</t>
        </is>
      </c>
      <c r="H252" t="inlineStr">
        <is>
          <t>Holmen skog AB</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25215-2026</t>
        </is>
      </c>
      <c r="B253" t="inlineStr">
        <is>
          <t>avverkningsanmälan</t>
        </is>
      </c>
      <c r="C253" t="inlineStr">
        <is>
          <t>Föryngringsavverkning</t>
        </is>
      </c>
      <c r="D253" s="1" t="n">
        <v>46175</v>
      </c>
      <c r="E253" s="1" t="n">
        <v>46219</v>
      </c>
      <c r="F253" t="inlineStr">
        <is>
          <t>VÄSTERBOTTENS LÄN</t>
        </is>
      </c>
      <c r="G253" t="inlineStr">
        <is>
          <t>BJURHOLM</t>
        </is>
      </c>
      <c r="H253" t="inlineStr">
        <is>
          <t>Holmen skog AB</t>
        </is>
      </c>
      <c r="I253" t="n">
        <v>6</v>
      </c>
      <c r="J253" t="n">
        <v>0</v>
      </c>
      <c r="K253" t="n">
        <v>0</v>
      </c>
      <c r="L253" t="n">
        <v>0</v>
      </c>
      <c r="M253" t="n">
        <v>0</v>
      </c>
      <c r="N253" t="n">
        <v>0</v>
      </c>
      <c r="O253" t="n">
        <v>0</v>
      </c>
      <c r="P253" t="n">
        <v>0</v>
      </c>
      <c r="Q253" t="n">
        <v>0</v>
      </c>
      <c r="R253" t="n">
        <v>0</v>
      </c>
      <c r="S253" t="n">
        <v>0</v>
      </c>
      <c r="T253" t="n">
        <v>0</v>
      </c>
      <c r="U253" s="2" t="inlineStr"/>
    </row>
    <row r="254" ht="15" customHeight="1">
      <c r="A254" t="inlineStr">
        <is>
          <t>A 24874-2026</t>
        </is>
      </c>
      <c r="B254" t="inlineStr">
        <is>
          <t>avverkningsanmälan</t>
        </is>
      </c>
      <c r="C254" t="inlineStr">
        <is>
          <t>Föryngringsavverkning</t>
        </is>
      </c>
      <c r="D254" s="1" t="n">
        <v>46174</v>
      </c>
      <c r="E254" s="1" t="n">
        <v>46219</v>
      </c>
      <c r="F254" t="inlineStr">
        <is>
          <t>VÄSTERBOTTENS LÄN</t>
        </is>
      </c>
      <c r="G254" t="inlineStr">
        <is>
          <t>BJURHOLM</t>
        </is>
      </c>
      <c r="H254" t="inlineStr">
        <is>
          <t>Holmen skog AB</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27256-2025</t>
        </is>
      </c>
      <c r="B255" t="inlineStr">
        <is>
          <t>avverkningsanmälan</t>
        </is>
      </c>
      <c r="C255" t="inlineStr">
        <is>
          <t>Föryngringsavverkning</t>
        </is>
      </c>
      <c r="D255" s="1" t="n">
        <v>45812</v>
      </c>
      <c r="E255" s="1" t="n">
        <v>46219</v>
      </c>
      <c r="F255" t="inlineStr">
        <is>
          <t>VÄSTERBOTTENS LÄN</t>
        </is>
      </c>
      <c r="G255" t="inlineStr">
        <is>
          <t>BJURHOLM</t>
        </is>
      </c>
      <c r="I255" t="n">
        <v>48.1</v>
      </c>
      <c r="J255" t="n">
        <v>0</v>
      </c>
      <c r="K255" t="n">
        <v>0</v>
      </c>
      <c r="L255" t="n">
        <v>0</v>
      </c>
      <c r="M255" t="n">
        <v>0</v>
      </c>
      <c r="N255" t="n">
        <v>0</v>
      </c>
      <c r="O255" t="n">
        <v>0</v>
      </c>
      <c r="P255" t="n">
        <v>0</v>
      </c>
      <c r="Q255" t="n">
        <v>0</v>
      </c>
      <c r="R255" t="n">
        <v>0</v>
      </c>
      <c r="S255" t="n">
        <v>0</v>
      </c>
      <c r="T255" t="n">
        <v>0</v>
      </c>
      <c r="U255" s="2" t="inlineStr"/>
    </row>
    <row r="256" ht="15" customHeight="1">
      <c r="A256" t="inlineStr">
        <is>
          <t>A 24870-2026</t>
        </is>
      </c>
      <c r="B256" t="inlineStr">
        <is>
          <t>avverkningsanmälan</t>
        </is>
      </c>
      <c r="C256" t="inlineStr">
        <is>
          <t>Föryngringsavverkning</t>
        </is>
      </c>
      <c r="D256" s="1" t="n">
        <v>46174</v>
      </c>
      <c r="E256" s="1" t="n">
        <v>46219</v>
      </c>
      <c r="F256" t="inlineStr">
        <is>
          <t>VÄSTERBOTTENS LÄN</t>
        </is>
      </c>
      <c r="G256" t="inlineStr">
        <is>
          <t>BJURHOLM</t>
        </is>
      </c>
      <c r="H256" t="inlineStr">
        <is>
          <t>Holmen skog AB</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61518-2025</t>
        </is>
      </c>
      <c r="B257" t="inlineStr">
        <is>
          <t>avverkningsanmälan</t>
        </is>
      </c>
      <c r="C257" t="inlineStr">
        <is>
          <t>Föryngringsavverkning</t>
        </is>
      </c>
      <c r="D257" s="1" t="n">
        <v>46001</v>
      </c>
      <c r="E257" s="1" t="n">
        <v>46219</v>
      </c>
      <c r="F257" t="inlineStr">
        <is>
          <t>VÄSTERBOTTENS LÄN</t>
        </is>
      </c>
      <c r="G257" t="inlineStr">
        <is>
          <t>BJURHOLM</t>
        </is>
      </c>
      <c r="H257" t="inlineStr">
        <is>
          <t>SCA</t>
        </is>
      </c>
      <c r="I257" t="n">
        <v>23.4</v>
      </c>
      <c r="J257" t="n">
        <v>0</v>
      </c>
      <c r="K257" t="n">
        <v>0</v>
      </c>
      <c r="L257" t="n">
        <v>0</v>
      </c>
      <c r="M257" t="n">
        <v>0</v>
      </c>
      <c r="N257" t="n">
        <v>0</v>
      </c>
      <c r="O257" t="n">
        <v>0</v>
      </c>
      <c r="P257" t="n">
        <v>0</v>
      </c>
      <c r="Q257" t="n">
        <v>0</v>
      </c>
      <c r="R257" t="n">
        <v>0</v>
      </c>
      <c r="S257" t="n">
        <v>0</v>
      </c>
      <c r="T257" t="n">
        <v>0</v>
      </c>
      <c r="U257" s="2" t="inlineStr"/>
    </row>
    <row r="258" ht="15" customHeight="1">
      <c r="A258" t="inlineStr">
        <is>
          <t>A 61370-2025</t>
        </is>
      </c>
      <c r="B258" t="inlineStr">
        <is>
          <t>avverkningsanmälan</t>
        </is>
      </c>
      <c r="C258" t="inlineStr">
        <is>
          <t>Föryngringsavverkning</t>
        </is>
      </c>
      <c r="D258" s="1" t="n">
        <v>46001</v>
      </c>
      <c r="E258" s="1" t="n">
        <v>46219</v>
      </c>
      <c r="F258" t="inlineStr">
        <is>
          <t>VÄSTERBOTTENS LÄN</t>
        </is>
      </c>
      <c r="G258" t="inlineStr">
        <is>
          <t>BJURHOLM</t>
        </is>
      </c>
      <c r="I258" t="n">
        <v>4.4</v>
      </c>
      <c r="J258" t="n">
        <v>0</v>
      </c>
      <c r="K258" t="n">
        <v>0</v>
      </c>
      <c r="L258" t="n">
        <v>0</v>
      </c>
      <c r="M258" t="n">
        <v>0</v>
      </c>
      <c r="N258" t="n">
        <v>0</v>
      </c>
      <c r="O258" t="n">
        <v>0</v>
      </c>
      <c r="P258" t="n">
        <v>0</v>
      </c>
      <c r="Q258" t="n">
        <v>0</v>
      </c>
      <c r="R258" t="n">
        <v>0</v>
      </c>
      <c r="S258" t="n">
        <v>0</v>
      </c>
      <c r="T258" t="n">
        <v>0</v>
      </c>
      <c r="U258" s="2" t="inlineStr"/>
    </row>
    <row r="259" ht="15" customHeight="1">
      <c r="A259" t="inlineStr">
        <is>
          <t>A 61743-2025</t>
        </is>
      </c>
      <c r="B259" t="inlineStr">
        <is>
          <t>avverkningsanmälan</t>
        </is>
      </c>
      <c r="C259" t="inlineStr">
        <is>
          <t>Föryngringsavverkning</t>
        </is>
      </c>
      <c r="D259" s="1" t="n">
        <v>46002</v>
      </c>
      <c r="E259" s="1" t="n">
        <v>46219</v>
      </c>
      <c r="F259" t="inlineStr">
        <is>
          <t>VÄSTERBOTTENS LÄN</t>
        </is>
      </c>
      <c r="G259" t="inlineStr">
        <is>
          <t>BJURHOLM</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61360-2025</t>
        </is>
      </c>
      <c r="B260" t="inlineStr">
        <is>
          <t>avverkningsanmälan</t>
        </is>
      </c>
      <c r="C260" t="inlineStr">
        <is>
          <t>Föryngringsavverkning</t>
        </is>
      </c>
      <c r="D260" s="1" t="n">
        <v>46001</v>
      </c>
      <c r="E260" s="1" t="n">
        <v>46219</v>
      </c>
      <c r="F260" t="inlineStr">
        <is>
          <t>VÄSTERBOTTENS LÄN</t>
        </is>
      </c>
      <c r="G260" t="inlineStr">
        <is>
          <t>BJURHOLM</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61385-2025</t>
        </is>
      </c>
      <c r="B261" t="inlineStr">
        <is>
          <t>avverkningsanmälan</t>
        </is>
      </c>
      <c r="C261" t="inlineStr">
        <is>
          <t>Föryngringsavverkning</t>
        </is>
      </c>
      <c r="D261" s="1" t="n">
        <v>46001</v>
      </c>
      <c r="E261" s="1" t="n">
        <v>46219</v>
      </c>
      <c r="F261" t="inlineStr">
        <is>
          <t>VÄSTERBOTTENS LÄN</t>
        </is>
      </c>
      <c r="G261" t="inlineStr">
        <is>
          <t>BJURHOLM</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17740-2024</t>
        </is>
      </c>
      <c r="B262" t="inlineStr">
        <is>
          <t>avverkningsanmälan</t>
        </is>
      </c>
      <c r="C262" t="inlineStr">
        <is>
          <t>Föryngringsavverkning</t>
        </is>
      </c>
      <c r="D262" s="1" t="n">
        <v>45418</v>
      </c>
      <c r="E262" s="1" t="n">
        <v>46219</v>
      </c>
      <c r="F262" t="inlineStr">
        <is>
          <t>VÄSTERBOTTENS LÄN</t>
        </is>
      </c>
      <c r="G262" t="inlineStr">
        <is>
          <t>BJURHOLM</t>
        </is>
      </c>
      <c r="H262" t="inlineStr">
        <is>
          <t>Holmen skog AB</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60224-2024</t>
        </is>
      </c>
      <c r="B263" t="inlineStr">
        <is>
          <t>avverkningsanmälan</t>
        </is>
      </c>
      <c r="C263" t="inlineStr">
        <is>
          <t>Föryngringsavverkning</t>
        </is>
      </c>
      <c r="D263" s="1" t="n">
        <v>45642</v>
      </c>
      <c r="E263" s="1" t="n">
        <v>46219</v>
      </c>
      <c r="F263" t="inlineStr">
        <is>
          <t>VÄSTERBOTTENS LÄN</t>
        </is>
      </c>
      <c r="G263" t="inlineStr">
        <is>
          <t>BJURHOLM</t>
        </is>
      </c>
      <c r="H263" t="inlineStr">
        <is>
          <t>Sveaskog</t>
        </is>
      </c>
      <c r="I263" t="n">
        <v>9.4</v>
      </c>
      <c r="J263" t="n">
        <v>0</v>
      </c>
      <c r="K263" t="n">
        <v>0</v>
      </c>
      <c r="L263" t="n">
        <v>0</v>
      </c>
      <c r="M263" t="n">
        <v>0</v>
      </c>
      <c r="N263" t="n">
        <v>0</v>
      </c>
      <c r="O263" t="n">
        <v>0</v>
      </c>
      <c r="P263" t="n">
        <v>0</v>
      </c>
      <c r="Q263" t="n">
        <v>0</v>
      </c>
      <c r="R263" t="n">
        <v>0</v>
      </c>
      <c r="S263" t="n">
        <v>0</v>
      </c>
      <c r="T263" t="n">
        <v>0</v>
      </c>
      <c r="U263" s="2" t="inlineStr"/>
    </row>
    <row r="264" ht="15" customHeight="1">
      <c r="A264" t="inlineStr">
        <is>
          <t>A 62700-2025</t>
        </is>
      </c>
      <c r="B264" t="inlineStr">
        <is>
          <t>avverkningsanmälan</t>
        </is>
      </c>
      <c r="C264" t="inlineStr">
        <is>
          <t>Föryngringsavverkning</t>
        </is>
      </c>
      <c r="D264" s="1" t="n">
        <v>46008</v>
      </c>
      <c r="E264" s="1" t="n">
        <v>46219</v>
      </c>
      <c r="F264" t="inlineStr">
        <is>
          <t>VÄSTERBOTTENS LÄN</t>
        </is>
      </c>
      <c r="G264" t="inlineStr">
        <is>
          <t>BJURHOLM</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62701-2025</t>
        </is>
      </c>
      <c r="B265" t="inlineStr">
        <is>
          <t>avverkningsanmälan</t>
        </is>
      </c>
      <c r="C265" t="inlineStr">
        <is>
          <t>Föryngringsavverkning</t>
        </is>
      </c>
      <c r="D265" s="1" t="n">
        <v>46008</v>
      </c>
      <c r="E265" s="1" t="n">
        <v>46219</v>
      </c>
      <c r="F265" t="inlineStr">
        <is>
          <t>VÄSTERBOTTENS LÄN</t>
        </is>
      </c>
      <c r="G265" t="inlineStr">
        <is>
          <t>BJURHOLM</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62712-2025</t>
        </is>
      </c>
      <c r="B266" t="inlineStr">
        <is>
          <t>avverkningsanmälan</t>
        </is>
      </c>
      <c r="C266" t="inlineStr">
        <is>
          <t>Föryngringsavverkning</t>
        </is>
      </c>
      <c r="D266" s="1" t="n">
        <v>46008</v>
      </c>
      <c r="E266" s="1" t="n">
        <v>46219</v>
      </c>
      <c r="F266" t="inlineStr">
        <is>
          <t>VÄSTERBOTTENS LÄN</t>
        </is>
      </c>
      <c r="G266" t="inlineStr">
        <is>
          <t>BJURHOLM</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48314-2024</t>
        </is>
      </c>
      <c r="B267" t="inlineStr">
        <is>
          <t>avverkningsanmälan</t>
        </is>
      </c>
      <c r="C267" t="inlineStr">
        <is>
          <t>Föryngringsavverkning</t>
        </is>
      </c>
      <c r="D267" s="1" t="n">
        <v>45590</v>
      </c>
      <c r="E267" s="1" t="n">
        <v>46219</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62591-2025</t>
        </is>
      </c>
      <c r="B268" t="inlineStr">
        <is>
          <t>avverkningsanmälan</t>
        </is>
      </c>
      <c r="C268" t="inlineStr">
        <is>
          <t>Föryngringsavverkning</t>
        </is>
      </c>
      <c r="D268" s="1" t="n">
        <v>46007</v>
      </c>
      <c r="E268" s="1" t="n">
        <v>46219</v>
      </c>
      <c r="F268" t="inlineStr">
        <is>
          <t>VÄSTERBOTTENS LÄN</t>
        </is>
      </c>
      <c r="G268" t="inlineStr">
        <is>
          <t>BJURHOLM</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63169-2025</t>
        </is>
      </c>
      <c r="B269" t="inlineStr">
        <is>
          <t>avverkningsanmälan</t>
        </is>
      </c>
      <c r="C269" t="inlineStr">
        <is>
          <t>Föryngringsavverkning</t>
        </is>
      </c>
      <c r="D269" s="1" t="n">
        <v>46010</v>
      </c>
      <c r="E269" s="1" t="n">
        <v>46219</v>
      </c>
      <c r="F269" t="inlineStr">
        <is>
          <t>VÄSTERBOTTENS LÄN</t>
        </is>
      </c>
      <c r="G269" t="inlineStr">
        <is>
          <t>BJURHOLM</t>
        </is>
      </c>
      <c r="I269" t="n">
        <v>3.3</v>
      </c>
      <c r="J269" t="n">
        <v>0</v>
      </c>
      <c r="K269" t="n">
        <v>0</v>
      </c>
      <c r="L269" t="n">
        <v>0</v>
      </c>
      <c r="M269" t="n">
        <v>0</v>
      </c>
      <c r="N269" t="n">
        <v>0</v>
      </c>
      <c r="O269" t="n">
        <v>0</v>
      </c>
      <c r="P269" t="n">
        <v>0</v>
      </c>
      <c r="Q269" t="n">
        <v>0</v>
      </c>
      <c r="R269" t="n">
        <v>0</v>
      </c>
      <c r="S269" t="n">
        <v>0</v>
      </c>
      <c r="T269" t="n">
        <v>0</v>
      </c>
      <c r="U269" s="2" t="inlineStr"/>
    </row>
    <row r="270" ht="15" customHeight="1">
      <c r="A270" t="inlineStr">
        <is>
          <t>A 63170-2025</t>
        </is>
      </c>
      <c r="B270" t="inlineStr">
        <is>
          <t>avverkningsanmälan</t>
        </is>
      </c>
      <c r="C270" t="inlineStr">
        <is>
          <t>Föryngringsavverkning</t>
        </is>
      </c>
      <c r="D270" s="1" t="n">
        <v>46010</v>
      </c>
      <c r="E270" s="1" t="n">
        <v>46219</v>
      </c>
      <c r="F270" t="inlineStr">
        <is>
          <t>VÄSTERBOTTENS LÄN</t>
        </is>
      </c>
      <c r="G270" t="inlineStr">
        <is>
          <t>BJURHOLM</t>
        </is>
      </c>
      <c r="I270" t="n">
        <v>3.9</v>
      </c>
      <c r="J270" t="n">
        <v>0</v>
      </c>
      <c r="K270" t="n">
        <v>0</v>
      </c>
      <c r="L270" t="n">
        <v>0</v>
      </c>
      <c r="M270" t="n">
        <v>0</v>
      </c>
      <c r="N270" t="n">
        <v>0</v>
      </c>
      <c r="O270" t="n">
        <v>0</v>
      </c>
      <c r="P270" t="n">
        <v>0</v>
      </c>
      <c r="Q270" t="n">
        <v>0</v>
      </c>
      <c r="R270" t="n">
        <v>0</v>
      </c>
      <c r="S270" t="n">
        <v>0</v>
      </c>
      <c r="T270" t="n">
        <v>0</v>
      </c>
      <c r="U270" s="2" t="inlineStr"/>
    </row>
    <row r="271" ht="15" customHeight="1">
      <c r="A271" t="inlineStr">
        <is>
          <t>A 53900-2024</t>
        </is>
      </c>
      <c r="B271" t="inlineStr">
        <is>
          <t>avverkningsanmälan</t>
        </is>
      </c>
      <c r="C271" t="inlineStr">
        <is>
          <t>Föryngringsavverkning</t>
        </is>
      </c>
      <c r="D271" s="1" t="n">
        <v>45615</v>
      </c>
      <c r="E271" s="1" t="n">
        <v>46219</v>
      </c>
      <c r="F271" t="inlineStr">
        <is>
          <t>VÄSTERBOTTENS LÄN</t>
        </is>
      </c>
      <c r="G271" t="inlineStr">
        <is>
          <t>BJURHOLM</t>
        </is>
      </c>
      <c r="I271" t="n">
        <v>7.7</v>
      </c>
      <c r="J271" t="n">
        <v>0</v>
      </c>
      <c r="K271" t="n">
        <v>0</v>
      </c>
      <c r="L271" t="n">
        <v>0</v>
      </c>
      <c r="M271" t="n">
        <v>0</v>
      </c>
      <c r="N271" t="n">
        <v>0</v>
      </c>
      <c r="O271" t="n">
        <v>0</v>
      </c>
      <c r="P271" t="n">
        <v>0</v>
      </c>
      <c r="Q271" t="n">
        <v>0</v>
      </c>
      <c r="R271" t="n">
        <v>0</v>
      </c>
      <c r="S271" t="n">
        <v>0</v>
      </c>
      <c r="T271" t="n">
        <v>0</v>
      </c>
      <c r="U271" s="2" t="inlineStr"/>
    </row>
    <row r="272" ht="15" customHeight="1">
      <c r="A272" t="inlineStr">
        <is>
          <t>A 44629-2023</t>
        </is>
      </c>
      <c r="B272" t="inlineStr">
        <is>
          <t>avverkningsanmälan</t>
        </is>
      </c>
      <c r="C272" t="inlineStr">
        <is>
          <t>Föryngringsavverkning</t>
        </is>
      </c>
      <c r="D272" s="1" t="n">
        <v>45189</v>
      </c>
      <c r="E272" s="1" t="n">
        <v>46219</v>
      </c>
      <c r="F272" t="inlineStr">
        <is>
          <t>VÄSTERBOTTENS LÄN</t>
        </is>
      </c>
      <c r="G272" t="inlineStr">
        <is>
          <t>BJURHOLM</t>
        </is>
      </c>
      <c r="I272" t="n">
        <v>15.6</v>
      </c>
      <c r="J272" t="n">
        <v>0</v>
      </c>
      <c r="K272" t="n">
        <v>0</v>
      </c>
      <c r="L272" t="n">
        <v>0</v>
      </c>
      <c r="M272" t="n">
        <v>0</v>
      </c>
      <c r="N272" t="n">
        <v>0</v>
      </c>
      <c r="O272" t="n">
        <v>0</v>
      </c>
      <c r="P272" t="n">
        <v>0</v>
      </c>
      <c r="Q272" t="n">
        <v>0</v>
      </c>
      <c r="R272" t="n">
        <v>0</v>
      </c>
      <c r="S272" t="n">
        <v>0</v>
      </c>
      <c r="T272" t="n">
        <v>0</v>
      </c>
      <c r="U272" s="2" t="inlineStr"/>
    </row>
    <row r="273" ht="15" customHeight="1">
      <c r="A273" t="inlineStr">
        <is>
          <t>A 27297-2024</t>
        </is>
      </c>
      <c r="B273" t="inlineStr">
        <is>
          <t>avverkningsanmälan</t>
        </is>
      </c>
      <c r="C273" t="inlineStr">
        <is>
          <t>Föryngringsavverkning</t>
        </is>
      </c>
      <c r="D273" s="1" t="n">
        <v>45471</v>
      </c>
      <c r="E273" s="1" t="n">
        <v>46219</v>
      </c>
      <c r="F273" t="inlineStr">
        <is>
          <t>VÄSTERBOTTENS LÄN</t>
        </is>
      </c>
      <c r="G273" t="inlineStr">
        <is>
          <t>BJURHOLM</t>
        </is>
      </c>
      <c r="H273" t="inlineStr">
        <is>
          <t>SCA</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53899-2024</t>
        </is>
      </c>
      <c r="B274" t="inlineStr">
        <is>
          <t>avverkningsanmälan</t>
        </is>
      </c>
      <c r="C274" t="inlineStr">
        <is>
          <t>Föryngringsavverkning</t>
        </is>
      </c>
      <c r="D274" s="1" t="n">
        <v>45615</v>
      </c>
      <c r="E274" s="1" t="n">
        <v>46219</v>
      </c>
      <c r="F274" t="inlineStr">
        <is>
          <t>VÄSTERBOTTENS LÄN</t>
        </is>
      </c>
      <c r="G274" t="inlineStr">
        <is>
          <t>BJURHOLM</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44812-2023</t>
        </is>
      </c>
      <c r="B275" t="inlineStr">
        <is>
          <t>avverkningsanmälan</t>
        </is>
      </c>
      <c r="C275" t="inlineStr">
        <is>
          <t>Föryngringsavverkning</t>
        </is>
      </c>
      <c r="D275" s="1" t="n">
        <v>45190</v>
      </c>
      <c r="E275" s="1" t="n">
        <v>46219</v>
      </c>
      <c r="F275" t="inlineStr">
        <is>
          <t>VÄSTERBOTTENS LÄN</t>
        </is>
      </c>
      <c r="G275" t="inlineStr">
        <is>
          <t>BJURHOLM</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52550-2024</t>
        </is>
      </c>
      <c r="B276" t="inlineStr">
        <is>
          <t>avverkningsanmälan</t>
        </is>
      </c>
      <c r="C276" t="inlineStr">
        <is>
          <t>Föryngringsavverkning</t>
        </is>
      </c>
      <c r="D276" s="1" t="n">
        <v>45609</v>
      </c>
      <c r="E276" s="1" t="n">
        <v>46219</v>
      </c>
      <c r="F276" t="inlineStr">
        <is>
          <t>VÄSTERBOTTENS LÄN</t>
        </is>
      </c>
      <c r="G276" t="inlineStr">
        <is>
          <t>BJURHOLM</t>
        </is>
      </c>
      <c r="I276" t="n">
        <v>0.3</v>
      </c>
      <c r="J276" t="n">
        <v>0</v>
      </c>
      <c r="K276" t="n">
        <v>0</v>
      </c>
      <c r="L276" t="n">
        <v>0</v>
      </c>
      <c r="M276" t="n">
        <v>0</v>
      </c>
      <c r="N276" t="n">
        <v>0</v>
      </c>
      <c r="O276" t="n">
        <v>0</v>
      </c>
      <c r="P276" t="n">
        <v>0</v>
      </c>
      <c r="Q276" t="n">
        <v>0</v>
      </c>
      <c r="R276" t="n">
        <v>0</v>
      </c>
      <c r="S276" t="n">
        <v>0</v>
      </c>
      <c r="T276" t="n">
        <v>0</v>
      </c>
      <c r="U276" s="2" t="inlineStr"/>
    </row>
    <row r="277" ht="15" customHeight="1">
      <c r="A277" t="inlineStr">
        <is>
          <t>A 7312-2024</t>
        </is>
      </c>
      <c r="B277" t="inlineStr">
        <is>
          <t>avverkningsanmälan</t>
        </is>
      </c>
      <c r="C277" t="inlineStr">
        <is>
          <t>Föryngringsavverkning</t>
        </is>
      </c>
      <c r="D277" s="1" t="n">
        <v>45345</v>
      </c>
      <c r="E277" s="1" t="n">
        <v>46219</v>
      </c>
      <c r="F277" t="inlineStr">
        <is>
          <t>VÄSTERBOTTENS LÄN</t>
        </is>
      </c>
      <c r="G277" t="inlineStr">
        <is>
          <t>BJURHOLM</t>
        </is>
      </c>
      <c r="I277" t="n">
        <v>4.4</v>
      </c>
      <c r="J277" t="n">
        <v>0</v>
      </c>
      <c r="K277" t="n">
        <v>0</v>
      </c>
      <c r="L277" t="n">
        <v>0</v>
      </c>
      <c r="M277" t="n">
        <v>0</v>
      </c>
      <c r="N277" t="n">
        <v>0</v>
      </c>
      <c r="O277" t="n">
        <v>0</v>
      </c>
      <c r="P277" t="n">
        <v>0</v>
      </c>
      <c r="Q277" t="n">
        <v>0</v>
      </c>
      <c r="R277" t="n">
        <v>0</v>
      </c>
      <c r="S277" t="n">
        <v>0</v>
      </c>
      <c r="T277" t="n">
        <v>0</v>
      </c>
      <c r="U277" s="2" t="inlineStr"/>
    </row>
    <row r="278" ht="15" customHeight="1">
      <c r="A278" t="inlineStr">
        <is>
          <t>A 52535-2024</t>
        </is>
      </c>
      <c r="B278" t="inlineStr">
        <is>
          <t>avverkningsanmälan</t>
        </is>
      </c>
      <c r="C278" t="inlineStr">
        <is>
          <t>Föryngringsavverkning</t>
        </is>
      </c>
      <c r="D278" s="1" t="n">
        <v>45609</v>
      </c>
      <c r="E278" s="1" t="n">
        <v>46219</v>
      </c>
      <c r="F278" t="inlineStr">
        <is>
          <t>VÄSTERBOTTENS LÄN</t>
        </is>
      </c>
      <c r="G278" t="inlineStr">
        <is>
          <t>BJURHOLM</t>
        </is>
      </c>
      <c r="I278" t="n">
        <v>2.6</v>
      </c>
      <c r="J278" t="n">
        <v>0</v>
      </c>
      <c r="K278" t="n">
        <v>0</v>
      </c>
      <c r="L278" t="n">
        <v>0</v>
      </c>
      <c r="M278" t="n">
        <v>0</v>
      </c>
      <c r="N278" t="n">
        <v>0</v>
      </c>
      <c r="O278" t="n">
        <v>0</v>
      </c>
      <c r="P278" t="n">
        <v>0</v>
      </c>
      <c r="Q278" t="n">
        <v>0</v>
      </c>
      <c r="R278" t="n">
        <v>0</v>
      </c>
      <c r="S278" t="n">
        <v>0</v>
      </c>
      <c r="T278" t="n">
        <v>0</v>
      </c>
      <c r="U278" s="2" t="inlineStr"/>
    </row>
    <row r="279" ht="15" customHeight="1">
      <c r="A279" t="inlineStr">
        <is>
          <t>A 52671-2024</t>
        </is>
      </c>
      <c r="B279" t="inlineStr">
        <is>
          <t>avverkningsanmälan</t>
        </is>
      </c>
      <c r="C279" t="inlineStr">
        <is>
          <t>Föryngringsavverkning</t>
        </is>
      </c>
      <c r="D279" s="1" t="n">
        <v>45610</v>
      </c>
      <c r="E279" s="1" t="n">
        <v>46219</v>
      </c>
      <c r="F279" t="inlineStr">
        <is>
          <t>VÄSTERBOTTENS LÄN</t>
        </is>
      </c>
      <c r="G279" t="inlineStr">
        <is>
          <t>BJURHOLM</t>
        </is>
      </c>
      <c r="H279" t="inlineStr">
        <is>
          <t>Holmen skog AB</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47591-2024</t>
        </is>
      </c>
      <c r="B280" t="inlineStr">
        <is>
          <t>avverkningsanmälan</t>
        </is>
      </c>
      <c r="C280" t="inlineStr">
        <is>
          <t>Föryngringsavverkning</t>
        </is>
      </c>
      <c r="D280" s="1" t="n">
        <v>45587</v>
      </c>
      <c r="E280" s="1" t="n">
        <v>46219</v>
      </c>
      <c r="F280" t="inlineStr">
        <is>
          <t>VÄSTERBOTTENS LÄN</t>
        </is>
      </c>
      <c r="G280" t="inlineStr">
        <is>
          <t>BJURHOLM</t>
        </is>
      </c>
      <c r="I280" t="n">
        <v>5.4</v>
      </c>
      <c r="J280" t="n">
        <v>0</v>
      </c>
      <c r="K280" t="n">
        <v>0</v>
      </c>
      <c r="L280" t="n">
        <v>0</v>
      </c>
      <c r="M280" t="n">
        <v>0</v>
      </c>
      <c r="N280" t="n">
        <v>0</v>
      </c>
      <c r="O280" t="n">
        <v>0</v>
      </c>
      <c r="P280" t="n">
        <v>0</v>
      </c>
      <c r="Q280" t="n">
        <v>0</v>
      </c>
      <c r="R280" t="n">
        <v>0</v>
      </c>
      <c r="S280" t="n">
        <v>0</v>
      </c>
      <c r="T280" t="n">
        <v>0</v>
      </c>
      <c r="U280" s="2" t="inlineStr"/>
    </row>
    <row r="281" ht="15" customHeight="1">
      <c r="A281" t="inlineStr">
        <is>
          <t>A 25944-2023</t>
        </is>
      </c>
      <c r="B281" t="inlineStr">
        <is>
          <t>avverkningsanmälan</t>
        </is>
      </c>
      <c r="C281" t="inlineStr">
        <is>
          <t>Föryngringsavverkning</t>
        </is>
      </c>
      <c r="D281" s="1" t="n">
        <v>45090</v>
      </c>
      <c r="E281" s="1" t="n">
        <v>46219</v>
      </c>
      <c r="F281" t="inlineStr">
        <is>
          <t>VÄSTERBOTTENS LÄN</t>
        </is>
      </c>
      <c r="G281" t="inlineStr">
        <is>
          <t>BJURHOLM</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3116-2026</t>
        </is>
      </c>
      <c r="B282" t="inlineStr">
        <is>
          <t>avverkningsanmälan</t>
        </is>
      </c>
      <c r="C282" t="inlineStr">
        <is>
          <t>Föryngringsavverkning</t>
        </is>
      </c>
      <c r="D282" s="1" t="n">
        <v>46041</v>
      </c>
      <c r="E282" s="1" t="n">
        <v>46219</v>
      </c>
      <c r="F282" t="inlineStr">
        <is>
          <t>VÄSTERBOTTENS LÄN</t>
        </is>
      </c>
      <c r="G282" t="inlineStr">
        <is>
          <t>BJURHOLM</t>
        </is>
      </c>
      <c r="H282" t="inlineStr">
        <is>
          <t>Holmen skog AB</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4018-2026</t>
        </is>
      </c>
      <c r="B283" t="inlineStr">
        <is>
          <t>avverkningsanmälan</t>
        </is>
      </c>
      <c r="C283" t="inlineStr">
        <is>
          <t>Föryngringsavverkning</t>
        </is>
      </c>
      <c r="D283" s="1" t="n">
        <v>46044</v>
      </c>
      <c r="E283" s="1" t="n">
        <v>46219</v>
      </c>
      <c r="F283" t="inlineStr">
        <is>
          <t>VÄSTERBOTTENS LÄN</t>
        </is>
      </c>
      <c r="G283" t="inlineStr">
        <is>
          <t>BJURHOLM</t>
        </is>
      </c>
      <c r="I283" t="n">
        <v>3.2</v>
      </c>
      <c r="J283" t="n">
        <v>0</v>
      </c>
      <c r="K283" t="n">
        <v>0</v>
      </c>
      <c r="L283" t="n">
        <v>0</v>
      </c>
      <c r="M283" t="n">
        <v>0</v>
      </c>
      <c r="N283" t="n">
        <v>0</v>
      </c>
      <c r="O283" t="n">
        <v>0</v>
      </c>
      <c r="P283" t="n">
        <v>0</v>
      </c>
      <c r="Q283" t="n">
        <v>0</v>
      </c>
      <c r="R283" t="n">
        <v>0</v>
      </c>
      <c r="S283" t="n">
        <v>0</v>
      </c>
      <c r="T283" t="n">
        <v>0</v>
      </c>
      <c r="U283" s="2" t="inlineStr"/>
    </row>
    <row r="284" ht="15" customHeight="1">
      <c r="A284" t="inlineStr">
        <is>
          <t>A 19578-2024</t>
        </is>
      </c>
      <c r="B284" t="inlineStr">
        <is>
          <t>avverkningsanmälan</t>
        </is>
      </c>
      <c r="C284" t="inlineStr">
        <is>
          <t>Föryngringsavverkning</t>
        </is>
      </c>
      <c r="D284" s="1" t="n">
        <v>45429</v>
      </c>
      <c r="E284" s="1" t="n">
        <v>46219</v>
      </c>
      <c r="F284" t="inlineStr">
        <is>
          <t>VÄSTERBOTTENS LÄN</t>
        </is>
      </c>
      <c r="G284" t="inlineStr">
        <is>
          <t>BJURHOLM</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46614-2023</t>
        </is>
      </c>
      <c r="B285" t="inlineStr">
        <is>
          <t>avverkningsanmälan</t>
        </is>
      </c>
      <c r="C285" t="inlineStr">
        <is>
          <t>Föryngringsavverkning</t>
        </is>
      </c>
      <c r="D285" s="1" t="n">
        <v>45198</v>
      </c>
      <c r="E285" s="1" t="n">
        <v>46219</v>
      </c>
      <c r="F285" t="inlineStr">
        <is>
          <t>VÄSTERBOTTENS LÄN</t>
        </is>
      </c>
      <c r="G285" t="inlineStr">
        <is>
          <t>BJURHOLM</t>
        </is>
      </c>
      <c r="H285" t="inlineStr">
        <is>
          <t>Holmen skog AB</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26646-2024</t>
        </is>
      </c>
      <c r="B286" t="inlineStr">
        <is>
          <t>avverkningsanmälan</t>
        </is>
      </c>
      <c r="C286" t="inlineStr">
        <is>
          <t>Föryngringsavverkning</t>
        </is>
      </c>
      <c r="D286" s="1" t="n">
        <v>45469</v>
      </c>
      <c r="E286" s="1" t="n">
        <v>46219</v>
      </c>
      <c r="F286" t="inlineStr">
        <is>
          <t>VÄSTERBOTTENS LÄN</t>
        </is>
      </c>
      <c r="G286" t="inlineStr">
        <is>
          <t>BJURHOLM</t>
        </is>
      </c>
      <c r="H286" t="inlineStr">
        <is>
          <t>SCA</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44777-2023</t>
        </is>
      </c>
      <c r="B287" t="inlineStr">
        <is>
          <t>avverkningsanmälan</t>
        </is>
      </c>
      <c r="C287" t="inlineStr">
        <is>
          <t>Föryngringsavverkning</t>
        </is>
      </c>
      <c r="D287" s="1" t="n">
        <v>45190</v>
      </c>
      <c r="E287" s="1" t="n">
        <v>46219</v>
      </c>
      <c r="F287" t="inlineStr">
        <is>
          <t>VÄSTERBOTTENS LÄN</t>
        </is>
      </c>
      <c r="G287" t="inlineStr">
        <is>
          <t>BJURHOLM</t>
        </is>
      </c>
      <c r="H287" t="inlineStr">
        <is>
          <t>Holmen skog AB</t>
        </is>
      </c>
      <c r="I287" t="n">
        <v>10.7</v>
      </c>
      <c r="J287" t="n">
        <v>0</v>
      </c>
      <c r="K287" t="n">
        <v>0</v>
      </c>
      <c r="L287" t="n">
        <v>0</v>
      </c>
      <c r="M287" t="n">
        <v>0</v>
      </c>
      <c r="N287" t="n">
        <v>0</v>
      </c>
      <c r="O287" t="n">
        <v>0</v>
      </c>
      <c r="P287" t="n">
        <v>0</v>
      </c>
      <c r="Q287" t="n">
        <v>0</v>
      </c>
      <c r="R287" t="n">
        <v>0</v>
      </c>
      <c r="S287" t="n">
        <v>0</v>
      </c>
      <c r="T287" t="n">
        <v>0</v>
      </c>
      <c r="U287" s="2" t="inlineStr"/>
    </row>
    <row r="288" ht="15" customHeight="1">
      <c r="A288" t="inlineStr">
        <is>
          <t>A 10527-2025</t>
        </is>
      </c>
      <c r="B288" t="inlineStr">
        <is>
          <t>avverkningsanmälan</t>
        </is>
      </c>
      <c r="C288" t="inlineStr">
        <is>
          <t>Föryngringsavverkning</t>
        </is>
      </c>
      <c r="D288" s="1" t="n">
        <v>45721</v>
      </c>
      <c r="E288" s="1" t="n">
        <v>46219</v>
      </c>
      <c r="F288" t="inlineStr">
        <is>
          <t>VÄSTERBOTTENS LÄN</t>
        </is>
      </c>
      <c r="G288" t="inlineStr">
        <is>
          <t>BJURHOLM</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6540-2026</t>
        </is>
      </c>
      <c r="B289" t="inlineStr">
        <is>
          <t>avverkningsanmälan</t>
        </is>
      </c>
      <c r="C289" t="inlineStr">
        <is>
          <t>Föryngringsavverkning</t>
        </is>
      </c>
      <c r="D289" s="1" t="n">
        <v>46056</v>
      </c>
      <c r="E289" s="1" t="n">
        <v>46219</v>
      </c>
      <c r="F289" t="inlineStr">
        <is>
          <t>VÄSTERBOTTENS LÄN</t>
        </is>
      </c>
      <c r="G289" t="inlineStr">
        <is>
          <t>BJURHOLM</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6811-2026</t>
        </is>
      </c>
      <c r="B290" t="inlineStr">
        <is>
          <t>avverkningsanmälan</t>
        </is>
      </c>
      <c r="C290" t="inlineStr">
        <is>
          <t>Föryngringsavverkning</t>
        </is>
      </c>
      <c r="D290" s="1" t="n">
        <v>46055</v>
      </c>
      <c r="E290" s="1" t="n">
        <v>46219</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s="2" t="inlineStr"/>
    </row>
    <row r="291" ht="15" customHeight="1">
      <c r="A291" t="inlineStr">
        <is>
          <t>A 6191-2026</t>
        </is>
      </c>
      <c r="B291" t="inlineStr">
        <is>
          <t>avverkningsanmälan</t>
        </is>
      </c>
      <c r="C291" t="inlineStr">
        <is>
          <t>Föryngringsavverkning</t>
        </is>
      </c>
      <c r="D291" s="1" t="n">
        <v>46055</v>
      </c>
      <c r="E291" s="1" t="n">
        <v>46219</v>
      </c>
      <c r="F291" t="inlineStr">
        <is>
          <t>VÄSTERBOTTENS LÄN</t>
        </is>
      </c>
      <c r="G291" t="inlineStr">
        <is>
          <t>BJURHOLM</t>
        </is>
      </c>
      <c r="I291" t="n">
        <v>2.7</v>
      </c>
      <c r="J291" t="n">
        <v>0</v>
      </c>
      <c r="K291" t="n">
        <v>0</v>
      </c>
      <c r="L291" t="n">
        <v>0</v>
      </c>
      <c r="M291" t="n">
        <v>0</v>
      </c>
      <c r="N291" t="n">
        <v>0</v>
      </c>
      <c r="O291" t="n">
        <v>0</v>
      </c>
      <c r="P291" t="n">
        <v>0</v>
      </c>
      <c r="Q291" t="n">
        <v>0</v>
      </c>
      <c r="R291" t="n">
        <v>0</v>
      </c>
      <c r="S291" t="n">
        <v>0</v>
      </c>
      <c r="T291" t="n">
        <v>0</v>
      </c>
      <c r="U291" s="2" t="inlineStr"/>
    </row>
    <row r="292" ht="15" customHeight="1">
      <c r="A292" t="inlineStr">
        <is>
          <t>A 60606-2023</t>
        </is>
      </c>
      <c r="B292" t="inlineStr">
        <is>
          <t>avverkningsanmälan</t>
        </is>
      </c>
      <c r="C292" t="inlineStr">
        <is>
          <t>Föryngringsavverkning</t>
        </is>
      </c>
      <c r="D292" s="1" t="n">
        <v>45260</v>
      </c>
      <c r="E292" s="1" t="n">
        <v>46219</v>
      </c>
      <c r="F292" t="inlineStr">
        <is>
          <t>VÄSTERBOTTENS LÄN</t>
        </is>
      </c>
      <c r="G292" t="inlineStr">
        <is>
          <t>BJURHOLM</t>
        </is>
      </c>
      <c r="I292" t="n">
        <v>7.5</v>
      </c>
      <c r="J292" t="n">
        <v>0</v>
      </c>
      <c r="K292" t="n">
        <v>0</v>
      </c>
      <c r="L292" t="n">
        <v>0</v>
      </c>
      <c r="M292" t="n">
        <v>0</v>
      </c>
      <c r="N292" t="n">
        <v>0</v>
      </c>
      <c r="O292" t="n">
        <v>0</v>
      </c>
      <c r="P292" t="n">
        <v>0</v>
      </c>
      <c r="Q292" t="n">
        <v>0</v>
      </c>
      <c r="R292" t="n">
        <v>0</v>
      </c>
      <c r="S292" t="n">
        <v>0</v>
      </c>
      <c r="T292" t="n">
        <v>0</v>
      </c>
      <c r="U292" s="2" t="inlineStr"/>
    </row>
    <row r="293" ht="15" customHeight="1">
      <c r="A293" t="inlineStr">
        <is>
          <t>A 6966-2026</t>
        </is>
      </c>
      <c r="B293" t="inlineStr">
        <is>
          <t>avverkningsanmälan</t>
        </is>
      </c>
      <c r="C293" t="inlineStr">
        <is>
          <t>Föryngringsavverkning</t>
        </is>
      </c>
      <c r="D293" s="1" t="n">
        <v>46057</v>
      </c>
      <c r="E293" s="1" t="n">
        <v>46219</v>
      </c>
      <c r="F293" t="inlineStr">
        <is>
          <t>VÄSTERBOTTENS LÄN</t>
        </is>
      </c>
      <c r="G293" t="inlineStr">
        <is>
          <t>BJURHOLM</t>
        </is>
      </c>
      <c r="I293" t="n">
        <v>3.7</v>
      </c>
      <c r="J293" t="n">
        <v>0</v>
      </c>
      <c r="K293" t="n">
        <v>0</v>
      </c>
      <c r="L293" t="n">
        <v>0</v>
      </c>
      <c r="M293" t="n">
        <v>0</v>
      </c>
      <c r="N293" t="n">
        <v>0</v>
      </c>
      <c r="O293" t="n">
        <v>0</v>
      </c>
      <c r="P293" t="n">
        <v>0</v>
      </c>
      <c r="Q293" t="n">
        <v>0</v>
      </c>
      <c r="R293" t="n">
        <v>0</v>
      </c>
      <c r="S293" t="n">
        <v>0</v>
      </c>
      <c r="T293" t="n">
        <v>0</v>
      </c>
      <c r="U293" s="2" t="inlineStr"/>
    </row>
    <row r="294" ht="15" customHeight="1">
      <c r="A294" t="inlineStr">
        <is>
          <t>A 6958-2026</t>
        </is>
      </c>
      <c r="B294" t="inlineStr">
        <is>
          <t>avverkningsanmälan</t>
        </is>
      </c>
      <c r="C294" t="inlineStr">
        <is>
          <t>Föryngringsavverkning</t>
        </is>
      </c>
      <c r="D294" s="1" t="n">
        <v>46057</v>
      </c>
      <c r="E294" s="1" t="n">
        <v>46219</v>
      </c>
      <c r="F294" t="inlineStr">
        <is>
          <t>VÄSTERBOTTENS LÄN</t>
        </is>
      </c>
      <c r="G294" t="inlineStr">
        <is>
          <t>BJURHOLM</t>
        </is>
      </c>
      <c r="I294" t="n">
        <v>5.2</v>
      </c>
      <c r="J294" t="n">
        <v>0</v>
      </c>
      <c r="K294" t="n">
        <v>0</v>
      </c>
      <c r="L294" t="n">
        <v>0</v>
      </c>
      <c r="M294" t="n">
        <v>0</v>
      </c>
      <c r="N294" t="n">
        <v>0</v>
      </c>
      <c r="O294" t="n">
        <v>0</v>
      </c>
      <c r="P294" t="n">
        <v>0</v>
      </c>
      <c r="Q294" t="n">
        <v>0</v>
      </c>
      <c r="R294" t="n">
        <v>0</v>
      </c>
      <c r="S294" t="n">
        <v>0</v>
      </c>
      <c r="T294" t="n">
        <v>0</v>
      </c>
      <c r="U294" s="2" t="inlineStr"/>
    </row>
    <row r="295" ht="15" customHeight="1">
      <c r="A295" t="inlineStr">
        <is>
          <t>A 6776-2026</t>
        </is>
      </c>
      <c r="B295" t="inlineStr">
        <is>
          <t>avverkningsanmälan</t>
        </is>
      </c>
      <c r="C295" t="inlineStr">
        <is>
          <t>Föryngringsavverkning</t>
        </is>
      </c>
      <c r="D295" s="1" t="n">
        <v>46057</v>
      </c>
      <c r="E295" s="1" t="n">
        <v>46219</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23074-2025</t>
        </is>
      </c>
      <c r="B296" t="inlineStr">
        <is>
          <t>avverkningsanmälan</t>
        </is>
      </c>
      <c r="C296" t="inlineStr">
        <is>
          <t>Föryngringsavverkning</t>
        </is>
      </c>
      <c r="D296" s="1" t="n">
        <v>45790</v>
      </c>
      <c r="E296" s="1" t="n">
        <v>46219</v>
      </c>
      <c r="F296" t="inlineStr">
        <is>
          <t>VÄSTERBOTTENS LÄN</t>
        </is>
      </c>
      <c r="G296" t="inlineStr">
        <is>
          <t>BJURHOLM</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32129-2024</t>
        </is>
      </c>
      <c r="B297" t="inlineStr">
        <is>
          <t>avverkningsanmälan</t>
        </is>
      </c>
      <c r="C297" t="inlineStr">
        <is>
          <t>Föryngringsavverkning</t>
        </is>
      </c>
      <c r="D297" s="1" t="n">
        <v>45511</v>
      </c>
      <c r="E297" s="1" t="n">
        <v>46219</v>
      </c>
      <c r="F297" t="inlineStr">
        <is>
          <t>VÄSTERBOTTENS LÄN</t>
        </is>
      </c>
      <c r="G297" t="inlineStr">
        <is>
          <t>BJURHOLM</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42557-2023</t>
        </is>
      </c>
      <c r="B298" t="inlineStr">
        <is>
          <t>avverkningsanmälan</t>
        </is>
      </c>
      <c r="C298" t="inlineStr">
        <is>
          <t>Föryngringsavverkning</t>
        </is>
      </c>
      <c r="D298" s="1" t="n">
        <v>45181</v>
      </c>
      <c r="E298" s="1" t="n">
        <v>46219</v>
      </c>
      <c r="F298" t="inlineStr">
        <is>
          <t>VÄSTERBOTTENS LÄN</t>
        </is>
      </c>
      <c r="G298" t="inlineStr">
        <is>
          <t>BJURHOLM</t>
        </is>
      </c>
      <c r="H298" t="inlineStr">
        <is>
          <t>Holmen skog AB</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35251-2023</t>
        </is>
      </c>
      <c r="B299" t="inlineStr">
        <is>
          <t>avverkningsanmälan</t>
        </is>
      </c>
      <c r="C299" t="inlineStr">
        <is>
          <t>Föryngringsavverkning</t>
        </is>
      </c>
      <c r="D299" s="1" t="n">
        <v>45145</v>
      </c>
      <c r="E299" s="1" t="n">
        <v>46219</v>
      </c>
      <c r="F299" t="inlineStr">
        <is>
          <t>VÄSTERBOTTENS LÄN</t>
        </is>
      </c>
      <c r="G299" t="inlineStr">
        <is>
          <t>BJURHOLM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20836-2022</t>
        </is>
      </c>
      <c r="B300" t="inlineStr">
        <is>
          <t>avverkningsanmälan</t>
        </is>
      </c>
      <c r="C300" t="inlineStr">
        <is>
          <t>Föryngringsavverkning</t>
        </is>
      </c>
      <c r="D300" s="1" t="n">
        <v>44701</v>
      </c>
      <c r="E300" s="1" t="n">
        <v>46219</v>
      </c>
      <c r="F300" t="inlineStr">
        <is>
          <t>VÄSTERBOTTENS LÄN</t>
        </is>
      </c>
      <c r="G300" t="inlineStr">
        <is>
          <t>BJURHOLM</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8527-2026</t>
        </is>
      </c>
      <c r="B301" t="inlineStr">
        <is>
          <t>avverkningsanmälan</t>
        </is>
      </c>
      <c r="C301" t="inlineStr">
        <is>
          <t>Föryngringsavverkning</t>
        </is>
      </c>
      <c r="D301" s="1" t="n">
        <v>46065</v>
      </c>
      <c r="E301" s="1" t="n">
        <v>46219</v>
      </c>
      <c r="F301" t="inlineStr">
        <is>
          <t>VÄSTERBOTTENS LÄN</t>
        </is>
      </c>
      <c r="G301" t="inlineStr">
        <is>
          <t>BJURHOLM</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9264-2026</t>
        </is>
      </c>
      <c r="B302" t="inlineStr">
        <is>
          <t>avverkningsanmälan</t>
        </is>
      </c>
      <c r="C302" t="inlineStr">
        <is>
          <t>Föryngringsavverkning</t>
        </is>
      </c>
      <c r="D302" s="1" t="n">
        <v>46070</v>
      </c>
      <c r="E302" s="1" t="n">
        <v>46219</v>
      </c>
      <c r="F302" t="inlineStr">
        <is>
          <t>VÄSTERBOTTENS LÄN</t>
        </is>
      </c>
      <c r="G302" t="inlineStr">
        <is>
          <t>BJURHOLM</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1877-2024</t>
        </is>
      </c>
      <c r="B303" t="inlineStr">
        <is>
          <t>avverkningsanmälan</t>
        </is>
      </c>
      <c r="C303" t="inlineStr">
        <is>
          <t>Föryngringsavverkning</t>
        </is>
      </c>
      <c r="D303" s="1" t="n">
        <v>45307</v>
      </c>
      <c r="E303" s="1" t="n">
        <v>46219</v>
      </c>
      <c r="F303" t="inlineStr">
        <is>
          <t>VÄSTERBOTTENS LÄN</t>
        </is>
      </c>
      <c r="G303" t="inlineStr">
        <is>
          <t>BJURHOLM</t>
        </is>
      </c>
      <c r="I303" t="n">
        <v>7.9</v>
      </c>
      <c r="J303" t="n">
        <v>0</v>
      </c>
      <c r="K303" t="n">
        <v>0</v>
      </c>
      <c r="L303" t="n">
        <v>0</v>
      </c>
      <c r="M303" t="n">
        <v>0</v>
      </c>
      <c r="N303" t="n">
        <v>0</v>
      </c>
      <c r="O303" t="n">
        <v>0</v>
      </c>
      <c r="P303" t="n">
        <v>0</v>
      </c>
      <c r="Q303" t="n">
        <v>0</v>
      </c>
      <c r="R303" t="n">
        <v>0</v>
      </c>
      <c r="S303" t="n">
        <v>0</v>
      </c>
      <c r="T303" t="n">
        <v>0</v>
      </c>
      <c r="U303" s="2" t="inlineStr"/>
    </row>
    <row r="304" ht="15" customHeight="1">
      <c r="A304" t="inlineStr">
        <is>
          <t>A 29641-2024</t>
        </is>
      </c>
      <c r="B304" t="inlineStr">
        <is>
          <t>avverkningsanmälan</t>
        </is>
      </c>
      <c r="C304" t="inlineStr">
        <is>
          <t>Föryngringsavverkning</t>
        </is>
      </c>
      <c r="D304" s="1" t="n">
        <v>45484</v>
      </c>
      <c r="E304" s="1" t="n">
        <v>46219</v>
      </c>
      <c r="F304" t="inlineStr">
        <is>
          <t>VÄSTERBOTTENS LÄN</t>
        </is>
      </c>
      <c r="G304" t="inlineStr">
        <is>
          <t>BJURHOLM</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23974-2022</t>
        </is>
      </c>
      <c r="B305" t="inlineStr">
        <is>
          <t>avverkningsanmälan</t>
        </is>
      </c>
      <c r="C305" t="inlineStr">
        <is>
          <t>Föryngringsavverkning</t>
        </is>
      </c>
      <c r="D305" s="1" t="n">
        <v>44722</v>
      </c>
      <c r="E305" s="1" t="n">
        <v>46219</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1875-2024</t>
        </is>
      </c>
      <c r="B306" t="inlineStr">
        <is>
          <t>avverkningsanmälan</t>
        </is>
      </c>
      <c r="C306" t="inlineStr">
        <is>
          <t>Föryngringsavverkning</t>
        </is>
      </c>
      <c r="D306" s="1" t="n">
        <v>45307</v>
      </c>
      <c r="E306" s="1" t="n">
        <v>46219</v>
      </c>
      <c r="F306" t="inlineStr">
        <is>
          <t>VÄSTERBOTTENS LÄN</t>
        </is>
      </c>
      <c r="G306" t="inlineStr">
        <is>
          <t>BJURHOLM</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17237-2025</t>
        </is>
      </c>
      <c r="B307" t="inlineStr">
        <is>
          <t>avverkningsanmälan</t>
        </is>
      </c>
      <c r="C307" t="inlineStr">
        <is>
          <t>Föryngringsavverkning</t>
        </is>
      </c>
      <c r="D307" s="1" t="n">
        <v>45756</v>
      </c>
      <c r="E307" s="1" t="n">
        <v>46219</v>
      </c>
      <c r="F307" t="inlineStr">
        <is>
          <t>VÄSTERBOTTENS LÄN</t>
        </is>
      </c>
      <c r="G307" t="inlineStr">
        <is>
          <t>BJURHOLM</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57886-2023</t>
        </is>
      </c>
      <c r="B308" t="inlineStr">
        <is>
          <t>avverkningsanmälan</t>
        </is>
      </c>
      <c r="C308" t="inlineStr">
        <is>
          <t>Föryngringsavverkning</t>
        </is>
      </c>
      <c r="D308" s="1" t="n">
        <v>45247</v>
      </c>
      <c r="E308" s="1" t="n">
        <v>46219</v>
      </c>
      <c r="F308" t="inlineStr">
        <is>
          <t>VÄSTERBOTTENS LÄN</t>
        </is>
      </c>
      <c r="G308" t="inlineStr">
        <is>
          <t>BJURHOLM</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43043-2024</t>
        </is>
      </c>
      <c r="B309" t="inlineStr">
        <is>
          <t>avverkningsanmälan</t>
        </is>
      </c>
      <c r="C309" t="inlineStr">
        <is>
          <t>Föryngringsavverkning</t>
        </is>
      </c>
      <c r="D309" s="1" t="n">
        <v>45567</v>
      </c>
      <c r="E309" s="1" t="n">
        <v>46219</v>
      </c>
      <c r="F309" t="inlineStr">
        <is>
          <t>VÄSTERBOTTENS LÄN</t>
        </is>
      </c>
      <c r="G309" t="inlineStr">
        <is>
          <t>BJURHOLM</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11687-2026</t>
        </is>
      </c>
      <c r="B310" t="inlineStr">
        <is>
          <t>avverkningsanmälan</t>
        </is>
      </c>
      <c r="C310" t="inlineStr">
        <is>
          <t>Föryngringsavverkning</t>
        </is>
      </c>
      <c r="D310" s="1" t="n">
        <v>46084</v>
      </c>
      <c r="E310" s="1" t="n">
        <v>46219</v>
      </c>
      <c r="F310" t="inlineStr">
        <is>
          <t>VÄSTERBOTTENS LÄN</t>
        </is>
      </c>
      <c r="G310" t="inlineStr">
        <is>
          <t>BJURHOLM</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44187-2023</t>
        </is>
      </c>
      <c r="B311" t="inlineStr">
        <is>
          <t>avverkningsanmälan</t>
        </is>
      </c>
      <c r="C311" t="inlineStr">
        <is>
          <t>Föryngringsavverkning</t>
        </is>
      </c>
      <c r="D311" s="1" t="n">
        <v>45183</v>
      </c>
      <c r="E311" s="1" t="n">
        <v>46219</v>
      </c>
      <c r="F311" t="inlineStr">
        <is>
          <t>VÄSTERBOTTENS LÄN</t>
        </is>
      </c>
      <c r="G311" t="inlineStr">
        <is>
          <t>BJURHOLM</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9688-2024</t>
        </is>
      </c>
      <c r="B312" t="inlineStr">
        <is>
          <t>avverkningsanmälan</t>
        </is>
      </c>
      <c r="C312" t="inlineStr">
        <is>
          <t>Föryngringsavverkning</t>
        </is>
      </c>
      <c r="D312" s="1" t="n">
        <v>45362</v>
      </c>
      <c r="E312" s="1" t="n">
        <v>46219</v>
      </c>
      <c r="F312" t="inlineStr">
        <is>
          <t>VÄSTERBOTTENS LÄN</t>
        </is>
      </c>
      <c r="G312" t="inlineStr">
        <is>
          <t>BJURHOLM</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17060-2025</t>
        </is>
      </c>
      <c r="B313" t="inlineStr">
        <is>
          <t>avverkningsanmälan</t>
        </is>
      </c>
      <c r="C313" t="inlineStr">
        <is>
          <t>Föryngringsavverkning</t>
        </is>
      </c>
      <c r="D313" s="1" t="n">
        <v>45755</v>
      </c>
      <c r="E313" s="1" t="n">
        <v>46219</v>
      </c>
      <c r="F313" t="inlineStr">
        <is>
          <t>VÄSTERBOTTENS LÄN</t>
        </is>
      </c>
      <c r="G313" t="inlineStr">
        <is>
          <t>BJURHOLM</t>
        </is>
      </c>
      <c r="I313" t="n">
        <v>7.7</v>
      </c>
      <c r="J313" t="n">
        <v>0</v>
      </c>
      <c r="K313" t="n">
        <v>0</v>
      </c>
      <c r="L313" t="n">
        <v>0</v>
      </c>
      <c r="M313" t="n">
        <v>0</v>
      </c>
      <c r="N313" t="n">
        <v>0</v>
      </c>
      <c r="O313" t="n">
        <v>0</v>
      </c>
      <c r="P313" t="n">
        <v>0</v>
      </c>
      <c r="Q313" t="n">
        <v>0</v>
      </c>
      <c r="R313" t="n">
        <v>0</v>
      </c>
      <c r="S313" t="n">
        <v>0</v>
      </c>
      <c r="T313" t="n">
        <v>0</v>
      </c>
      <c r="U313" s="2" t="inlineStr"/>
    </row>
    <row r="314" ht="15" customHeight="1">
      <c r="A314" t="inlineStr">
        <is>
          <t>A 34712-2023</t>
        </is>
      </c>
      <c r="B314" t="inlineStr">
        <is>
          <t>avverkningsanmälan</t>
        </is>
      </c>
      <c r="C314" t="inlineStr">
        <is>
          <t>Föryngringsavverkning</t>
        </is>
      </c>
      <c r="D314" s="1" t="n">
        <v>45139</v>
      </c>
      <c r="E314" s="1" t="n">
        <v>46219</v>
      </c>
      <c r="F314" t="inlineStr">
        <is>
          <t>VÄSTERBOTTENS LÄN</t>
        </is>
      </c>
      <c r="G314" t="inlineStr">
        <is>
          <t>BJURHOLM</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80-2024</t>
        </is>
      </c>
      <c r="B315" t="inlineStr">
        <is>
          <t>avverkningsanmälan</t>
        </is>
      </c>
      <c r="C315" t="inlineStr">
        <is>
          <t>Föryngringsavverkning</t>
        </is>
      </c>
      <c r="D315" s="1" t="n">
        <v>45293</v>
      </c>
      <c r="E315" s="1" t="n">
        <v>46219</v>
      </c>
      <c r="F315" t="inlineStr">
        <is>
          <t>VÄSTERBOTTENS LÄN</t>
        </is>
      </c>
      <c r="G315" t="inlineStr">
        <is>
          <t>BJURHOLM</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60659-2023</t>
        </is>
      </c>
      <c r="B316" t="inlineStr">
        <is>
          <t>avverkningsanmälan</t>
        </is>
      </c>
      <c r="C316" t="inlineStr">
        <is>
          <t>Föryngringsavverkning</t>
        </is>
      </c>
      <c r="D316" s="1" t="n">
        <v>45259</v>
      </c>
      <c r="E316" s="1" t="n">
        <v>46219</v>
      </c>
      <c r="F316" t="inlineStr">
        <is>
          <t>VÄSTERBOTTENS LÄN</t>
        </is>
      </c>
      <c r="G316" t="inlineStr">
        <is>
          <t>BJURHOLM</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23183-2024</t>
        </is>
      </c>
      <c r="B317" t="inlineStr">
        <is>
          <t>avverkningsanmälan</t>
        </is>
      </c>
      <c r="C317" t="inlineStr">
        <is>
          <t>Föryngringsavverkning</t>
        </is>
      </c>
      <c r="D317" s="1" t="n">
        <v>45450</v>
      </c>
      <c r="E317" s="1" t="n">
        <v>46219</v>
      </c>
      <c r="F317" t="inlineStr">
        <is>
          <t>VÄSTERBOTTENS LÄN</t>
        </is>
      </c>
      <c r="G317" t="inlineStr">
        <is>
          <t>BJURHOLM</t>
        </is>
      </c>
      <c r="H317" t="inlineStr">
        <is>
          <t>SCA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23206-2024</t>
        </is>
      </c>
      <c r="B318" t="inlineStr">
        <is>
          <t>avverkningsanmälan</t>
        </is>
      </c>
      <c r="C318" t="inlineStr">
        <is>
          <t>Föryngringsavverkning</t>
        </is>
      </c>
      <c r="D318" s="1" t="n">
        <v>45451</v>
      </c>
      <c r="E318" s="1" t="n">
        <v>46219</v>
      </c>
      <c r="F318" t="inlineStr">
        <is>
          <t>VÄSTERBOTTENS LÄN</t>
        </is>
      </c>
      <c r="G318" t="inlineStr">
        <is>
          <t>BJURHOLM</t>
        </is>
      </c>
      <c r="H318" t="inlineStr">
        <is>
          <t>SCA</t>
        </is>
      </c>
      <c r="I318" t="n">
        <v>2</v>
      </c>
      <c r="J318" t="n">
        <v>0</v>
      </c>
      <c r="K318" t="n">
        <v>0</v>
      </c>
      <c r="L318" t="n">
        <v>0</v>
      </c>
      <c r="M318" t="n">
        <v>0</v>
      </c>
      <c r="N318" t="n">
        <v>0</v>
      </c>
      <c r="O318" t="n">
        <v>0</v>
      </c>
      <c r="P318" t="n">
        <v>0</v>
      </c>
      <c r="Q318" t="n">
        <v>0</v>
      </c>
      <c r="R318" t="n">
        <v>0</v>
      </c>
      <c r="S318" t="n">
        <v>0</v>
      </c>
      <c r="T318" t="n">
        <v>0</v>
      </c>
      <c r="U318" s="2" t="inlineStr"/>
    </row>
    <row r="319" ht="15" customHeight="1">
      <c r="A319" t="inlineStr">
        <is>
          <t>A 20778-2024</t>
        </is>
      </c>
      <c r="B319" t="inlineStr">
        <is>
          <t>avverkningsanmälan</t>
        </is>
      </c>
      <c r="C319" t="inlineStr">
        <is>
          <t>Föryngringsavverkning</t>
        </is>
      </c>
      <c r="D319" s="1" t="n">
        <v>45436</v>
      </c>
      <c r="E319" s="1" t="n">
        <v>46219</v>
      </c>
      <c r="F319" t="inlineStr">
        <is>
          <t>VÄSTERBOTTENS LÄN</t>
        </is>
      </c>
      <c r="G319" t="inlineStr">
        <is>
          <t>BJURHOLM</t>
        </is>
      </c>
      <c r="H319" t="inlineStr">
        <is>
          <t>SCA</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59181-2023</t>
        </is>
      </c>
      <c r="B320" t="inlineStr">
        <is>
          <t>avverkningsanmälan</t>
        </is>
      </c>
      <c r="C320" t="inlineStr">
        <is>
          <t>Föryngringsavverkning</t>
        </is>
      </c>
      <c r="D320" s="1" t="n">
        <v>45251</v>
      </c>
      <c r="E320" s="1" t="n">
        <v>46219</v>
      </c>
      <c r="F320" t="inlineStr">
        <is>
          <t>VÄSTERBOTTENS LÄN</t>
        </is>
      </c>
      <c r="G320" t="inlineStr">
        <is>
          <t>BJURHOLM</t>
        </is>
      </c>
      <c r="I320" t="n">
        <v>3.7</v>
      </c>
      <c r="J320" t="n">
        <v>0</v>
      </c>
      <c r="K320" t="n">
        <v>0</v>
      </c>
      <c r="L320" t="n">
        <v>0</v>
      </c>
      <c r="M320" t="n">
        <v>0</v>
      </c>
      <c r="N320" t="n">
        <v>0</v>
      </c>
      <c r="O320" t="n">
        <v>0</v>
      </c>
      <c r="P320" t="n">
        <v>0</v>
      </c>
      <c r="Q320" t="n">
        <v>0</v>
      </c>
      <c r="R320" t="n">
        <v>0</v>
      </c>
      <c r="S320" t="n">
        <v>0</v>
      </c>
      <c r="T320" t="n">
        <v>0</v>
      </c>
      <c r="U320" s="2" t="inlineStr"/>
    </row>
    <row r="321" ht="15" customHeight="1">
      <c r="A321" t="inlineStr">
        <is>
          <t>A 25405-2025</t>
        </is>
      </c>
      <c r="B321" t="inlineStr">
        <is>
          <t>avverkningsanmälan</t>
        </is>
      </c>
      <c r="C321" t="inlineStr">
        <is>
          <t>Föryngringsavverkning</t>
        </is>
      </c>
      <c r="D321" s="1" t="n">
        <v>45800</v>
      </c>
      <c r="E321" s="1" t="n">
        <v>46219</v>
      </c>
      <c r="F321" t="inlineStr">
        <is>
          <t>VÄSTERBOTTENS LÄN</t>
        </is>
      </c>
      <c r="G321" t="inlineStr">
        <is>
          <t>BJURHOLM</t>
        </is>
      </c>
      <c r="I321" t="n">
        <v>3.6</v>
      </c>
      <c r="J321" t="n">
        <v>0</v>
      </c>
      <c r="K321" t="n">
        <v>0</v>
      </c>
      <c r="L321" t="n">
        <v>0</v>
      </c>
      <c r="M321" t="n">
        <v>0</v>
      </c>
      <c r="N321" t="n">
        <v>0</v>
      </c>
      <c r="O321" t="n">
        <v>0</v>
      </c>
      <c r="P321" t="n">
        <v>0</v>
      </c>
      <c r="Q321" t="n">
        <v>0</v>
      </c>
      <c r="R321" t="n">
        <v>0</v>
      </c>
      <c r="S321" t="n">
        <v>0</v>
      </c>
      <c r="T321" t="n">
        <v>0</v>
      </c>
      <c r="U321" s="2" t="inlineStr"/>
    </row>
    <row r="322" ht="15" customHeight="1">
      <c r="A322" t="inlineStr">
        <is>
          <t>A 7683-2024</t>
        </is>
      </c>
      <c r="B322" t="inlineStr">
        <is>
          <t>avverkningsanmälan</t>
        </is>
      </c>
      <c r="C322" t="inlineStr">
        <is>
          <t>Föryngringsavverkning</t>
        </is>
      </c>
      <c r="D322" s="1" t="n">
        <v>45348</v>
      </c>
      <c r="E322" s="1" t="n">
        <v>46219</v>
      </c>
      <c r="F322" t="inlineStr">
        <is>
          <t>VÄSTERBOTTENS LÄN</t>
        </is>
      </c>
      <c r="G322" t="inlineStr">
        <is>
          <t>BJURHOLM</t>
        </is>
      </c>
      <c r="I322" t="n">
        <v>11.5</v>
      </c>
      <c r="J322" t="n">
        <v>0</v>
      </c>
      <c r="K322" t="n">
        <v>0</v>
      </c>
      <c r="L322" t="n">
        <v>0</v>
      </c>
      <c r="M322" t="n">
        <v>0</v>
      </c>
      <c r="N322" t="n">
        <v>0</v>
      </c>
      <c r="O322" t="n">
        <v>0</v>
      </c>
      <c r="P322" t="n">
        <v>0</v>
      </c>
      <c r="Q322" t="n">
        <v>0</v>
      </c>
      <c r="R322" t="n">
        <v>0</v>
      </c>
      <c r="S322" t="n">
        <v>0</v>
      </c>
      <c r="T322" t="n">
        <v>0</v>
      </c>
      <c r="U322" s="2" t="inlineStr"/>
    </row>
    <row r="323" ht="15" customHeight="1">
      <c r="A323" t="inlineStr">
        <is>
          <t>A 7728-2024</t>
        </is>
      </c>
      <c r="B323" t="inlineStr">
        <is>
          <t>avverkningsanmälan</t>
        </is>
      </c>
      <c r="C323" t="inlineStr">
        <is>
          <t>Föryngringsavverkning</t>
        </is>
      </c>
      <c r="D323" s="1" t="n">
        <v>45348</v>
      </c>
      <c r="E323" s="1" t="n">
        <v>46219</v>
      </c>
      <c r="F323" t="inlineStr">
        <is>
          <t>VÄSTERBOTTENS LÄN</t>
        </is>
      </c>
      <c r="G323" t="inlineStr">
        <is>
          <t>BJURHOLM</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7418-2024</t>
        </is>
      </c>
      <c r="B324" t="inlineStr">
        <is>
          <t>avverkningsanmälan</t>
        </is>
      </c>
      <c r="C324" t="inlineStr">
        <is>
          <t>Föryngringsavverkning</t>
        </is>
      </c>
      <c r="D324" s="1" t="n">
        <v>45345</v>
      </c>
      <c r="E324" s="1" t="n">
        <v>46219</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5541-2025</t>
        </is>
      </c>
      <c r="B325" t="inlineStr">
        <is>
          <t>avverkningsanmälan</t>
        </is>
      </c>
      <c r="C325" t="inlineStr">
        <is>
          <t>Föryngringsavverkning</t>
        </is>
      </c>
      <c r="D325" s="1" t="n">
        <v>45693</v>
      </c>
      <c r="E325" s="1" t="n">
        <v>46219</v>
      </c>
      <c r="F325" t="inlineStr">
        <is>
          <t>VÄSTERBOTTENS LÄN</t>
        </is>
      </c>
      <c r="G325" t="inlineStr">
        <is>
          <t>BJURHOLM</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58489-2023</t>
        </is>
      </c>
      <c r="B326" t="inlineStr">
        <is>
          <t>avverkningsanmälan</t>
        </is>
      </c>
      <c r="C326" t="inlineStr">
        <is>
          <t>Föryngringsavverkning</t>
        </is>
      </c>
      <c r="D326" s="1" t="n">
        <v>45251</v>
      </c>
      <c r="E326" s="1" t="n">
        <v>46219</v>
      </c>
      <c r="F326" t="inlineStr">
        <is>
          <t>VÄSTERBOTTENS LÄN</t>
        </is>
      </c>
      <c r="G326" t="inlineStr">
        <is>
          <t>BJURHOLM</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34714-2023</t>
        </is>
      </c>
      <c r="B327" t="inlineStr">
        <is>
          <t>avverkningsanmälan</t>
        </is>
      </c>
      <c r="C327" t="inlineStr">
        <is>
          <t>Föryngringsavverkning</t>
        </is>
      </c>
      <c r="D327" s="1" t="n">
        <v>45141</v>
      </c>
      <c r="E327" s="1" t="n">
        <v>46219</v>
      </c>
      <c r="F327" t="inlineStr">
        <is>
          <t>VÄSTERBOTTENS LÄN</t>
        </is>
      </c>
      <c r="G327" t="inlineStr">
        <is>
          <t>BJURHOLM</t>
        </is>
      </c>
      <c r="H327" t="inlineStr">
        <is>
          <t>Holmen skog AB</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30182-2023</t>
        </is>
      </c>
      <c r="B328" t="inlineStr">
        <is>
          <t>avverkningsanmälan</t>
        </is>
      </c>
      <c r="C328" t="inlineStr">
        <is>
          <t>Föryngringsavverkning</t>
        </is>
      </c>
      <c r="D328" s="1" t="n">
        <v>45099</v>
      </c>
      <c r="E328" s="1" t="n">
        <v>46219</v>
      </c>
      <c r="F328" t="inlineStr">
        <is>
          <t>VÄSTERBOTTENS LÄN</t>
        </is>
      </c>
      <c r="G328" t="inlineStr">
        <is>
          <t>BJURHOLM</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36416-2024</t>
        </is>
      </c>
      <c r="B329" t="inlineStr">
        <is>
          <t>avverkningsanmälan</t>
        </is>
      </c>
      <c r="C329" t="inlineStr">
        <is>
          <t>Avverkning för annat ändamål</t>
        </is>
      </c>
      <c r="D329" s="1" t="n">
        <v>45536</v>
      </c>
      <c r="E329" s="1" t="n">
        <v>46219</v>
      </c>
      <c r="F329" t="inlineStr">
        <is>
          <t>VÄSTERBOTTENS LÄN</t>
        </is>
      </c>
      <c r="G329" t="inlineStr">
        <is>
          <t>BJURHOLM</t>
        </is>
      </c>
      <c r="I329" t="n">
        <v>0</v>
      </c>
      <c r="J329" t="n">
        <v>0</v>
      </c>
      <c r="K329" t="n">
        <v>0</v>
      </c>
      <c r="L329" t="n">
        <v>0</v>
      </c>
      <c r="M329" t="n">
        <v>0</v>
      </c>
      <c r="N329" t="n">
        <v>0</v>
      </c>
      <c r="O329" t="n">
        <v>0</v>
      </c>
      <c r="P329" t="n">
        <v>0</v>
      </c>
      <c r="Q329" t="n">
        <v>0</v>
      </c>
      <c r="R329" t="n">
        <v>0</v>
      </c>
      <c r="S329" t="n">
        <v>0</v>
      </c>
      <c r="T329" t="n">
        <v>0</v>
      </c>
      <c r="U329" s="2" t="inlineStr"/>
    </row>
    <row r="330" ht="15" customHeight="1">
      <c r="A330" t="inlineStr">
        <is>
          <t>A 41505-2021</t>
        </is>
      </c>
      <c r="B330" t="inlineStr">
        <is>
          <t>avverkningsanmälan</t>
        </is>
      </c>
      <c r="C330" t="inlineStr">
        <is>
          <t>Föryngringsavverkning</t>
        </is>
      </c>
      <c r="D330" s="1" t="n">
        <v>44424</v>
      </c>
      <c r="E330" s="1" t="n">
        <v>46219</v>
      </c>
      <c r="F330" t="inlineStr">
        <is>
          <t>VÄSTERBOTTENS LÄN</t>
        </is>
      </c>
      <c r="G330" t="inlineStr">
        <is>
          <t>BJURHOLM</t>
        </is>
      </c>
      <c r="H330" t="inlineStr">
        <is>
          <t>SCA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64500-2023</t>
        </is>
      </c>
      <c r="B331" t="inlineStr">
        <is>
          <t>avverkningsanmälan</t>
        </is>
      </c>
      <c r="C331" t="inlineStr">
        <is>
          <t>Avverkning för att bevara och utveckla /försöksver</t>
        </is>
      </c>
      <c r="D331" s="1" t="n">
        <v>45280</v>
      </c>
      <c r="E331" s="1" t="n">
        <v>46219</v>
      </c>
      <c r="F331" t="inlineStr">
        <is>
          <t>VÄSTERBOTTENS LÄN</t>
        </is>
      </c>
      <c r="G331" t="inlineStr">
        <is>
          <t>BJURHOLM</t>
        </is>
      </c>
      <c r="H331" t="inlineStr">
        <is>
          <t>SCA</t>
        </is>
      </c>
      <c r="I331" t="n">
        <v>2.3</v>
      </c>
      <c r="J331" t="n">
        <v>0</v>
      </c>
      <c r="K331" t="n">
        <v>0</v>
      </c>
      <c r="L331" t="n">
        <v>0</v>
      </c>
      <c r="M331" t="n">
        <v>0</v>
      </c>
      <c r="N331" t="n">
        <v>0</v>
      </c>
      <c r="O331" t="n">
        <v>0</v>
      </c>
      <c r="P331" t="n">
        <v>0</v>
      </c>
      <c r="Q331" t="n">
        <v>0</v>
      </c>
      <c r="R331" t="n">
        <v>0</v>
      </c>
      <c r="S331" t="n">
        <v>0</v>
      </c>
      <c r="T331" t="n">
        <v>0</v>
      </c>
      <c r="U331" s="2" t="inlineStr"/>
    </row>
    <row r="332" ht="15" customHeight="1">
      <c r="A332" t="inlineStr">
        <is>
          <t>A 41592-2023</t>
        </is>
      </c>
      <c r="B332" t="inlineStr">
        <is>
          <t>avverkningsanmälan</t>
        </is>
      </c>
      <c r="C332" t="inlineStr">
        <is>
          <t>Föryngringsavverkning</t>
        </is>
      </c>
      <c r="D332" s="1" t="n">
        <v>45175</v>
      </c>
      <c r="E332" s="1" t="n">
        <v>46219</v>
      </c>
      <c r="F332" t="inlineStr">
        <is>
          <t>VÄSTERBOTTENS LÄN</t>
        </is>
      </c>
      <c r="G332" t="inlineStr">
        <is>
          <t>BJURHOLM</t>
        </is>
      </c>
      <c r="H332" t="inlineStr">
        <is>
          <t>Holmen skog AB</t>
        </is>
      </c>
      <c r="I332" t="n">
        <v>2.6</v>
      </c>
      <c r="J332" t="n">
        <v>0</v>
      </c>
      <c r="K332" t="n">
        <v>0</v>
      </c>
      <c r="L332" t="n">
        <v>0</v>
      </c>
      <c r="M332" t="n">
        <v>0</v>
      </c>
      <c r="N332" t="n">
        <v>0</v>
      </c>
      <c r="O332" t="n">
        <v>0</v>
      </c>
      <c r="P332" t="n">
        <v>0</v>
      </c>
      <c r="Q332" t="n">
        <v>0</v>
      </c>
      <c r="R332" t="n">
        <v>0</v>
      </c>
      <c r="S332" t="n">
        <v>0</v>
      </c>
      <c r="T332" t="n">
        <v>0</v>
      </c>
      <c r="U332" s="2" t="inlineStr"/>
    </row>
    <row r="333" ht="15" customHeight="1">
      <c r="A333" t="inlineStr">
        <is>
          <t>A 26883-2025</t>
        </is>
      </c>
      <c r="B333" t="inlineStr">
        <is>
          <t>avverkningsanmälan</t>
        </is>
      </c>
      <c r="C333" t="inlineStr">
        <is>
          <t>Föryngringsavverkning</t>
        </is>
      </c>
      <c r="D333" s="1" t="n">
        <v>45810</v>
      </c>
      <c r="E333" s="1" t="n">
        <v>46219</v>
      </c>
      <c r="F333" t="inlineStr">
        <is>
          <t>VÄSTERBOTTENS LÄN</t>
        </is>
      </c>
      <c r="G333" t="inlineStr">
        <is>
          <t>BJURHOLM</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27597-2025</t>
        </is>
      </c>
      <c r="B334" t="inlineStr">
        <is>
          <t>avverkningsanmälan</t>
        </is>
      </c>
      <c r="C334" t="inlineStr">
        <is>
          <t>Föryngringsavverkning</t>
        </is>
      </c>
      <c r="D334" s="1" t="n">
        <v>45813</v>
      </c>
      <c r="E334" s="1" t="n">
        <v>46219</v>
      </c>
      <c r="F334" t="inlineStr">
        <is>
          <t>VÄSTERBOTTENS LÄN</t>
        </is>
      </c>
      <c r="G334" t="inlineStr">
        <is>
          <t>BJURHOLM</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27612-2025</t>
        </is>
      </c>
      <c r="B335" t="inlineStr">
        <is>
          <t>avverkningsanmälan</t>
        </is>
      </c>
      <c r="C335" t="inlineStr">
        <is>
          <t>Föryngringsavverkning</t>
        </is>
      </c>
      <c r="D335" s="1" t="n">
        <v>45813</v>
      </c>
      <c r="E335" s="1" t="n">
        <v>46219</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27614-2025</t>
        </is>
      </c>
      <c r="B336" t="inlineStr">
        <is>
          <t>avverkningsanmälan</t>
        </is>
      </c>
      <c r="C336" t="inlineStr">
        <is>
          <t>Föryngringsavverkning</t>
        </is>
      </c>
      <c r="D336" s="1" t="n">
        <v>45813</v>
      </c>
      <c r="E336" s="1" t="n">
        <v>46219</v>
      </c>
      <c r="F336" t="inlineStr">
        <is>
          <t>VÄSTERBOTTENS LÄN</t>
        </is>
      </c>
      <c r="G336" t="inlineStr">
        <is>
          <t>BJURHOLM</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14071-2023</t>
        </is>
      </c>
      <c r="B337" t="inlineStr">
        <is>
          <t>avverkningsanmälan</t>
        </is>
      </c>
      <c r="C337" t="inlineStr">
        <is>
          <t>Föryngringsavverkning</t>
        </is>
      </c>
      <c r="D337" s="1" t="n">
        <v>45009</v>
      </c>
      <c r="E337" s="1" t="n">
        <v>46219</v>
      </c>
      <c r="F337" t="inlineStr">
        <is>
          <t>VÄSTERBOTTENS LÄN</t>
        </is>
      </c>
      <c r="G337" t="inlineStr">
        <is>
          <t>BJURHOLM</t>
        </is>
      </c>
      <c r="H337" t="inlineStr">
        <is>
          <t>SCA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34296-2022</t>
        </is>
      </c>
      <c r="B338" t="inlineStr">
        <is>
          <t>avverkningsanmälan</t>
        </is>
      </c>
      <c r="C338" t="inlineStr">
        <is>
          <t>Föryngringsavverkning</t>
        </is>
      </c>
      <c r="D338" s="1" t="n">
        <v>44792</v>
      </c>
      <c r="E338" s="1" t="n">
        <v>46219</v>
      </c>
      <c r="F338" t="inlineStr">
        <is>
          <t>VÄSTERBOTTENS LÄN</t>
        </is>
      </c>
      <c r="G338" t="inlineStr">
        <is>
          <t>BJURHOLM</t>
        </is>
      </c>
      <c r="I338" t="n">
        <v>9.1</v>
      </c>
      <c r="J338" t="n">
        <v>0</v>
      </c>
      <c r="K338" t="n">
        <v>0</v>
      </c>
      <c r="L338" t="n">
        <v>0</v>
      </c>
      <c r="M338" t="n">
        <v>0</v>
      </c>
      <c r="N338" t="n">
        <v>0</v>
      </c>
      <c r="O338" t="n">
        <v>0</v>
      </c>
      <c r="P338" t="n">
        <v>0</v>
      </c>
      <c r="Q338" t="n">
        <v>0</v>
      </c>
      <c r="R338" t="n">
        <v>0</v>
      </c>
      <c r="S338" t="n">
        <v>0</v>
      </c>
      <c r="T338" t="n">
        <v>0</v>
      </c>
      <c r="U338" s="2" t="inlineStr"/>
    </row>
    <row r="339" ht="15" customHeight="1">
      <c r="A339" t="inlineStr">
        <is>
          <t>A 43172-2023</t>
        </is>
      </c>
      <c r="B339" t="inlineStr">
        <is>
          <t>avverkningsanmälan</t>
        </is>
      </c>
      <c r="C339" t="inlineStr">
        <is>
          <t>Föryngringsavverkning</t>
        </is>
      </c>
      <c r="D339" s="1" t="n">
        <v>45183</v>
      </c>
      <c r="E339" s="1" t="n">
        <v>46219</v>
      </c>
      <c r="F339" t="inlineStr">
        <is>
          <t>VÄSTERBOTTENS LÄN</t>
        </is>
      </c>
      <c r="G339" t="inlineStr">
        <is>
          <t>BJURHOLM</t>
        </is>
      </c>
      <c r="H339" t="inlineStr">
        <is>
          <t>Holmen skog AB</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19218-2026</t>
        </is>
      </c>
      <c r="B340" t="inlineStr">
        <is>
          <t>avverkningsanmälan</t>
        </is>
      </c>
      <c r="C340" t="inlineStr">
        <is>
          <t>Föryngringsavverkning</t>
        </is>
      </c>
      <c r="D340" s="1" t="n">
        <v>46132</v>
      </c>
      <c r="E340" s="1" t="n">
        <v>46219</v>
      </c>
      <c r="F340" t="inlineStr">
        <is>
          <t>VÄSTERBOTTENS LÄN</t>
        </is>
      </c>
      <c r="G340" t="inlineStr">
        <is>
          <t>BJURHOLM</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19221-2026</t>
        </is>
      </c>
      <c r="B341" t="inlineStr">
        <is>
          <t>avverkningsanmälan</t>
        </is>
      </c>
      <c r="C341" t="inlineStr">
        <is>
          <t>Föryngringsavverkning</t>
        </is>
      </c>
      <c r="D341" s="1" t="n">
        <v>46132</v>
      </c>
      <c r="E341" s="1" t="n">
        <v>46219</v>
      </c>
      <c r="F341" t="inlineStr">
        <is>
          <t>VÄSTERBOTTENS LÄN</t>
        </is>
      </c>
      <c r="G341" t="inlineStr">
        <is>
          <t>BJURHOLM</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19223-2026</t>
        </is>
      </c>
      <c r="B342" t="inlineStr">
        <is>
          <t>avverkningsanmälan</t>
        </is>
      </c>
      <c r="C342" t="inlineStr">
        <is>
          <t>Föryngringsavverkning</t>
        </is>
      </c>
      <c r="D342" s="1" t="n">
        <v>46132</v>
      </c>
      <c r="E342" s="1" t="n">
        <v>46219</v>
      </c>
      <c r="F342" t="inlineStr">
        <is>
          <t>VÄSTERBOTTENS LÄN</t>
        </is>
      </c>
      <c r="G342" t="inlineStr">
        <is>
          <t>BJURHOLM</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19136-2026</t>
        </is>
      </c>
      <c r="B343" t="inlineStr">
        <is>
          <t>avverkningsanmälan</t>
        </is>
      </c>
      <c r="C343" t="inlineStr">
        <is>
          <t>Föryngringsavverkning</t>
        </is>
      </c>
      <c r="D343" s="1" t="n">
        <v>46132</v>
      </c>
      <c r="E343" s="1" t="n">
        <v>46219</v>
      </c>
      <c r="F343" t="inlineStr">
        <is>
          <t>VÄSTERBOTTENS LÄN</t>
        </is>
      </c>
      <c r="G343" t="inlineStr">
        <is>
          <t>BJURHOLM</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41503-2021</t>
        </is>
      </c>
      <c r="B344" t="inlineStr">
        <is>
          <t>avverkningsanmälan</t>
        </is>
      </c>
      <c r="C344" t="inlineStr">
        <is>
          <t>Föryngringsavverkning</t>
        </is>
      </c>
      <c r="D344" s="1" t="n">
        <v>44424</v>
      </c>
      <c r="E344" s="1" t="n">
        <v>46219</v>
      </c>
      <c r="F344" t="inlineStr">
        <is>
          <t>VÄSTERBOTTENS LÄN</t>
        </is>
      </c>
      <c r="G344" t="inlineStr">
        <is>
          <t>BJURHOLM</t>
        </is>
      </c>
      <c r="H344" t="inlineStr">
        <is>
          <t>SCA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19326-2026</t>
        </is>
      </c>
      <c r="B345" t="inlineStr">
        <is>
          <t>avverkningsanmälan</t>
        </is>
      </c>
      <c r="C345" t="inlineStr">
        <is>
          <t>Föryngringsavverkning</t>
        </is>
      </c>
      <c r="D345" s="1" t="n">
        <v>46133</v>
      </c>
      <c r="E345" s="1" t="n">
        <v>46219</v>
      </c>
      <c r="F345" t="inlineStr">
        <is>
          <t>VÄSTERBOTTENS LÄN</t>
        </is>
      </c>
      <c r="G345" t="inlineStr">
        <is>
          <t>BJURHOLM</t>
        </is>
      </c>
      <c r="I345" t="n">
        <v>6.9</v>
      </c>
      <c r="J345" t="n">
        <v>0</v>
      </c>
      <c r="K345" t="n">
        <v>0</v>
      </c>
      <c r="L345" t="n">
        <v>0</v>
      </c>
      <c r="M345" t="n">
        <v>0</v>
      </c>
      <c r="N345" t="n">
        <v>0</v>
      </c>
      <c r="O345" t="n">
        <v>0</v>
      </c>
      <c r="P345" t="n">
        <v>0</v>
      </c>
      <c r="Q345" t="n">
        <v>0</v>
      </c>
      <c r="R345" t="n">
        <v>0</v>
      </c>
      <c r="S345" t="n">
        <v>0</v>
      </c>
      <c r="T345" t="n">
        <v>0</v>
      </c>
      <c r="U345" s="2" t="inlineStr"/>
    </row>
    <row r="346" ht="15" customHeight="1">
      <c r="A346" t="inlineStr">
        <is>
          <t>A 25534-2026</t>
        </is>
      </c>
      <c r="B346" t="inlineStr">
        <is>
          <t>avverkningsanmälan</t>
        </is>
      </c>
      <c r="C346" t="inlineStr">
        <is>
          <t>Föryngringsavverkning</t>
        </is>
      </c>
      <c r="D346" s="1" t="n">
        <v>46177</v>
      </c>
      <c r="E346" s="1" t="n">
        <v>46219</v>
      </c>
      <c r="F346" t="inlineStr">
        <is>
          <t>VÄSTERBOTTENS LÄN</t>
        </is>
      </c>
      <c r="G346" t="inlineStr">
        <is>
          <t>BJURHOLM</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29712-2025</t>
        </is>
      </c>
      <c r="B347" t="inlineStr">
        <is>
          <t>avverkningsanmälan</t>
        </is>
      </c>
      <c r="C347" t="inlineStr">
        <is>
          <t>Föryngringsavverkning</t>
        </is>
      </c>
      <c r="D347" s="1" t="n">
        <v>45825</v>
      </c>
      <c r="E347" s="1" t="n">
        <v>46219</v>
      </c>
      <c r="F347" t="inlineStr">
        <is>
          <t>VÄSTERBOTTENS LÄN</t>
        </is>
      </c>
      <c r="G347" t="inlineStr">
        <is>
          <t>BJURHOLM</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7908-2022</t>
        </is>
      </c>
      <c r="B348" t="inlineStr">
        <is>
          <t>avverkningsanmälan</t>
        </is>
      </c>
      <c r="C348" t="inlineStr">
        <is>
          <t>Föryngringsavverkning</t>
        </is>
      </c>
      <c r="D348" s="1" t="n">
        <v>44608</v>
      </c>
      <c r="E348" s="1" t="n">
        <v>46219</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25499-2026</t>
        </is>
      </c>
      <c r="B349" t="inlineStr">
        <is>
          <t>avverkningsanmälan</t>
        </is>
      </c>
      <c r="C349" t="inlineStr">
        <is>
          <t>Föryngringsavverkning</t>
        </is>
      </c>
      <c r="D349" s="1" t="n">
        <v>46177</v>
      </c>
      <c r="E349" s="1" t="n">
        <v>46219</v>
      </c>
      <c r="F349" t="inlineStr">
        <is>
          <t>VÄSTERBOTTENS LÄN</t>
        </is>
      </c>
      <c r="G349" t="inlineStr">
        <is>
          <t>BJURHOLM</t>
        </is>
      </c>
      <c r="H349" t="inlineStr">
        <is>
          <t>Holmen skog AB</t>
        </is>
      </c>
      <c r="I349" t="n">
        <v>3.1</v>
      </c>
      <c r="J349" t="n">
        <v>0</v>
      </c>
      <c r="K349" t="n">
        <v>0</v>
      </c>
      <c r="L349" t="n">
        <v>0</v>
      </c>
      <c r="M349" t="n">
        <v>0</v>
      </c>
      <c r="N349" t="n">
        <v>0</v>
      </c>
      <c r="O349" t="n">
        <v>0</v>
      </c>
      <c r="P349" t="n">
        <v>0</v>
      </c>
      <c r="Q349" t="n">
        <v>0</v>
      </c>
      <c r="R349" t="n">
        <v>0</v>
      </c>
      <c r="S349" t="n">
        <v>0</v>
      </c>
      <c r="T349" t="n">
        <v>0</v>
      </c>
      <c r="U349" s="2" t="inlineStr"/>
    </row>
    <row r="350" ht="15" customHeight="1">
      <c r="A350" t="inlineStr">
        <is>
          <t>A 30672-2025</t>
        </is>
      </c>
      <c r="B350" t="inlineStr">
        <is>
          <t>avverkningsanmälan</t>
        </is>
      </c>
      <c r="C350" t="inlineStr">
        <is>
          <t>Föryngringsavverkning</t>
        </is>
      </c>
      <c r="D350" s="1" t="n">
        <v>45831</v>
      </c>
      <c r="E350" s="1" t="n">
        <v>46219</v>
      </c>
      <c r="F350" t="inlineStr">
        <is>
          <t>VÄSTERBOTTENS LÄN</t>
        </is>
      </c>
      <c r="G350" t="inlineStr">
        <is>
          <t>BJURHOLM</t>
        </is>
      </c>
      <c r="H350" t="inlineStr">
        <is>
          <t>Sveaskog</t>
        </is>
      </c>
      <c r="I350" t="n">
        <v>20.4</v>
      </c>
      <c r="J350" t="n">
        <v>0</v>
      </c>
      <c r="K350" t="n">
        <v>0</v>
      </c>
      <c r="L350" t="n">
        <v>0</v>
      </c>
      <c r="M350" t="n">
        <v>0</v>
      </c>
      <c r="N350" t="n">
        <v>0</v>
      </c>
      <c r="O350" t="n">
        <v>0</v>
      </c>
      <c r="P350" t="n">
        <v>0</v>
      </c>
      <c r="Q350" t="n">
        <v>0</v>
      </c>
      <c r="R350" t="n">
        <v>0</v>
      </c>
      <c r="S350" t="n">
        <v>0</v>
      </c>
      <c r="T350" t="n">
        <v>0</v>
      </c>
      <c r="U350" s="2" t="inlineStr"/>
    </row>
    <row r="351" ht="15" customHeight="1">
      <c r="A351" t="inlineStr">
        <is>
          <t>A 31637-2025</t>
        </is>
      </c>
      <c r="B351" t="inlineStr">
        <is>
          <t>avverkningsanmälan</t>
        </is>
      </c>
      <c r="C351" t="inlineStr">
        <is>
          <t>Avverkning för annat ändamål</t>
        </is>
      </c>
      <c r="D351" s="1" t="n">
        <v>45834</v>
      </c>
      <c r="E351" s="1" t="n">
        <v>46219</v>
      </c>
      <c r="F351" t="inlineStr">
        <is>
          <t>VÄSTERBOTTENS LÄN</t>
        </is>
      </c>
      <c r="G351" t="inlineStr">
        <is>
          <t>BJURHOLM</t>
        </is>
      </c>
      <c r="H351" t="inlineStr">
        <is>
          <t>Holmen skog AB</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32584-2025</t>
        </is>
      </c>
      <c r="B352" t="inlineStr">
        <is>
          <t>avverkningsanmälan</t>
        </is>
      </c>
      <c r="C352" t="inlineStr">
        <is>
          <t>Föryngringsavverkning</t>
        </is>
      </c>
      <c r="D352" s="1" t="n">
        <v>45838</v>
      </c>
      <c r="E352" s="1" t="n">
        <v>46219</v>
      </c>
      <c r="F352" t="inlineStr">
        <is>
          <t>VÄSTERBOTTENS LÄN</t>
        </is>
      </c>
      <c r="G352" t="inlineStr">
        <is>
          <t>BJURHOLM</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25999-2026</t>
        </is>
      </c>
      <c r="B353" t="inlineStr">
        <is>
          <t>avverkningsanmälan</t>
        </is>
      </c>
      <c r="C353" t="inlineStr">
        <is>
          <t>Föryngringsavverkning</t>
        </is>
      </c>
      <c r="D353" s="1" t="n">
        <v>46181</v>
      </c>
      <c r="E353" s="1" t="n">
        <v>46219</v>
      </c>
      <c r="F353" t="inlineStr">
        <is>
          <t>VÄSTERBOTTENS LÄN</t>
        </is>
      </c>
      <c r="G353" t="inlineStr">
        <is>
          <t>BJURHOLM</t>
        </is>
      </c>
      <c r="H353" t="inlineStr">
        <is>
          <t>Holmen skog AB</t>
        </is>
      </c>
      <c r="I353" t="n">
        <v>6.1</v>
      </c>
      <c r="J353" t="n">
        <v>0</v>
      </c>
      <c r="K353" t="n">
        <v>0</v>
      </c>
      <c r="L353" t="n">
        <v>0</v>
      </c>
      <c r="M353" t="n">
        <v>0</v>
      </c>
      <c r="N353" t="n">
        <v>0</v>
      </c>
      <c r="O353" t="n">
        <v>0</v>
      </c>
      <c r="P353" t="n">
        <v>0</v>
      </c>
      <c r="Q353" t="n">
        <v>0</v>
      </c>
      <c r="R353" t="n">
        <v>0</v>
      </c>
      <c r="S353" t="n">
        <v>0</v>
      </c>
      <c r="T353" t="n">
        <v>0</v>
      </c>
      <c r="U353" s="2" t="inlineStr"/>
    </row>
    <row r="354" ht="15" customHeight="1">
      <c r="A354" t="inlineStr">
        <is>
          <t>A 26009-2026</t>
        </is>
      </c>
      <c r="B354" t="inlineStr">
        <is>
          <t>avverkningsanmälan</t>
        </is>
      </c>
      <c r="C354" t="inlineStr">
        <is>
          <t>Föryngringsavverkning</t>
        </is>
      </c>
      <c r="D354" s="1" t="n">
        <v>46181</v>
      </c>
      <c r="E354" s="1" t="n">
        <v>46219</v>
      </c>
      <c r="F354" t="inlineStr">
        <is>
          <t>VÄSTERBOTTENS LÄN</t>
        </is>
      </c>
      <c r="G354" t="inlineStr">
        <is>
          <t>BJURHOLM</t>
        </is>
      </c>
      <c r="H354" t="inlineStr">
        <is>
          <t>Holmen skog AB</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8860-2023</t>
        </is>
      </c>
      <c r="B355" t="inlineStr">
        <is>
          <t>avverkningsanmälan</t>
        </is>
      </c>
      <c r="C355" t="inlineStr">
        <is>
          <t>Föryngringsavverkning</t>
        </is>
      </c>
      <c r="D355" s="1" t="n">
        <v>44978</v>
      </c>
      <c r="E355" s="1" t="n">
        <v>46219</v>
      </c>
      <c r="F355" t="inlineStr">
        <is>
          <t>VÄSTERBOTTENS LÄN</t>
        </is>
      </c>
      <c r="G355" t="inlineStr">
        <is>
          <t>BJURHOLM</t>
        </is>
      </c>
      <c r="I355" t="n">
        <v>3.4</v>
      </c>
      <c r="J355" t="n">
        <v>0</v>
      </c>
      <c r="K355" t="n">
        <v>0</v>
      </c>
      <c r="L355" t="n">
        <v>0</v>
      </c>
      <c r="M355" t="n">
        <v>0</v>
      </c>
      <c r="N355" t="n">
        <v>0</v>
      </c>
      <c r="O355" t="n">
        <v>0</v>
      </c>
      <c r="P355" t="n">
        <v>0</v>
      </c>
      <c r="Q355" t="n">
        <v>0</v>
      </c>
      <c r="R355" t="n">
        <v>0</v>
      </c>
      <c r="S355" t="n">
        <v>0</v>
      </c>
      <c r="T355" t="n">
        <v>0</v>
      </c>
      <c r="U355" s="2" t="inlineStr"/>
    </row>
    <row r="356" ht="15" customHeight="1">
      <c r="A356" t="inlineStr">
        <is>
          <t>A 62087-2022</t>
        </is>
      </c>
      <c r="B356" t="inlineStr">
        <is>
          <t>avverkningsanmälan</t>
        </is>
      </c>
      <c r="C356" t="inlineStr">
        <is>
          <t>Föryngringsavverkning</t>
        </is>
      </c>
      <c r="D356" s="1" t="n">
        <v>44919</v>
      </c>
      <c r="E356" s="1" t="n">
        <v>46219</v>
      </c>
      <c r="F356" t="inlineStr">
        <is>
          <t>VÄSTERBOTTENS LÄN</t>
        </is>
      </c>
      <c r="G356" t="inlineStr">
        <is>
          <t>BJURHOLM</t>
        </is>
      </c>
      <c r="I356" t="n">
        <v>6.9</v>
      </c>
      <c r="J356" t="n">
        <v>0</v>
      </c>
      <c r="K356" t="n">
        <v>0</v>
      </c>
      <c r="L356" t="n">
        <v>0</v>
      </c>
      <c r="M356" t="n">
        <v>0</v>
      </c>
      <c r="N356" t="n">
        <v>0</v>
      </c>
      <c r="O356" t="n">
        <v>0</v>
      </c>
      <c r="P356" t="n">
        <v>0</v>
      </c>
      <c r="Q356" t="n">
        <v>0</v>
      </c>
      <c r="R356" t="n">
        <v>0</v>
      </c>
      <c r="S356" t="n">
        <v>0</v>
      </c>
      <c r="T356" t="n">
        <v>0</v>
      </c>
      <c r="U356" s="2" t="inlineStr"/>
    </row>
    <row r="357" ht="15" customHeight="1">
      <c r="A357" t="inlineStr">
        <is>
          <t>A 34751-2022</t>
        </is>
      </c>
      <c r="B357" t="inlineStr">
        <is>
          <t>avverkningsanmälan</t>
        </is>
      </c>
      <c r="C357" t="inlineStr">
        <is>
          <t>Föryngringsavverkning</t>
        </is>
      </c>
      <c r="D357" s="1" t="n">
        <v>44795</v>
      </c>
      <c r="E357" s="1" t="n">
        <v>46219</v>
      </c>
      <c r="F357" t="inlineStr">
        <is>
          <t>VÄSTERBOTTENS LÄN</t>
        </is>
      </c>
      <c r="G357" t="inlineStr">
        <is>
          <t>BJURHOLM</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26014-2026</t>
        </is>
      </c>
      <c r="B358" t="inlineStr">
        <is>
          <t>avverkningsanmälan</t>
        </is>
      </c>
      <c r="C358" t="inlineStr">
        <is>
          <t>Föryngringsavverkning</t>
        </is>
      </c>
      <c r="D358" s="1" t="n">
        <v>46181</v>
      </c>
      <c r="E358" s="1" t="n">
        <v>46219</v>
      </c>
      <c r="F358" t="inlineStr">
        <is>
          <t>VÄSTERBOTTENS LÄN</t>
        </is>
      </c>
      <c r="G358" t="inlineStr">
        <is>
          <t>BJURHOLM</t>
        </is>
      </c>
      <c r="H358" t="inlineStr">
        <is>
          <t>Holmen skog AB</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10918-2023</t>
        </is>
      </c>
      <c r="B359" t="inlineStr">
        <is>
          <t>avverkningsanmälan</t>
        </is>
      </c>
      <c r="C359" t="inlineStr">
        <is>
          <t>Föryngringsavverkning</t>
        </is>
      </c>
      <c r="D359" s="1" t="n">
        <v>44991</v>
      </c>
      <c r="E359" s="1" t="n">
        <v>46219</v>
      </c>
      <c r="F359" t="inlineStr">
        <is>
          <t>VÄSTERBOTTENS LÄN</t>
        </is>
      </c>
      <c r="G359" t="inlineStr">
        <is>
          <t>BJURHOLM</t>
        </is>
      </c>
      <c r="I359" t="n">
        <v>5.8</v>
      </c>
      <c r="J359" t="n">
        <v>0</v>
      </c>
      <c r="K359" t="n">
        <v>0</v>
      </c>
      <c r="L359" t="n">
        <v>0</v>
      </c>
      <c r="M359" t="n">
        <v>0</v>
      </c>
      <c r="N359" t="n">
        <v>0</v>
      </c>
      <c r="O359" t="n">
        <v>0</v>
      </c>
      <c r="P359" t="n">
        <v>0</v>
      </c>
      <c r="Q359" t="n">
        <v>0</v>
      </c>
      <c r="R359" t="n">
        <v>0</v>
      </c>
      <c r="S359" t="n">
        <v>0</v>
      </c>
      <c r="T359" t="n">
        <v>0</v>
      </c>
      <c r="U359" s="2" t="inlineStr"/>
    </row>
    <row r="360" ht="15" customHeight="1">
      <c r="A360" t="inlineStr">
        <is>
          <t>A 34347-2025</t>
        </is>
      </c>
      <c r="B360" t="inlineStr">
        <is>
          <t>avverkningsanmälan</t>
        </is>
      </c>
      <c r="C360" t="inlineStr">
        <is>
          <t>Föryngringsavverkning</t>
        </is>
      </c>
      <c r="D360" s="1" t="n">
        <v>45846</v>
      </c>
      <c r="E360" s="1" t="n">
        <v>46219</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52584-2024</t>
        </is>
      </c>
      <c r="B361" t="inlineStr">
        <is>
          <t>avverkningsanmälan</t>
        </is>
      </c>
      <c r="C361" t="inlineStr">
        <is>
          <t>Föryngringsavverkning</t>
        </is>
      </c>
      <c r="D361" s="1" t="n">
        <v>45609</v>
      </c>
      <c r="E361" s="1" t="n">
        <v>46219</v>
      </c>
      <c r="F361" t="inlineStr">
        <is>
          <t>VÄSTERBOTTENS LÄN</t>
        </is>
      </c>
      <c r="G361" t="inlineStr">
        <is>
          <t>BJURHOLM</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34336-2025</t>
        </is>
      </c>
      <c r="B362" t="inlineStr">
        <is>
          <t>avverkningsanmälan</t>
        </is>
      </c>
      <c r="C362" t="inlineStr">
        <is>
          <t>Föryngringsavverkning</t>
        </is>
      </c>
      <c r="D362" s="1" t="n">
        <v>45846</v>
      </c>
      <c r="E362" s="1" t="n">
        <v>46219</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46498-2024</t>
        </is>
      </c>
      <c r="B363" t="inlineStr">
        <is>
          <t>avverkningsanmälan</t>
        </is>
      </c>
      <c r="C363" t="inlineStr">
        <is>
          <t>Föryngringsavverkning</t>
        </is>
      </c>
      <c r="D363" s="1" t="n">
        <v>45582</v>
      </c>
      <c r="E363" s="1" t="n">
        <v>46219</v>
      </c>
      <c r="F363" t="inlineStr">
        <is>
          <t>VÄSTERBOTTENS LÄN</t>
        </is>
      </c>
      <c r="G363" t="inlineStr">
        <is>
          <t>BJURHOLM</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61735-2024</t>
        </is>
      </c>
      <c r="B364" t="inlineStr">
        <is>
          <t>avverkningsanmälan</t>
        </is>
      </c>
      <c r="C364" t="inlineStr">
        <is>
          <t>Föryngringsavverkning</t>
        </is>
      </c>
      <c r="D364" s="1" t="n">
        <v>45649</v>
      </c>
      <c r="E364" s="1" t="n">
        <v>46219</v>
      </c>
      <c r="F364" t="inlineStr">
        <is>
          <t>VÄSTERBOTTENS LÄN</t>
        </is>
      </c>
      <c r="G364" t="inlineStr">
        <is>
          <t>BJURHOLM</t>
        </is>
      </c>
      <c r="I364" t="n">
        <v>7.8</v>
      </c>
      <c r="J364" t="n">
        <v>0</v>
      </c>
      <c r="K364" t="n">
        <v>0</v>
      </c>
      <c r="L364" t="n">
        <v>0</v>
      </c>
      <c r="M364" t="n">
        <v>0</v>
      </c>
      <c r="N364" t="n">
        <v>0</v>
      </c>
      <c r="O364" t="n">
        <v>0</v>
      </c>
      <c r="P364" t="n">
        <v>0</v>
      </c>
      <c r="Q364" t="n">
        <v>0</v>
      </c>
      <c r="R364" t="n">
        <v>0</v>
      </c>
      <c r="S364" t="n">
        <v>0</v>
      </c>
      <c r="T364" t="n">
        <v>0</v>
      </c>
      <c r="U364" s="2" t="inlineStr"/>
    </row>
    <row r="365" ht="15" customHeight="1">
      <c r="A365" t="inlineStr">
        <is>
          <t>A 22-2026</t>
        </is>
      </c>
      <c r="B365" t="inlineStr">
        <is>
          <t>avverkningsanmälan</t>
        </is>
      </c>
      <c r="C365" t="inlineStr">
        <is>
          <t>Föryngringsavverkning</t>
        </is>
      </c>
      <c r="D365" s="1" t="n">
        <v>46023</v>
      </c>
      <c r="E365" s="1" t="n">
        <v>46219</v>
      </c>
      <c r="F365" t="inlineStr">
        <is>
          <t>VÄSTERBOTTENS LÄN</t>
        </is>
      </c>
      <c r="G365" t="inlineStr">
        <is>
          <t>BJURHOLM</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25099-2025</t>
        </is>
      </c>
      <c r="B366" t="inlineStr">
        <is>
          <t>avverkningsanmälan</t>
        </is>
      </c>
      <c r="C366" t="inlineStr">
        <is>
          <t>Föryngringsavverkning</t>
        </is>
      </c>
      <c r="D366" s="1" t="n">
        <v>45800</v>
      </c>
      <c r="E366" s="1" t="n">
        <v>46219</v>
      </c>
      <c r="F366" t="inlineStr">
        <is>
          <t>VÄSTERBOTTENS LÄN</t>
        </is>
      </c>
      <c r="G366" t="inlineStr">
        <is>
          <t>BJURHOLM</t>
        </is>
      </c>
      <c r="H366" t="inlineStr">
        <is>
          <t>SCA</t>
        </is>
      </c>
      <c r="I366" t="n">
        <v>7.8</v>
      </c>
      <c r="J366" t="n">
        <v>0</v>
      </c>
      <c r="K366" t="n">
        <v>0</v>
      </c>
      <c r="L366" t="n">
        <v>0</v>
      </c>
      <c r="M366" t="n">
        <v>0</v>
      </c>
      <c r="N366" t="n">
        <v>0</v>
      </c>
      <c r="O366" t="n">
        <v>0</v>
      </c>
      <c r="P366" t="n">
        <v>0</v>
      </c>
      <c r="Q366" t="n">
        <v>0</v>
      </c>
      <c r="R366" t="n">
        <v>0</v>
      </c>
      <c r="S366" t="n">
        <v>0</v>
      </c>
      <c r="T366" t="n">
        <v>0</v>
      </c>
      <c r="U366" s="2" t="inlineStr"/>
    </row>
    <row r="367" ht="15" customHeight="1">
      <c r="A367" t="inlineStr">
        <is>
          <t>A 20836-2026</t>
        </is>
      </c>
      <c r="B367" t="inlineStr">
        <is>
          <t>avverkningsanmälan</t>
        </is>
      </c>
      <c r="C367" t="inlineStr">
        <is>
          <t>Föryngringsavverkning</t>
        </is>
      </c>
      <c r="D367" s="1" t="n">
        <v>46142</v>
      </c>
      <c r="E367" s="1" t="n">
        <v>46219</v>
      </c>
      <c r="F367" t="inlineStr">
        <is>
          <t>VÄSTERBOTTENS LÄN</t>
        </is>
      </c>
      <c r="G367" t="inlineStr">
        <is>
          <t>BJURHOLM</t>
        </is>
      </c>
      <c r="H367" t="inlineStr">
        <is>
          <t>Holmen skog AB</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17867-2025</t>
        </is>
      </c>
      <c r="B368" t="inlineStr">
        <is>
          <t>avverkningsanmälan</t>
        </is>
      </c>
      <c r="C368" t="inlineStr">
        <is>
          <t>Föryngringsavverkning</t>
        </is>
      </c>
      <c r="D368" s="1" t="n">
        <v>45758</v>
      </c>
      <c r="E368" s="1" t="n">
        <v>46219</v>
      </c>
      <c r="F368" t="inlineStr">
        <is>
          <t>VÄSTERBOTTENS LÄN</t>
        </is>
      </c>
      <c r="G368" t="inlineStr">
        <is>
          <t>BJURHOLM</t>
        </is>
      </c>
      <c r="I368" t="n">
        <v>4.6</v>
      </c>
      <c r="J368" t="n">
        <v>0</v>
      </c>
      <c r="K368" t="n">
        <v>0</v>
      </c>
      <c r="L368" t="n">
        <v>0</v>
      </c>
      <c r="M368" t="n">
        <v>0</v>
      </c>
      <c r="N368" t="n">
        <v>0</v>
      </c>
      <c r="O368" t="n">
        <v>0</v>
      </c>
      <c r="P368" t="n">
        <v>0</v>
      </c>
      <c r="Q368" t="n">
        <v>0</v>
      </c>
      <c r="R368" t="n">
        <v>0</v>
      </c>
      <c r="S368" t="n">
        <v>0</v>
      </c>
      <c r="T368" t="n">
        <v>0</v>
      </c>
      <c r="U368" s="2" t="inlineStr"/>
    </row>
    <row r="369" ht="15" customHeight="1">
      <c r="A369" t="inlineStr">
        <is>
          <t>A 63192-2025</t>
        </is>
      </c>
      <c r="B369" t="inlineStr">
        <is>
          <t>avverkningsanmälan</t>
        </is>
      </c>
      <c r="C369" t="inlineStr">
        <is>
          <t>Föryngringsavverkning</t>
        </is>
      </c>
      <c r="D369" s="1" t="n">
        <v>46010</v>
      </c>
      <c r="E369" s="1" t="n">
        <v>46219</v>
      </c>
      <c r="F369" t="inlineStr">
        <is>
          <t>VÄSTERBOTTENS LÄN</t>
        </is>
      </c>
      <c r="G369" t="inlineStr">
        <is>
          <t>BJURHOLM</t>
        </is>
      </c>
      <c r="I369" t="n">
        <v>6.7</v>
      </c>
      <c r="J369" t="n">
        <v>0</v>
      </c>
      <c r="K369" t="n">
        <v>0</v>
      </c>
      <c r="L369" t="n">
        <v>0</v>
      </c>
      <c r="M369" t="n">
        <v>0</v>
      </c>
      <c r="N369" t="n">
        <v>0</v>
      </c>
      <c r="O369" t="n">
        <v>0</v>
      </c>
      <c r="P369" t="n">
        <v>0</v>
      </c>
      <c r="Q369" t="n">
        <v>0</v>
      </c>
      <c r="R369" t="n">
        <v>0</v>
      </c>
      <c r="S369" t="n">
        <v>0</v>
      </c>
      <c r="T369" t="n">
        <v>0</v>
      </c>
      <c r="U369" s="2" t="inlineStr"/>
    </row>
    <row r="370" ht="15" customHeight="1">
      <c r="A370" t="inlineStr">
        <is>
          <t>A 36809-2025</t>
        </is>
      </c>
      <c r="B370" t="inlineStr">
        <is>
          <t>avverkningsanmälan</t>
        </is>
      </c>
      <c r="C370" t="inlineStr">
        <is>
          <t>Föryngringsavverkning</t>
        </is>
      </c>
      <c r="D370" s="1" t="n">
        <v>45873</v>
      </c>
      <c r="E370" s="1" t="n">
        <v>46219</v>
      </c>
      <c r="F370" t="inlineStr">
        <is>
          <t>VÄSTERBOTTENS LÄN</t>
        </is>
      </c>
      <c r="G370" t="inlineStr">
        <is>
          <t>BJURHOLM</t>
        </is>
      </c>
      <c r="H370" t="inlineStr">
        <is>
          <t>SCA</t>
        </is>
      </c>
      <c r="I370" t="n">
        <v>5.3</v>
      </c>
      <c r="J370" t="n">
        <v>0</v>
      </c>
      <c r="K370" t="n">
        <v>0</v>
      </c>
      <c r="L370" t="n">
        <v>0</v>
      </c>
      <c r="M370" t="n">
        <v>0</v>
      </c>
      <c r="N370" t="n">
        <v>0</v>
      </c>
      <c r="O370" t="n">
        <v>0</v>
      </c>
      <c r="P370" t="n">
        <v>0</v>
      </c>
      <c r="Q370" t="n">
        <v>0</v>
      </c>
      <c r="R370" t="n">
        <v>0</v>
      </c>
      <c r="S370" t="n">
        <v>0</v>
      </c>
      <c r="T370" t="n">
        <v>0</v>
      </c>
      <c r="U370" s="2" t="inlineStr"/>
    </row>
    <row r="371" ht="15" customHeight="1">
      <c r="A371" t="inlineStr">
        <is>
          <t>A 26436-2026</t>
        </is>
      </c>
      <c r="B371" t="inlineStr">
        <is>
          <t>avverkningsanmälan</t>
        </is>
      </c>
      <c r="C371" t="inlineStr">
        <is>
          <t>Föryngringsavverkning</t>
        </is>
      </c>
      <c r="D371" s="1" t="n">
        <v>46183</v>
      </c>
      <c r="E371" s="1" t="n">
        <v>46219</v>
      </c>
      <c r="F371" t="inlineStr">
        <is>
          <t>VÄSTERBOTTENS LÄN</t>
        </is>
      </c>
      <c r="G371" t="inlineStr">
        <is>
          <t>BJURHOLM</t>
        </is>
      </c>
      <c r="H371" t="inlineStr">
        <is>
          <t>Sveaskog</t>
        </is>
      </c>
      <c r="I371" t="n">
        <v>20</v>
      </c>
      <c r="J371" t="n">
        <v>0</v>
      </c>
      <c r="K371" t="n">
        <v>0</v>
      </c>
      <c r="L371" t="n">
        <v>0</v>
      </c>
      <c r="M371" t="n">
        <v>0</v>
      </c>
      <c r="N371" t="n">
        <v>0</v>
      </c>
      <c r="O371" t="n">
        <v>0</v>
      </c>
      <c r="P371" t="n">
        <v>0</v>
      </c>
      <c r="Q371" t="n">
        <v>0</v>
      </c>
      <c r="R371" t="n">
        <v>0</v>
      </c>
      <c r="S371" t="n">
        <v>0</v>
      </c>
      <c r="T371" t="n">
        <v>0</v>
      </c>
      <c r="U371" s="2" t="inlineStr"/>
    </row>
    <row r="372" ht="15" customHeight="1">
      <c r="A372" t="inlineStr">
        <is>
          <t>A 36996-2025</t>
        </is>
      </c>
      <c r="B372" t="inlineStr">
        <is>
          <t>avverkningsanmälan</t>
        </is>
      </c>
      <c r="C372" t="inlineStr">
        <is>
          <t>Föryngringsavverkning</t>
        </is>
      </c>
      <c r="D372" s="1" t="n">
        <v>45874</v>
      </c>
      <c r="E372" s="1" t="n">
        <v>46219</v>
      </c>
      <c r="F372" t="inlineStr">
        <is>
          <t>VÄSTERBOTTENS LÄN</t>
        </is>
      </c>
      <c r="G372" t="inlineStr">
        <is>
          <t>BJURHOLM</t>
        </is>
      </c>
      <c r="H372" t="inlineStr">
        <is>
          <t>SCA</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21009-2026</t>
        </is>
      </c>
      <c r="B373" t="inlineStr">
        <is>
          <t>avverkningsanmälan</t>
        </is>
      </c>
      <c r="C373" t="inlineStr">
        <is>
          <t>Föryngringsavverkning</t>
        </is>
      </c>
      <c r="D373" s="1" t="n">
        <v>46142</v>
      </c>
      <c r="E373" s="1" t="n">
        <v>46219</v>
      </c>
      <c r="F373" t="inlineStr">
        <is>
          <t>VÄSTERBOTTENS LÄN</t>
        </is>
      </c>
      <c r="G373" t="inlineStr">
        <is>
          <t>BJURHOLM</t>
        </is>
      </c>
      <c r="H373" t="inlineStr">
        <is>
          <t>Holmen skog AB</t>
        </is>
      </c>
      <c r="I373" t="n">
        <v>8.699999999999999</v>
      </c>
      <c r="J373" t="n">
        <v>0</v>
      </c>
      <c r="K373" t="n">
        <v>0</v>
      </c>
      <c r="L373" t="n">
        <v>0</v>
      </c>
      <c r="M373" t="n">
        <v>0</v>
      </c>
      <c r="N373" t="n">
        <v>0</v>
      </c>
      <c r="O373" t="n">
        <v>0</v>
      </c>
      <c r="P373" t="n">
        <v>0</v>
      </c>
      <c r="Q373" t="n">
        <v>0</v>
      </c>
      <c r="R373" t="n">
        <v>0</v>
      </c>
      <c r="S373" t="n">
        <v>0</v>
      </c>
      <c r="T373" t="n">
        <v>0</v>
      </c>
      <c r="U373" s="2" t="inlineStr"/>
    </row>
    <row r="374" ht="15" customHeight="1">
      <c r="A374" t="inlineStr">
        <is>
          <t>A 45168-2025</t>
        </is>
      </c>
      <c r="B374" t="inlineStr">
        <is>
          <t>avverkningsanmälan</t>
        </is>
      </c>
      <c r="C374" t="inlineStr">
        <is>
          <t>Föryngringsavverkning</t>
        </is>
      </c>
      <c r="D374" s="1" t="n">
        <v>45919</v>
      </c>
      <c r="E374" s="1" t="n">
        <v>46219</v>
      </c>
      <c r="F374" t="inlineStr">
        <is>
          <t>VÄSTERBOTTENS LÄN</t>
        </is>
      </c>
      <c r="G374" t="inlineStr">
        <is>
          <t>BJURHOLM</t>
        </is>
      </c>
      <c r="I374" t="n">
        <v>18.5</v>
      </c>
      <c r="J374" t="n">
        <v>0</v>
      </c>
      <c r="K374" t="n">
        <v>0</v>
      </c>
      <c r="L374" t="n">
        <v>0</v>
      </c>
      <c r="M374" t="n">
        <v>0</v>
      </c>
      <c r="N374" t="n">
        <v>0</v>
      </c>
      <c r="O374" t="n">
        <v>0</v>
      </c>
      <c r="P374" t="n">
        <v>0</v>
      </c>
      <c r="Q374" t="n">
        <v>0</v>
      </c>
      <c r="R374" t="n">
        <v>0</v>
      </c>
      <c r="S374" t="n">
        <v>0</v>
      </c>
      <c r="T374" t="n">
        <v>0</v>
      </c>
      <c r="U374" s="2" t="inlineStr"/>
    </row>
    <row r="375" ht="15" customHeight="1">
      <c r="A375" t="inlineStr">
        <is>
          <t>A 37007-2025</t>
        </is>
      </c>
      <c r="B375" t="inlineStr">
        <is>
          <t>avverkningsanmälan</t>
        </is>
      </c>
      <c r="C375" t="inlineStr">
        <is>
          <t>Föryngringsavverkning</t>
        </is>
      </c>
      <c r="D375" s="1" t="n">
        <v>45874</v>
      </c>
      <c r="E375" s="1" t="n">
        <v>46219</v>
      </c>
      <c r="F375" t="inlineStr">
        <is>
          <t>VÄSTERBOTTENS LÄN</t>
        </is>
      </c>
      <c r="G375" t="inlineStr">
        <is>
          <t>BJURHOLM</t>
        </is>
      </c>
      <c r="H375" t="inlineStr">
        <is>
          <t>SCA</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37199-2025</t>
        </is>
      </c>
      <c r="B376" t="inlineStr">
        <is>
          <t>avverkningsanmälan</t>
        </is>
      </c>
      <c r="C376" t="inlineStr">
        <is>
          <t>Föryngringsavverkning</t>
        </is>
      </c>
      <c r="D376" s="1" t="n">
        <v>45875</v>
      </c>
      <c r="E376" s="1" t="n">
        <v>46219</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27025-2026</t>
        </is>
      </c>
      <c r="B377" t="inlineStr">
        <is>
          <t>avverkningsanmälan</t>
        </is>
      </c>
      <c r="C377" t="inlineStr">
        <is>
          <t>Föryngringsavverkning</t>
        </is>
      </c>
      <c r="D377" s="1" t="n">
        <v>46185</v>
      </c>
      <c r="E377" s="1" t="n">
        <v>46219</v>
      </c>
      <c r="F377" t="inlineStr">
        <is>
          <t>VÄSTERBOTTENS LÄN</t>
        </is>
      </c>
      <c r="G377" t="inlineStr">
        <is>
          <t>BJURHOLM</t>
        </is>
      </c>
      <c r="H377" t="inlineStr">
        <is>
          <t>Sveaskog</t>
        </is>
      </c>
      <c r="I377" t="n">
        <v>7.5</v>
      </c>
      <c r="J377" t="n">
        <v>0</v>
      </c>
      <c r="K377" t="n">
        <v>0</v>
      </c>
      <c r="L377" t="n">
        <v>0</v>
      </c>
      <c r="M377" t="n">
        <v>0</v>
      </c>
      <c r="N377" t="n">
        <v>0</v>
      </c>
      <c r="O377" t="n">
        <v>0</v>
      </c>
      <c r="P377" t="n">
        <v>0</v>
      </c>
      <c r="Q377" t="n">
        <v>0</v>
      </c>
      <c r="R377" t="n">
        <v>0</v>
      </c>
      <c r="S377" t="n">
        <v>0</v>
      </c>
      <c r="T377" t="n">
        <v>0</v>
      </c>
      <c r="U377" s="2" t="inlineStr"/>
    </row>
    <row r="378" ht="15" customHeight="1">
      <c r="A378" t="inlineStr">
        <is>
          <t>A 38146-2025</t>
        </is>
      </c>
      <c r="B378" t="inlineStr">
        <is>
          <t>avverkningsanmälan</t>
        </is>
      </c>
      <c r="C378" t="inlineStr">
        <is>
          <t>Föryngringsavverkning</t>
        </is>
      </c>
      <c r="D378" s="1" t="n">
        <v>45882</v>
      </c>
      <c r="E378" s="1" t="n">
        <v>46219</v>
      </c>
      <c r="F378" t="inlineStr">
        <is>
          <t>VÄSTERBOTTENS LÄN</t>
        </is>
      </c>
      <c r="G378" t="inlineStr">
        <is>
          <t>BJURHOLM</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27172-2026</t>
        </is>
      </c>
      <c r="B379" t="inlineStr">
        <is>
          <t>avverkningsanmälan</t>
        </is>
      </c>
      <c r="C379" t="inlineStr">
        <is>
          <t>Föryngringsavverkning</t>
        </is>
      </c>
      <c r="D379" s="1" t="n">
        <v>46188</v>
      </c>
      <c r="E379" s="1" t="n">
        <v>46219</v>
      </c>
      <c r="F379" t="inlineStr">
        <is>
          <t>VÄSTERBOTTENS LÄN</t>
        </is>
      </c>
      <c r="G379" t="inlineStr">
        <is>
          <t>BJURHOLM</t>
        </is>
      </c>
      <c r="H379" t="inlineStr">
        <is>
          <t>Sveaskog</t>
        </is>
      </c>
      <c r="I379" t="n">
        <v>7.8</v>
      </c>
      <c r="J379" t="n">
        <v>0</v>
      </c>
      <c r="K379" t="n">
        <v>0</v>
      </c>
      <c r="L379" t="n">
        <v>0</v>
      </c>
      <c r="M379" t="n">
        <v>0</v>
      </c>
      <c r="N379" t="n">
        <v>0</v>
      </c>
      <c r="O379" t="n">
        <v>0</v>
      </c>
      <c r="P379" t="n">
        <v>0</v>
      </c>
      <c r="Q379" t="n">
        <v>0</v>
      </c>
      <c r="R379" t="n">
        <v>0</v>
      </c>
      <c r="S379" t="n">
        <v>0</v>
      </c>
      <c r="T379" t="n">
        <v>0</v>
      </c>
      <c r="U379" s="2" t="inlineStr"/>
    </row>
    <row r="380" ht="15" customHeight="1">
      <c r="A380" t="inlineStr">
        <is>
          <t>A 37826-2025</t>
        </is>
      </c>
      <c r="B380" t="inlineStr">
        <is>
          <t>avverkningsanmälan</t>
        </is>
      </c>
      <c r="C380" t="inlineStr">
        <is>
          <t>Föryngringsavverkning</t>
        </is>
      </c>
      <c r="D380" s="1" t="n">
        <v>45881</v>
      </c>
      <c r="E380" s="1" t="n">
        <v>46219</v>
      </c>
      <c r="F380" t="inlineStr">
        <is>
          <t>VÄSTERBOTTENS LÄN</t>
        </is>
      </c>
      <c r="G380" t="inlineStr">
        <is>
          <t>BJURHOLM</t>
        </is>
      </c>
      <c r="I380" t="n">
        <v>6</v>
      </c>
      <c r="J380" t="n">
        <v>0</v>
      </c>
      <c r="K380" t="n">
        <v>0</v>
      </c>
      <c r="L380" t="n">
        <v>0</v>
      </c>
      <c r="M380" t="n">
        <v>0</v>
      </c>
      <c r="N380" t="n">
        <v>0</v>
      </c>
      <c r="O380" t="n">
        <v>0</v>
      </c>
      <c r="P380" t="n">
        <v>0</v>
      </c>
      <c r="Q380" t="n">
        <v>0</v>
      </c>
      <c r="R380" t="n">
        <v>0</v>
      </c>
      <c r="S380" t="n">
        <v>0</v>
      </c>
      <c r="T380" t="n">
        <v>0</v>
      </c>
      <c r="U380" s="2" t="inlineStr"/>
    </row>
    <row r="381" ht="15" customHeight="1">
      <c r="A381" t="inlineStr">
        <is>
          <t>A 38006-2025</t>
        </is>
      </c>
      <c r="B381" t="inlineStr">
        <is>
          <t>avverkningsanmälan</t>
        </is>
      </c>
      <c r="C381" t="inlineStr">
        <is>
          <t>Föryngringsavverkning</t>
        </is>
      </c>
      <c r="D381" s="1" t="n">
        <v>45882</v>
      </c>
      <c r="E381" s="1" t="n">
        <v>46219</v>
      </c>
      <c r="F381" t="inlineStr">
        <is>
          <t>VÄSTERBOTTENS LÄN</t>
        </is>
      </c>
      <c r="G381" t="inlineStr">
        <is>
          <t>BJURHOLM</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36484-2024</t>
        </is>
      </c>
      <c r="B382" t="inlineStr">
        <is>
          <t>avverkningsanmälan</t>
        </is>
      </c>
      <c r="C382" t="inlineStr">
        <is>
          <t>Föryngringsavverkning</t>
        </is>
      </c>
      <c r="D382" s="1" t="n">
        <v>45537</v>
      </c>
      <c r="E382" s="1" t="n">
        <v>46219</v>
      </c>
      <c r="F382" t="inlineStr">
        <is>
          <t>VÄSTERBOTTENS LÄN</t>
        </is>
      </c>
      <c r="G382" t="inlineStr">
        <is>
          <t>BJURHOLM</t>
        </is>
      </c>
      <c r="I382" t="n">
        <v>11.2</v>
      </c>
      <c r="J382" t="n">
        <v>0</v>
      </c>
      <c r="K382" t="n">
        <v>0</v>
      </c>
      <c r="L382" t="n">
        <v>0</v>
      </c>
      <c r="M382" t="n">
        <v>0</v>
      </c>
      <c r="N382" t="n">
        <v>0</v>
      </c>
      <c r="O382" t="n">
        <v>0</v>
      </c>
      <c r="P382" t="n">
        <v>0</v>
      </c>
      <c r="Q382" t="n">
        <v>0</v>
      </c>
      <c r="R382" t="n">
        <v>0</v>
      </c>
      <c r="S382" t="n">
        <v>0</v>
      </c>
      <c r="T382" t="n">
        <v>0</v>
      </c>
      <c r="U382" s="2" t="inlineStr"/>
    </row>
    <row r="383" ht="15" customHeight="1">
      <c r="A383" t="inlineStr">
        <is>
          <t>A 21010-2026</t>
        </is>
      </c>
      <c r="B383" t="inlineStr">
        <is>
          <t>avverkningsanmälan</t>
        </is>
      </c>
      <c r="C383" t="inlineStr">
        <is>
          <t>Föryngringsavverkning</t>
        </is>
      </c>
      <c r="D383" s="1" t="n">
        <v>46142</v>
      </c>
      <c r="E383" s="1" t="n">
        <v>46219</v>
      </c>
      <c r="F383" t="inlineStr">
        <is>
          <t>VÄSTERBOTTENS LÄN</t>
        </is>
      </c>
      <c r="G383" t="inlineStr">
        <is>
          <t>BJURHOLM</t>
        </is>
      </c>
      <c r="H383" t="inlineStr">
        <is>
          <t>Holmen skog AB</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27022-2026</t>
        </is>
      </c>
      <c r="B384" t="inlineStr">
        <is>
          <t>avverkningsanmälan</t>
        </is>
      </c>
      <c r="C384" t="inlineStr">
        <is>
          <t>Föryngringsavverkning</t>
        </is>
      </c>
      <c r="D384" s="1" t="n">
        <v>46185</v>
      </c>
      <c r="E384" s="1" t="n">
        <v>46219</v>
      </c>
      <c r="F384" t="inlineStr">
        <is>
          <t>VÄSTERBOTTENS LÄN</t>
        </is>
      </c>
      <c r="G384" t="inlineStr">
        <is>
          <t>BJURHOLM</t>
        </is>
      </c>
      <c r="H384" t="inlineStr">
        <is>
          <t>Sveaskog</t>
        </is>
      </c>
      <c r="I384" t="n">
        <v>18.6</v>
      </c>
      <c r="J384" t="n">
        <v>0</v>
      </c>
      <c r="K384" t="n">
        <v>0</v>
      </c>
      <c r="L384" t="n">
        <v>0</v>
      </c>
      <c r="M384" t="n">
        <v>0</v>
      </c>
      <c r="N384" t="n">
        <v>0</v>
      </c>
      <c r="O384" t="n">
        <v>0</v>
      </c>
      <c r="P384" t="n">
        <v>0</v>
      </c>
      <c r="Q384" t="n">
        <v>0</v>
      </c>
      <c r="R384" t="n">
        <v>0</v>
      </c>
      <c r="S384" t="n">
        <v>0</v>
      </c>
      <c r="T384" t="n">
        <v>0</v>
      </c>
      <c r="U384" s="2" t="inlineStr"/>
    </row>
    <row r="385" ht="15" customHeight="1">
      <c r="A385" t="inlineStr">
        <is>
          <t>A 26955-2026</t>
        </is>
      </c>
      <c r="B385" t="inlineStr">
        <is>
          <t>avverkningsanmälan</t>
        </is>
      </c>
      <c r="C385" t="inlineStr">
        <is>
          <t>Föryngringsavverkning</t>
        </is>
      </c>
      <c r="D385" s="1" t="n">
        <v>46185</v>
      </c>
      <c r="E385" s="1" t="n">
        <v>46219</v>
      </c>
      <c r="F385" t="inlineStr">
        <is>
          <t>VÄSTERBOTTENS LÄN</t>
        </is>
      </c>
      <c r="G385" t="inlineStr">
        <is>
          <t>BJURHOLM</t>
        </is>
      </c>
      <c r="H385" t="inlineStr">
        <is>
          <t>Sveaskog</t>
        </is>
      </c>
      <c r="I385" t="n">
        <v>8.199999999999999</v>
      </c>
      <c r="J385" t="n">
        <v>0</v>
      </c>
      <c r="K385" t="n">
        <v>0</v>
      </c>
      <c r="L385" t="n">
        <v>0</v>
      </c>
      <c r="M385" t="n">
        <v>0</v>
      </c>
      <c r="N385" t="n">
        <v>0</v>
      </c>
      <c r="O385" t="n">
        <v>0</v>
      </c>
      <c r="P385" t="n">
        <v>0</v>
      </c>
      <c r="Q385" t="n">
        <v>0</v>
      </c>
      <c r="R385" t="n">
        <v>0</v>
      </c>
      <c r="S385" t="n">
        <v>0</v>
      </c>
      <c r="T385" t="n">
        <v>0</v>
      </c>
      <c r="U385" s="2" t="inlineStr"/>
    </row>
    <row r="386" ht="15" customHeight="1">
      <c r="A386" t="inlineStr">
        <is>
          <t>A 27594-2026</t>
        </is>
      </c>
      <c r="B386" t="inlineStr">
        <is>
          <t>avverkningsanmälan</t>
        </is>
      </c>
      <c r="C386" t="inlineStr">
        <is>
          <t>Föryngringsavverkning</t>
        </is>
      </c>
      <c r="D386" s="1" t="n">
        <v>46190</v>
      </c>
      <c r="E386" s="1" t="n">
        <v>46219</v>
      </c>
      <c r="F386" t="inlineStr">
        <is>
          <t>VÄSTERBOTTENS LÄN</t>
        </is>
      </c>
      <c r="G386" t="inlineStr">
        <is>
          <t>BJURHOLM</t>
        </is>
      </c>
      <c r="I386" t="n">
        <v>4.5</v>
      </c>
      <c r="J386" t="n">
        <v>0</v>
      </c>
      <c r="K386" t="n">
        <v>0</v>
      </c>
      <c r="L386" t="n">
        <v>0</v>
      </c>
      <c r="M386" t="n">
        <v>0</v>
      </c>
      <c r="N386" t="n">
        <v>0</v>
      </c>
      <c r="O386" t="n">
        <v>0</v>
      </c>
      <c r="P386" t="n">
        <v>0</v>
      </c>
      <c r="Q386" t="n">
        <v>0</v>
      </c>
      <c r="R386" t="n">
        <v>0</v>
      </c>
      <c r="S386" t="n">
        <v>0</v>
      </c>
      <c r="T386" t="n">
        <v>0</v>
      </c>
      <c r="U386" s="2" t="inlineStr"/>
    </row>
    <row r="387" ht="15" customHeight="1">
      <c r="A387" t="inlineStr">
        <is>
          <t>A 27592-2026</t>
        </is>
      </c>
      <c r="B387" t="inlineStr">
        <is>
          <t>avverkningsanmälan</t>
        </is>
      </c>
      <c r="C387" t="inlineStr">
        <is>
          <t>Föryngringsavverkning</t>
        </is>
      </c>
      <c r="D387" s="1" t="n">
        <v>46190</v>
      </c>
      <c r="E387" s="1" t="n">
        <v>46219</v>
      </c>
      <c r="F387" t="inlineStr">
        <is>
          <t>VÄSTERBOTTENS LÄN</t>
        </is>
      </c>
      <c r="G387" t="inlineStr">
        <is>
          <t>BJURHOLM</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27757-2026</t>
        </is>
      </c>
      <c r="B388" t="inlineStr">
        <is>
          <t>avverkningsanmälan</t>
        </is>
      </c>
      <c r="C388" t="inlineStr">
        <is>
          <t>Föryngringsavverkning</t>
        </is>
      </c>
      <c r="D388" s="1" t="n">
        <v>46191</v>
      </c>
      <c r="E388" s="1" t="n">
        <v>46219</v>
      </c>
      <c r="F388" t="inlineStr">
        <is>
          <t>VÄSTERBOTTENS LÄN</t>
        </is>
      </c>
      <c r="G388" t="inlineStr">
        <is>
          <t>BJURHOLM</t>
        </is>
      </c>
      <c r="H388" t="inlineStr">
        <is>
          <t>Holmen skog AB</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22091-2026</t>
        </is>
      </c>
      <c r="B389" t="inlineStr">
        <is>
          <t>avverkningsanmälan</t>
        </is>
      </c>
      <c r="C389" t="inlineStr">
        <is>
          <t>Föryngringsavverkning</t>
        </is>
      </c>
      <c r="D389" s="1" t="n">
        <v>46153</v>
      </c>
      <c r="E389" s="1" t="n">
        <v>46219</v>
      </c>
      <c r="F389" t="inlineStr">
        <is>
          <t>VÄSTERBOTTENS LÄN</t>
        </is>
      </c>
      <c r="G389" t="inlineStr">
        <is>
          <t>BJURHOLM</t>
        </is>
      </c>
      <c r="H389" t="inlineStr">
        <is>
          <t>Holmen skog AB</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22109-2026</t>
        </is>
      </c>
      <c r="B390" t="inlineStr">
        <is>
          <t>avverkningsanmälan</t>
        </is>
      </c>
      <c r="C390" t="inlineStr">
        <is>
          <t>Föryngringsavverkning</t>
        </is>
      </c>
      <c r="D390" s="1" t="n">
        <v>46153</v>
      </c>
      <c r="E390" s="1" t="n">
        <v>46219</v>
      </c>
      <c r="F390" t="inlineStr">
        <is>
          <t>VÄSTERBOTTENS LÄN</t>
        </is>
      </c>
      <c r="G390" t="inlineStr">
        <is>
          <t>BJURHOLM</t>
        </is>
      </c>
      <c r="H390" t="inlineStr">
        <is>
          <t>Holmen skog AB</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28053-2026</t>
        </is>
      </c>
      <c r="B391" t="inlineStr">
        <is>
          <t>avverkningsanmälan</t>
        </is>
      </c>
      <c r="C391" t="inlineStr">
        <is>
          <t>Föryngringsavverkning</t>
        </is>
      </c>
      <c r="D391" s="1" t="n">
        <v>46195</v>
      </c>
      <c r="E391" s="1" t="n">
        <v>46219</v>
      </c>
      <c r="F391" t="inlineStr">
        <is>
          <t>VÄSTERBOTTENS LÄN</t>
        </is>
      </c>
      <c r="G391" t="inlineStr">
        <is>
          <t>BJURHOLM</t>
        </is>
      </c>
      <c r="H391" t="inlineStr">
        <is>
          <t>Holmen skog AB</t>
        </is>
      </c>
      <c r="I391" t="n">
        <v>6.8</v>
      </c>
      <c r="J391" t="n">
        <v>0</v>
      </c>
      <c r="K391" t="n">
        <v>0</v>
      </c>
      <c r="L391" t="n">
        <v>0</v>
      </c>
      <c r="M391" t="n">
        <v>0</v>
      </c>
      <c r="N391" t="n">
        <v>0</v>
      </c>
      <c r="O391" t="n">
        <v>0</v>
      </c>
      <c r="P391" t="n">
        <v>0</v>
      </c>
      <c r="Q391" t="n">
        <v>0</v>
      </c>
      <c r="R391" t="n">
        <v>0</v>
      </c>
      <c r="S391" t="n">
        <v>0</v>
      </c>
      <c r="T391" t="n">
        <v>0</v>
      </c>
      <c r="U391" s="2" t="inlineStr"/>
    </row>
    <row r="392" ht="15" customHeight="1">
      <c r="A392" t="inlineStr">
        <is>
          <t>A 28410-2026</t>
        </is>
      </c>
      <c r="B392" t="inlineStr">
        <is>
          <t>avverkningsanmälan</t>
        </is>
      </c>
      <c r="C392" t="inlineStr">
        <is>
          <t>Föryngringsavverkning</t>
        </is>
      </c>
      <c r="D392" s="1" t="n">
        <v>46197</v>
      </c>
      <c r="E392" s="1" t="n">
        <v>46219</v>
      </c>
      <c r="F392" t="inlineStr">
        <is>
          <t>VÄSTERBOTTENS LÄN</t>
        </is>
      </c>
      <c r="G392" t="inlineStr">
        <is>
          <t>BJURHOLM</t>
        </is>
      </c>
      <c r="H392" t="inlineStr">
        <is>
          <t>Holmen skog AB</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28462-2026</t>
        </is>
      </c>
      <c r="B393" t="inlineStr">
        <is>
          <t>avverkningsanmälan</t>
        </is>
      </c>
      <c r="C393" t="inlineStr">
        <is>
          <t>Föryngringsavverkning</t>
        </is>
      </c>
      <c r="D393" s="1" t="n">
        <v>46197</v>
      </c>
      <c r="E393" s="1" t="n">
        <v>46219</v>
      </c>
      <c r="F393" t="inlineStr">
        <is>
          <t>VÄSTERBOTTENS LÄN</t>
        </is>
      </c>
      <c r="G393" t="inlineStr">
        <is>
          <t>BJURHOLM</t>
        </is>
      </c>
      <c r="I393" t="n">
        <v>6.9</v>
      </c>
      <c r="J393" t="n">
        <v>0</v>
      </c>
      <c r="K393" t="n">
        <v>0</v>
      </c>
      <c r="L393" t="n">
        <v>0</v>
      </c>
      <c r="M393" t="n">
        <v>0</v>
      </c>
      <c r="N393" t="n">
        <v>0</v>
      </c>
      <c r="O393" t="n">
        <v>0</v>
      </c>
      <c r="P393" t="n">
        <v>0</v>
      </c>
      <c r="Q393" t="n">
        <v>0</v>
      </c>
      <c r="R393" t="n">
        <v>0</v>
      </c>
      <c r="S393" t="n">
        <v>0</v>
      </c>
      <c r="T393" t="n">
        <v>0</v>
      </c>
      <c r="U393" s="2" t="inlineStr"/>
    </row>
    <row r="394" ht="15" customHeight="1">
      <c r="A394" t="inlineStr">
        <is>
          <t>A 28858-2026</t>
        </is>
      </c>
      <c r="B394" t="inlineStr">
        <is>
          <t>avverkningsanmälan</t>
        </is>
      </c>
      <c r="C394" t="inlineStr">
        <is>
          <t>Föryngringsavverkning</t>
        </is>
      </c>
      <c r="D394" s="1" t="n">
        <v>46198</v>
      </c>
      <c r="E394" s="1" t="n">
        <v>46219</v>
      </c>
      <c r="F394" t="inlineStr">
        <is>
          <t>VÄSTERBOTTENS LÄN</t>
        </is>
      </c>
      <c r="G394" t="inlineStr">
        <is>
          <t>BJURHOLM</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28413-2026</t>
        </is>
      </c>
      <c r="B395" t="inlineStr">
        <is>
          <t>avverkningsanmälan</t>
        </is>
      </c>
      <c r="C395" t="inlineStr">
        <is>
          <t>Föryngringsavverkning</t>
        </is>
      </c>
      <c r="D395" s="1" t="n">
        <v>46197</v>
      </c>
      <c r="E395" s="1" t="n">
        <v>46219</v>
      </c>
      <c r="F395" t="inlineStr">
        <is>
          <t>VÄSTERBOTTENS LÄN</t>
        </is>
      </c>
      <c r="G395" t="inlineStr">
        <is>
          <t>BJURHOLM</t>
        </is>
      </c>
      <c r="H395" t="inlineStr">
        <is>
          <t>SCA</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6658-2022</t>
        </is>
      </c>
      <c r="B396" t="inlineStr">
        <is>
          <t>avverkningsanmälan</t>
        </is>
      </c>
      <c r="C396" t="inlineStr">
        <is>
          <t>Avverkning för annat ändamål</t>
        </is>
      </c>
      <c r="D396" s="1" t="n">
        <v>44602</v>
      </c>
      <c r="E396" s="1" t="n">
        <v>46219</v>
      </c>
      <c r="F396" t="inlineStr">
        <is>
          <t>VÄSTERBOTTENS LÄN</t>
        </is>
      </c>
      <c r="G396" t="inlineStr">
        <is>
          <t>BJURHOLM</t>
        </is>
      </c>
      <c r="H396" t="inlineStr">
        <is>
          <t>Holmen skog AB</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29145-2026</t>
        </is>
      </c>
      <c r="B397" t="inlineStr">
        <is>
          <t>avverkningsanmälan</t>
        </is>
      </c>
      <c r="C397" t="inlineStr">
        <is>
          <t>Föryngringsavverkning</t>
        </is>
      </c>
      <c r="D397" s="1" t="n">
        <v>46202</v>
      </c>
      <c r="E397" s="1" t="n">
        <v>46219</v>
      </c>
      <c r="F397" t="inlineStr">
        <is>
          <t>VÄSTERBOTTENS LÄN</t>
        </is>
      </c>
      <c r="G397" t="inlineStr">
        <is>
          <t>BJURHOLM</t>
        </is>
      </c>
      <c r="H397" t="inlineStr">
        <is>
          <t>Holmen skog AB</t>
        </is>
      </c>
      <c r="I397" t="n">
        <v>0.3</v>
      </c>
      <c r="J397" t="n">
        <v>0</v>
      </c>
      <c r="K397" t="n">
        <v>0</v>
      </c>
      <c r="L397" t="n">
        <v>0</v>
      </c>
      <c r="M397" t="n">
        <v>0</v>
      </c>
      <c r="N397" t="n">
        <v>0</v>
      </c>
      <c r="O397" t="n">
        <v>0</v>
      </c>
      <c r="P397" t="n">
        <v>0</v>
      </c>
      <c r="Q397" t="n">
        <v>0</v>
      </c>
      <c r="R397" t="n">
        <v>0</v>
      </c>
      <c r="S397" t="n">
        <v>0</v>
      </c>
      <c r="T397" t="n">
        <v>0</v>
      </c>
      <c r="U397" s="2" t="inlineStr"/>
    </row>
    <row r="398" ht="15" customHeight="1">
      <c r="A398" t="inlineStr">
        <is>
          <t>A 29170-2026</t>
        </is>
      </c>
      <c r="B398" t="inlineStr">
        <is>
          <t>avverkningsanmälan</t>
        </is>
      </c>
      <c r="C398" t="inlineStr">
        <is>
          <t>Föryngringsavverkning</t>
        </is>
      </c>
      <c r="D398" s="1" t="n">
        <v>46202</v>
      </c>
      <c r="E398" s="1" t="n">
        <v>46219</v>
      </c>
      <c r="F398" t="inlineStr">
        <is>
          <t>VÄSTERBOTTENS LÄN</t>
        </is>
      </c>
      <c r="G398" t="inlineStr">
        <is>
          <t>BJURHOLM</t>
        </is>
      </c>
      <c r="H398" t="inlineStr">
        <is>
          <t>Holmen skog AB</t>
        </is>
      </c>
      <c r="I398" t="n">
        <v>2.4</v>
      </c>
      <c r="J398" t="n">
        <v>0</v>
      </c>
      <c r="K398" t="n">
        <v>0</v>
      </c>
      <c r="L398" t="n">
        <v>0</v>
      </c>
      <c r="M398" t="n">
        <v>0</v>
      </c>
      <c r="N398" t="n">
        <v>0</v>
      </c>
      <c r="O398" t="n">
        <v>0</v>
      </c>
      <c r="P398" t="n">
        <v>0</v>
      </c>
      <c r="Q398" t="n">
        <v>0</v>
      </c>
      <c r="R398" t="n">
        <v>0</v>
      </c>
      <c r="S398" t="n">
        <v>0</v>
      </c>
      <c r="T398" t="n">
        <v>0</v>
      </c>
      <c r="U398" s="2" t="inlineStr"/>
    </row>
    <row r="399" ht="15" customHeight="1">
      <c r="A399" t="inlineStr">
        <is>
          <t>A 29146-2026</t>
        </is>
      </c>
      <c r="B399" t="inlineStr">
        <is>
          <t>avverkningsanmälan</t>
        </is>
      </c>
      <c r="C399" t="inlineStr">
        <is>
          <t>Föryngringsavverkning</t>
        </is>
      </c>
      <c r="D399" s="1" t="n">
        <v>46202</v>
      </c>
      <c r="E399" s="1" t="n">
        <v>46219</v>
      </c>
      <c r="F399" t="inlineStr">
        <is>
          <t>VÄSTERBOTTENS LÄN</t>
        </is>
      </c>
      <c r="G399" t="inlineStr">
        <is>
          <t>BJURHOLM</t>
        </is>
      </c>
      <c r="H399" t="inlineStr">
        <is>
          <t>Holmen skog AB</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29189-2026</t>
        </is>
      </c>
      <c r="B400" t="inlineStr">
        <is>
          <t>avverkningsanmälan</t>
        </is>
      </c>
      <c r="C400" t="inlineStr">
        <is>
          <t>Föryngringsavverkning</t>
        </is>
      </c>
      <c r="D400" s="1" t="n">
        <v>46202</v>
      </c>
      <c r="E400" s="1" t="n">
        <v>46219</v>
      </c>
      <c r="F400" t="inlineStr">
        <is>
          <t>VÄSTERBOTTENS LÄN</t>
        </is>
      </c>
      <c r="G400" t="inlineStr">
        <is>
          <t>BJURHOLM</t>
        </is>
      </c>
      <c r="H400" t="inlineStr">
        <is>
          <t>Holmen skog AB</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S 1541-2022</t>
        </is>
      </c>
      <c r="B401" t="inlineStr">
        <is>
          <t>samrådsanmälan</t>
        </is>
      </c>
      <c r="C401" t="inlineStr">
        <is>
          <t>Skogsgödsling</t>
        </is>
      </c>
      <c r="D401" s="1" t="n">
        <v>44642</v>
      </c>
      <c r="E401" s="1" t="n">
        <v>46219</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s="2" t="inlineStr"/>
    </row>
    <row r="402" ht="15" customHeight="1">
      <c r="A402" t="inlineStr">
        <is>
          <t>S 20-2022</t>
        </is>
      </c>
      <c r="B402" t="inlineStr">
        <is>
          <t>samrådsanmälan</t>
        </is>
      </c>
      <c r="C402" t="inlineStr">
        <is>
          <t>Skogsgödsling</t>
        </is>
      </c>
      <c r="D402" s="1" t="n">
        <v>44559</v>
      </c>
      <c r="E402" s="1" t="n">
        <v>46219</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s="2" t="inlineStr"/>
    </row>
    <row r="403" ht="15" customHeight="1">
      <c r="A403" t="inlineStr">
        <is>
          <t>S 5075-2024</t>
        </is>
      </c>
      <c r="B403" t="inlineStr">
        <is>
          <t>samrådsanmälan</t>
        </is>
      </c>
      <c r="C403" t="inlineStr">
        <is>
          <t>Annan skogsbruksåtgärd</t>
        </is>
      </c>
      <c r="D403" s="1" t="n">
        <v>45638</v>
      </c>
      <c r="E403" s="1" t="n">
        <v>46219</v>
      </c>
      <c r="F403" t="inlineStr">
        <is>
          <t>VÄSTERBOTTENS LÄN</t>
        </is>
      </c>
      <c r="G403" t="inlineStr">
        <is>
          <t>BJURHOLM</t>
        </is>
      </c>
      <c r="H403" t="inlineStr">
        <is>
          <t>SCA</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S 1118-2024</t>
        </is>
      </c>
      <c r="B404" t="inlineStr">
        <is>
          <t>samrådsanmälan</t>
        </is>
      </c>
      <c r="C404" t="inlineStr">
        <is>
          <t>Annan skogsbruksåtgärd</t>
        </is>
      </c>
      <c r="D404" s="1" t="n">
        <v>45393</v>
      </c>
      <c r="E404" s="1" t="n">
        <v>46219</v>
      </c>
      <c r="F404" t="inlineStr">
        <is>
          <t>VÄSTERBOTTENS LÄN</t>
        </is>
      </c>
      <c r="G404" t="inlineStr">
        <is>
          <t>BJURHOLM</t>
        </is>
      </c>
      <c r="H404" t="inlineStr">
        <is>
          <t>SCA</t>
        </is>
      </c>
      <c r="I404" t="n">
        <v>5.3</v>
      </c>
      <c r="J404" t="n">
        <v>0</v>
      </c>
      <c r="K404" t="n">
        <v>0</v>
      </c>
      <c r="L404" t="n">
        <v>0</v>
      </c>
      <c r="M404" t="n">
        <v>0</v>
      </c>
      <c r="N404" t="n">
        <v>0</v>
      </c>
      <c r="O404" t="n">
        <v>0</v>
      </c>
      <c r="P404" t="n">
        <v>0</v>
      </c>
      <c r="Q404" t="n">
        <v>0</v>
      </c>
      <c r="R404" t="n">
        <v>0</v>
      </c>
      <c r="S404" t="n">
        <v>0</v>
      </c>
      <c r="T404" t="n">
        <v>0</v>
      </c>
      <c r="U404" s="2" t="inlineStr"/>
    </row>
    <row r="405" ht="15" customHeight="1">
      <c r="A405" t="inlineStr">
        <is>
          <t>S 1122-2024</t>
        </is>
      </c>
      <c r="B405" t="inlineStr">
        <is>
          <t>samrådsanmälan</t>
        </is>
      </c>
      <c r="C405" t="inlineStr">
        <is>
          <t>Annan skogsbruksåtgärd</t>
        </is>
      </c>
      <c r="D405" s="1" t="n">
        <v>45393</v>
      </c>
      <c r="E405" s="1" t="n">
        <v>46219</v>
      </c>
      <c r="F405" t="inlineStr">
        <is>
          <t>VÄSTERBOTTENS LÄN</t>
        </is>
      </c>
      <c r="G405" t="inlineStr">
        <is>
          <t>BJURHOLM</t>
        </is>
      </c>
      <c r="H405" t="inlineStr">
        <is>
          <t>SCA</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S 4196-2023</t>
        </is>
      </c>
      <c r="B406" t="inlineStr">
        <is>
          <t>samrådsanmälan</t>
        </is>
      </c>
      <c r="C406" t="inlineStr">
        <is>
          <t>Skogsgödsling</t>
        </is>
      </c>
      <c r="D406" s="1" t="n">
        <v>45250</v>
      </c>
      <c r="E406" s="1" t="n">
        <v>46219</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s="2" t="inlineStr"/>
    </row>
    <row r="407" ht="15" customHeight="1">
      <c r="A407" t="inlineStr">
        <is>
          <t>S 1196-2025</t>
        </is>
      </c>
      <c r="B407" t="inlineStr">
        <is>
          <t>samrådsanmälan</t>
        </is>
      </c>
      <c r="C407" t="inlineStr">
        <is>
          <t>Annan skogsbruksåtgärd</t>
        </is>
      </c>
      <c r="D407" s="1" t="n">
        <v>45756</v>
      </c>
      <c r="E407" s="1" t="n">
        <v>46219</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s="2" t="inlineStr"/>
    </row>
    <row r="408" ht="15" customHeight="1">
      <c r="A408" t="inlineStr">
        <is>
          <t>S 3066-2025</t>
        </is>
      </c>
      <c r="B408" t="inlineStr">
        <is>
          <t>samrådsanmälan</t>
        </is>
      </c>
      <c r="C408" t="inlineStr">
        <is>
          <t>Annan skogsbruksåtgärd</t>
        </is>
      </c>
      <c r="D408" s="1" t="n">
        <v>45964</v>
      </c>
      <c r="E408" s="1" t="n">
        <v>46219</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S 1169-2026</t>
        </is>
      </c>
      <c r="B409" t="inlineStr">
        <is>
          <t>samrådsanmälan</t>
        </is>
      </c>
      <c r="C409" t="inlineStr">
        <is>
          <t>Skogsgödsling</t>
        </is>
      </c>
      <c r="D409" s="1" t="n">
        <v>46135</v>
      </c>
      <c r="E409" s="1" t="n">
        <v>46219</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s="2" t="inlineStr"/>
    </row>
    <row r="410">
      <c r="A410" t="inlineStr">
        <is>
          <t>S 1349-2026</t>
        </is>
      </c>
      <c r="B410" t="inlineStr">
        <is>
          <t>samrådsanmälan</t>
        </is>
      </c>
      <c r="C410" t="inlineStr">
        <is>
          <t>Skogsgödsling</t>
        </is>
      </c>
      <c r="D410" s="1" t="n">
        <v>46150</v>
      </c>
      <c r="E410" s="1" t="n">
        <v>46219</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2026-07-16T01:28:16Z</dcterms:created>
  <dcterms:modified xmlns:dcterms="http://purl.org/dc/terms/" xmlns:xsi="http://www.w3.org/2001/XMLSchema-instance" xsi:type="dcterms:W3CDTF">2026-07-16T01:28:16Z</dcterms:modified>
</cp:coreProperties>
</file>