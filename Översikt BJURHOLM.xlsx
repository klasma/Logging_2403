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46088</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46088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46088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46088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46088</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46088</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46088</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46088</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46088</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46088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46088</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46088</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46088</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46088</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46088</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46088</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46088</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46088</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46088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46088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46088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46088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46088</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46088</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46088</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46088</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46088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46088</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46088</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44079-2025</t>
        </is>
      </c>
      <c r="B44" s="1" t="n">
        <v>45915.55253472222</v>
      </c>
      <c r="C44" s="1" t="n">
        <v>46088</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46088</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46088</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46088</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9747-2026</t>
        </is>
      </c>
      <c r="B48" s="1" t="n">
        <v>46072.52524305556</v>
      </c>
      <c r="C48" s="1" t="n">
        <v>46088</v>
      </c>
      <c r="D48" t="inlineStr">
        <is>
          <t>VÄSTERBOTTENS LÄN</t>
        </is>
      </c>
      <c r="E48" t="inlineStr">
        <is>
          <t>BJURHOLM</t>
        </is>
      </c>
      <c r="G48" t="n">
        <v>5.7</v>
      </c>
      <c r="H48" t="n">
        <v>1</v>
      </c>
      <c r="I48" t="n">
        <v>0</v>
      </c>
      <c r="J48" t="n">
        <v>0</v>
      </c>
      <c r="K48" t="n">
        <v>1</v>
      </c>
      <c r="L48" t="n">
        <v>0</v>
      </c>
      <c r="M48" t="n">
        <v>0</v>
      </c>
      <c r="N48" t="n">
        <v>0</v>
      </c>
      <c r="O48" t="n">
        <v>1</v>
      </c>
      <c r="P48" t="n">
        <v>1</v>
      </c>
      <c r="Q48" t="n">
        <v>1</v>
      </c>
      <c r="R48" s="2" t="inlineStr">
        <is>
          <t>Bombmurkla</t>
        </is>
      </c>
      <c r="S48">
        <f>HYPERLINK("https://klasma.github.io/Logging_2403/artfynd/A 9747-2026 artfynd.xlsx", "A 9747-2026")</f>
        <v/>
      </c>
      <c r="T48">
        <f>HYPERLINK("https://klasma.github.io/Logging_2403/kartor/A 9747-2026 karta.png", "A 9747-2026")</f>
        <v/>
      </c>
      <c r="V48">
        <f>HYPERLINK("https://klasma.github.io/Logging_2403/klagomål/A 9747-2026 FSC-klagomål.docx", "A 9747-2026")</f>
        <v/>
      </c>
      <c r="W48">
        <f>HYPERLINK("https://klasma.github.io/Logging_2403/klagomålsmail/A 9747-2026 FSC-klagomål mail.docx", "A 9747-2026")</f>
        <v/>
      </c>
      <c r="X48">
        <f>HYPERLINK("https://klasma.github.io/Logging_2403/tillsyn/A 9747-2026 tillsynsbegäran.docx", "A 9747-2026")</f>
        <v/>
      </c>
      <c r="Y48">
        <f>HYPERLINK("https://klasma.github.io/Logging_2403/tillsynsmail/A 9747-2026 tillsynsbegäran mail.docx", "A 9747-2026")</f>
        <v/>
      </c>
    </row>
    <row r="49" ht="15" customHeight="1">
      <c r="A49" t="inlineStr">
        <is>
          <t>A 56442-2025</t>
        </is>
      </c>
      <c r="B49" s="1" t="n">
        <v>45975.34778935185</v>
      </c>
      <c r="C49" s="1" t="n">
        <v>46088</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46088</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61521-2025</t>
        </is>
      </c>
      <c r="B51" s="1" t="n">
        <v>46001.68668981481</v>
      </c>
      <c r="C51" s="1" t="n">
        <v>46088</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15557-2025</t>
        </is>
      </c>
      <c r="B52" s="1" t="n">
        <v>45747.68127314815</v>
      </c>
      <c r="C52" s="1" t="n">
        <v>46088</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63528-2025</t>
        </is>
      </c>
      <c r="B53" s="1" t="n">
        <v>46013.56092592593</v>
      </c>
      <c r="C53" s="1" t="n">
        <v>46088</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16145-2022</t>
        </is>
      </c>
      <c r="B54" s="1" t="n">
        <v>44665</v>
      </c>
      <c r="C54" s="1" t="n">
        <v>46088</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21386-2024</t>
        </is>
      </c>
      <c r="B55" s="1" t="n">
        <v>45440</v>
      </c>
      <c r="C55" s="1" t="n">
        <v>46088</v>
      </c>
      <c r="D55" t="inlineStr">
        <is>
          <t>VÄSTERBOTTENS LÄN</t>
        </is>
      </c>
      <c r="E55" t="inlineStr">
        <is>
          <t>BJURHOLM</t>
        </is>
      </c>
      <c r="F55" t="inlineStr">
        <is>
          <t>SCA</t>
        </is>
      </c>
      <c r="G55" t="n">
        <v>1.2</v>
      </c>
      <c r="H55" t="n">
        <v>0</v>
      </c>
      <c r="I55" t="n">
        <v>0</v>
      </c>
      <c r="J55" t="n">
        <v>1</v>
      </c>
      <c r="K55" t="n">
        <v>0</v>
      </c>
      <c r="L55" t="n">
        <v>0</v>
      </c>
      <c r="M55" t="n">
        <v>0</v>
      </c>
      <c r="N55" t="n">
        <v>0</v>
      </c>
      <c r="O55" t="n">
        <v>1</v>
      </c>
      <c r="P55" t="n">
        <v>0</v>
      </c>
      <c r="Q55" t="n">
        <v>1</v>
      </c>
      <c r="R55" s="2" t="inlineStr">
        <is>
          <t>Ullticka</t>
        </is>
      </c>
      <c r="S55">
        <f>HYPERLINK("https://klasma.github.io/Logging_2403/artfynd/A 21386-2024 artfynd.xlsx", "A 21386-2024")</f>
        <v/>
      </c>
      <c r="T55">
        <f>HYPERLINK("https://klasma.github.io/Logging_2403/kartor/A 21386-2024 karta.png", "A 21386-2024")</f>
        <v/>
      </c>
      <c r="V55">
        <f>HYPERLINK("https://klasma.github.io/Logging_2403/klagomål/A 21386-2024 FSC-klagomål.docx", "A 21386-2024")</f>
        <v/>
      </c>
      <c r="W55">
        <f>HYPERLINK("https://klasma.github.io/Logging_2403/klagomålsmail/A 21386-2024 FSC-klagomål mail.docx", "A 21386-2024")</f>
        <v/>
      </c>
      <c r="X55">
        <f>HYPERLINK("https://klasma.github.io/Logging_2403/tillsyn/A 21386-2024 tillsynsbegäran.docx", "A 21386-2024")</f>
        <v/>
      </c>
      <c r="Y55">
        <f>HYPERLINK("https://klasma.github.io/Logging_2403/tillsynsmail/A 21386-2024 tillsynsbegäran mail.docx", "A 21386-2024")</f>
        <v/>
      </c>
    </row>
    <row r="56" ht="15" customHeight="1">
      <c r="A56" t="inlineStr">
        <is>
          <t>A 57865-2021</t>
        </is>
      </c>
      <c r="B56" s="1" t="n">
        <v>44484</v>
      </c>
      <c r="C56" s="1" t="n">
        <v>46088</v>
      </c>
      <c r="D56" t="inlineStr">
        <is>
          <t>VÄSTERBOTTENS LÄN</t>
        </is>
      </c>
      <c r="E56" t="inlineStr">
        <is>
          <t>BJURHOLM</t>
        </is>
      </c>
      <c r="F56" t="inlineStr">
        <is>
          <t>SCA</t>
        </is>
      </c>
      <c r="G56" t="n">
        <v>2.6</v>
      </c>
      <c r="H56" t="n">
        <v>0</v>
      </c>
      <c r="I56" t="n">
        <v>1</v>
      </c>
      <c r="J56" t="n">
        <v>0</v>
      </c>
      <c r="K56" t="n">
        <v>0</v>
      </c>
      <c r="L56" t="n">
        <v>0</v>
      </c>
      <c r="M56" t="n">
        <v>0</v>
      </c>
      <c r="N56" t="n">
        <v>0</v>
      </c>
      <c r="O56" t="n">
        <v>0</v>
      </c>
      <c r="P56" t="n">
        <v>0</v>
      </c>
      <c r="Q56" t="n">
        <v>1</v>
      </c>
      <c r="R56" s="2" t="inlineStr">
        <is>
          <t>Stor aspticka</t>
        </is>
      </c>
      <c r="S56">
        <f>HYPERLINK("https://klasma.github.io/Logging_2403/artfynd/A 57865-2021 artfynd.xlsx", "A 57865-2021")</f>
        <v/>
      </c>
      <c r="T56">
        <f>HYPERLINK("https://klasma.github.io/Logging_2403/kartor/A 57865-2021 karta.png", "A 57865-2021")</f>
        <v/>
      </c>
      <c r="V56">
        <f>HYPERLINK("https://klasma.github.io/Logging_2403/klagomål/A 57865-2021 FSC-klagomål.docx", "A 57865-2021")</f>
        <v/>
      </c>
      <c r="W56">
        <f>HYPERLINK("https://klasma.github.io/Logging_2403/klagomålsmail/A 57865-2021 FSC-klagomål mail.docx", "A 57865-2021")</f>
        <v/>
      </c>
      <c r="X56">
        <f>HYPERLINK("https://klasma.github.io/Logging_2403/tillsyn/A 57865-2021 tillsynsbegäran.docx", "A 57865-2021")</f>
        <v/>
      </c>
      <c r="Y56">
        <f>HYPERLINK("https://klasma.github.io/Logging_2403/tillsynsmail/A 57865-2021 tillsynsbegäran mail.docx", "A 57865-2021")</f>
        <v/>
      </c>
    </row>
    <row r="57" ht="15" customHeight="1">
      <c r="A57" t="inlineStr">
        <is>
          <t>A 32506-2024</t>
        </is>
      </c>
      <c r="B57" s="1" t="n">
        <v>45513</v>
      </c>
      <c r="C57" s="1" t="n">
        <v>46088</v>
      </c>
      <c r="D57" t="inlineStr">
        <is>
          <t>VÄSTERBOTTENS LÄN</t>
        </is>
      </c>
      <c r="E57" t="inlineStr">
        <is>
          <t>BJURHOLM</t>
        </is>
      </c>
      <c r="G57" t="n">
        <v>3.5</v>
      </c>
      <c r="H57" t="n">
        <v>1</v>
      </c>
      <c r="I57" t="n">
        <v>0</v>
      </c>
      <c r="J57" t="n">
        <v>1</v>
      </c>
      <c r="K57" t="n">
        <v>0</v>
      </c>
      <c r="L57" t="n">
        <v>0</v>
      </c>
      <c r="M57" t="n">
        <v>0</v>
      </c>
      <c r="N57" t="n">
        <v>0</v>
      </c>
      <c r="O57" t="n">
        <v>1</v>
      </c>
      <c r="P57" t="n">
        <v>0</v>
      </c>
      <c r="Q57" t="n">
        <v>1</v>
      </c>
      <c r="R57" s="2" t="inlineStr">
        <is>
          <t>Tretåig hackspett</t>
        </is>
      </c>
      <c r="S57">
        <f>HYPERLINK("https://klasma.github.io/Logging_2403/artfynd/A 32506-2024 artfynd.xlsx", "A 32506-2024")</f>
        <v/>
      </c>
      <c r="T57">
        <f>HYPERLINK("https://klasma.github.io/Logging_2403/kartor/A 32506-2024 karta.png", "A 32506-2024")</f>
        <v/>
      </c>
      <c r="V57">
        <f>HYPERLINK("https://klasma.github.io/Logging_2403/klagomål/A 32506-2024 FSC-klagomål.docx", "A 32506-2024")</f>
        <v/>
      </c>
      <c r="W57">
        <f>HYPERLINK("https://klasma.github.io/Logging_2403/klagomålsmail/A 32506-2024 FSC-klagomål mail.docx", "A 32506-2024")</f>
        <v/>
      </c>
      <c r="X57">
        <f>HYPERLINK("https://klasma.github.io/Logging_2403/tillsyn/A 32506-2024 tillsynsbegäran.docx", "A 32506-2024")</f>
        <v/>
      </c>
      <c r="Y57">
        <f>HYPERLINK("https://klasma.github.io/Logging_2403/tillsynsmail/A 32506-2024 tillsynsbegäran mail.docx", "A 32506-2024")</f>
        <v/>
      </c>
      <c r="Z57">
        <f>HYPERLINK("https://klasma.github.io/Logging_2403/fåglar/A 32506-2024 prioriterade fågelarter.docx", "A 32506-2024")</f>
        <v/>
      </c>
    </row>
    <row r="58" ht="15" customHeight="1">
      <c r="A58" t="inlineStr">
        <is>
          <t>A 14540-2021</t>
        </is>
      </c>
      <c r="B58" s="1" t="n">
        <v>44279</v>
      </c>
      <c r="C58" s="1" t="n">
        <v>46088</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46088</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46088</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46088</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46088</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46088</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46088</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46088</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46088</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46088</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46088</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46088</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46088</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46088</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46088</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46088</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46088</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46088</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46088</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46088</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46088</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46088</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46088</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46088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46088</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46088</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46088</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46088</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46088</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46088</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46088</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46088</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46088</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46088</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46088</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46088</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46088</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46088</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46088</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46088</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46088</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46088</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46088</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46088</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46088</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46088</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46088</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46088</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46088</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46088</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46088</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46088</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46088</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46088</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46088</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46088</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46088</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46088</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23205-2024</t>
        </is>
      </c>
      <c r="B116" s="1" t="n">
        <v>45451</v>
      </c>
      <c r="C116" s="1" t="n">
        <v>46088</v>
      </c>
      <c r="D116" t="inlineStr">
        <is>
          <t>VÄSTERBOTTENS LÄN</t>
        </is>
      </c>
      <c r="E116" t="inlineStr">
        <is>
          <t>BJURHOLM</t>
        </is>
      </c>
      <c r="F116" t="inlineStr">
        <is>
          <t>SCA</t>
        </is>
      </c>
      <c r="G116" t="n">
        <v>3.7</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46088</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42004-2022</t>
        </is>
      </c>
      <c r="B118" s="1" t="n">
        <v>44827</v>
      </c>
      <c r="C118" s="1" t="n">
        <v>46088</v>
      </c>
      <c r="D118" t="inlineStr">
        <is>
          <t>VÄSTERBOTTENS LÄN</t>
        </is>
      </c>
      <c r="E118" t="inlineStr">
        <is>
          <t>BJURHOLM</t>
        </is>
      </c>
      <c r="G118" t="n">
        <v>5.9</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46088</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7418-2024</t>
        </is>
      </c>
      <c r="B120" s="1" t="n">
        <v>45345</v>
      </c>
      <c r="C120" s="1" t="n">
        <v>46088</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57886-2023</t>
        </is>
      </c>
      <c r="B121" s="1" t="n">
        <v>45247.47538194444</v>
      </c>
      <c r="C121" s="1" t="n">
        <v>46088</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47499-2024</t>
        </is>
      </c>
      <c r="B122" s="1" t="n">
        <v>45587.59827546297</v>
      </c>
      <c r="C122" s="1" t="n">
        <v>46088</v>
      </c>
      <c r="D122" t="inlineStr">
        <is>
          <t>VÄSTERBOTTENS LÄN</t>
        </is>
      </c>
      <c r="E122" t="inlineStr">
        <is>
          <t>BJURHOLM</t>
        </is>
      </c>
      <c r="G122" t="n">
        <v>4.3</v>
      </c>
      <c r="H122" t="n">
        <v>0</v>
      </c>
      <c r="I122" t="n">
        <v>0</v>
      </c>
      <c r="J122" t="n">
        <v>0</v>
      </c>
      <c r="K122" t="n">
        <v>0</v>
      </c>
      <c r="L122" t="n">
        <v>0</v>
      </c>
      <c r="M122" t="n">
        <v>0</v>
      </c>
      <c r="N122" t="n">
        <v>0</v>
      </c>
      <c r="O122" t="n">
        <v>0</v>
      </c>
      <c r="P122" t="n">
        <v>0</v>
      </c>
      <c r="Q122" t="n">
        <v>0</v>
      </c>
      <c r="R122" s="2" t="inlineStr"/>
    </row>
    <row r="123" ht="15" customHeight="1">
      <c r="A123" t="inlineStr">
        <is>
          <t>A 62082-2022</t>
        </is>
      </c>
      <c r="B123" s="1" t="n">
        <v>44918</v>
      </c>
      <c r="C123" s="1" t="n">
        <v>46088</v>
      </c>
      <c r="D123" t="inlineStr">
        <is>
          <t>VÄSTERBOTTENS LÄN</t>
        </is>
      </c>
      <c r="E123" t="inlineStr">
        <is>
          <t>BJURHOLM</t>
        </is>
      </c>
      <c r="F123" t="inlineStr">
        <is>
          <t>SCA</t>
        </is>
      </c>
      <c r="G123" t="n">
        <v>3.8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46088</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46088</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6533-2026</t>
        </is>
      </c>
      <c r="B126" s="1" t="n">
        <v>46056.41567129629</v>
      </c>
      <c r="C126" s="1" t="n">
        <v>46088</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6540-2026</t>
        </is>
      </c>
      <c r="B127" s="1" t="n">
        <v>46056.42645833334</v>
      </c>
      <c r="C127" s="1" t="n">
        <v>46088</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29095-2024</t>
        </is>
      </c>
      <c r="B128" s="1" t="n">
        <v>45481</v>
      </c>
      <c r="C128" s="1" t="n">
        <v>46088</v>
      </c>
      <c r="D128" t="inlineStr">
        <is>
          <t>VÄSTERBOTTENS LÄN</t>
        </is>
      </c>
      <c r="E128" t="inlineStr">
        <is>
          <t>BJURHOLM</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6610-2026</t>
        </is>
      </c>
      <c r="B129" s="1" t="n">
        <v>46056.48768518519</v>
      </c>
      <c r="C129" s="1" t="n">
        <v>46088</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44629-2023</t>
        </is>
      </c>
      <c r="B130" s="1" t="n">
        <v>45189</v>
      </c>
      <c r="C130" s="1" t="n">
        <v>46088</v>
      </c>
      <c r="D130" t="inlineStr">
        <is>
          <t>VÄSTERBOTTENS LÄN</t>
        </is>
      </c>
      <c r="E130" t="inlineStr">
        <is>
          <t>BJURHOLM</t>
        </is>
      </c>
      <c r="G130" t="n">
        <v>15.6</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46088</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35614-2024</t>
        </is>
      </c>
      <c r="B132" s="1" t="n">
        <v>45531.69734953704</v>
      </c>
      <c r="C132" s="1" t="n">
        <v>46088</v>
      </c>
      <c r="D132" t="inlineStr">
        <is>
          <t>VÄSTERBOTTENS LÄN</t>
        </is>
      </c>
      <c r="E132" t="inlineStr">
        <is>
          <t>BJURHOLM</t>
        </is>
      </c>
      <c r="G132" t="n">
        <v>6</v>
      </c>
      <c r="H132" t="n">
        <v>0</v>
      </c>
      <c r="I132" t="n">
        <v>0</v>
      </c>
      <c r="J132" t="n">
        <v>0</v>
      </c>
      <c r="K132" t="n">
        <v>0</v>
      </c>
      <c r="L132" t="n">
        <v>0</v>
      </c>
      <c r="M132" t="n">
        <v>0</v>
      </c>
      <c r="N132" t="n">
        <v>0</v>
      </c>
      <c r="O132" t="n">
        <v>0</v>
      </c>
      <c r="P132" t="n">
        <v>0</v>
      </c>
      <c r="Q132" t="n">
        <v>0</v>
      </c>
      <c r="R132" s="2" t="inlineStr"/>
    </row>
    <row r="133" ht="15" customHeight="1">
      <c r="A133" t="inlineStr">
        <is>
          <t>A 38818-2025</t>
        </is>
      </c>
      <c r="B133" s="1" t="n">
        <v>45887.49842592593</v>
      </c>
      <c r="C133" s="1" t="n">
        <v>46088</v>
      </c>
      <c r="D133" t="inlineStr">
        <is>
          <t>VÄSTERBOTTENS LÄN</t>
        </is>
      </c>
      <c r="E133" t="inlineStr">
        <is>
          <t>BJURHOLM</t>
        </is>
      </c>
      <c r="G133" t="n">
        <v>2.8</v>
      </c>
      <c r="H133" t="n">
        <v>0</v>
      </c>
      <c r="I133" t="n">
        <v>0</v>
      </c>
      <c r="J133" t="n">
        <v>0</v>
      </c>
      <c r="K133" t="n">
        <v>0</v>
      </c>
      <c r="L133" t="n">
        <v>0</v>
      </c>
      <c r="M133" t="n">
        <v>0</v>
      </c>
      <c r="N133" t="n">
        <v>0</v>
      </c>
      <c r="O133" t="n">
        <v>0</v>
      </c>
      <c r="P133" t="n">
        <v>0</v>
      </c>
      <c r="Q133" t="n">
        <v>0</v>
      </c>
      <c r="R133" s="2" t="inlineStr"/>
    </row>
    <row r="134" ht="15" customHeight="1">
      <c r="A134" t="inlineStr">
        <is>
          <t>A 44274-2023</t>
        </is>
      </c>
      <c r="B134" s="1" t="n">
        <v>45188.61318287037</v>
      </c>
      <c r="C134" s="1" t="n">
        <v>46088</v>
      </c>
      <c r="D134" t="inlineStr">
        <is>
          <t>VÄSTERBOTTENS LÄN</t>
        </is>
      </c>
      <c r="E134" t="inlineStr">
        <is>
          <t>BJURHOLM</t>
        </is>
      </c>
      <c r="F134" t="inlineStr">
        <is>
          <t>Holmen skog AB</t>
        </is>
      </c>
      <c r="G134" t="n">
        <v>6.6</v>
      </c>
      <c r="H134" t="n">
        <v>0</v>
      </c>
      <c r="I134" t="n">
        <v>0</v>
      </c>
      <c r="J134" t="n">
        <v>0</v>
      </c>
      <c r="K134" t="n">
        <v>0</v>
      </c>
      <c r="L134" t="n">
        <v>0</v>
      </c>
      <c r="M134" t="n">
        <v>0</v>
      </c>
      <c r="N134" t="n">
        <v>0</v>
      </c>
      <c r="O134" t="n">
        <v>0</v>
      </c>
      <c r="P134" t="n">
        <v>0</v>
      </c>
      <c r="Q134" t="n">
        <v>0</v>
      </c>
      <c r="R134" s="2" t="inlineStr"/>
    </row>
    <row r="135" ht="15" customHeight="1">
      <c r="A135" t="inlineStr">
        <is>
          <t>A 32131-2025</t>
        </is>
      </c>
      <c r="B135" s="1" t="n">
        <v>45835.50796296296</v>
      </c>
      <c r="C135" s="1" t="n">
        <v>46088</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39267-2025</t>
        </is>
      </c>
      <c r="B136" s="1" t="n">
        <v>45889.37619212963</v>
      </c>
      <c r="C136" s="1" t="n">
        <v>46088</v>
      </c>
      <c r="D136" t="inlineStr">
        <is>
          <t>VÄSTERBOTTENS LÄN</t>
        </is>
      </c>
      <c r="E136" t="inlineStr">
        <is>
          <t>BJURHOLM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35249-2023</t>
        </is>
      </c>
      <c r="B137" s="1" t="n">
        <v>45145.92299768519</v>
      </c>
      <c r="C137" s="1" t="n">
        <v>46088</v>
      </c>
      <c r="D137" t="inlineStr">
        <is>
          <t>VÄSTERBOTTENS LÄN</t>
        </is>
      </c>
      <c r="E137" t="inlineStr">
        <is>
          <t>BJURHOLM</t>
        </is>
      </c>
      <c r="G137" t="n">
        <v>0.9</v>
      </c>
      <c r="H137" t="n">
        <v>0</v>
      </c>
      <c r="I137" t="n">
        <v>0</v>
      </c>
      <c r="J137" t="n">
        <v>0</v>
      </c>
      <c r="K137" t="n">
        <v>0</v>
      </c>
      <c r="L137" t="n">
        <v>0</v>
      </c>
      <c r="M137" t="n">
        <v>0</v>
      </c>
      <c r="N137" t="n">
        <v>0</v>
      </c>
      <c r="O137" t="n">
        <v>0</v>
      </c>
      <c r="P137" t="n">
        <v>0</v>
      </c>
      <c r="Q137" t="n">
        <v>0</v>
      </c>
      <c r="R137" s="2" t="inlineStr"/>
    </row>
    <row r="138" ht="15" customHeight="1">
      <c r="A138" t="inlineStr">
        <is>
          <t>A 35251-2023</t>
        </is>
      </c>
      <c r="B138" s="1" t="n">
        <v>45145.92325231482</v>
      </c>
      <c r="C138" s="1" t="n">
        <v>46088</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46088</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39252-2025</t>
        </is>
      </c>
      <c r="B140" s="1" t="n">
        <v>45889.36288194444</v>
      </c>
      <c r="C140" s="1" t="n">
        <v>46088</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46088</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46088</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46088</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39255-2025</t>
        </is>
      </c>
      <c r="B144" s="1" t="n">
        <v>45889.36472222222</v>
      </c>
      <c r="C144" s="1" t="n">
        <v>46088</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46088</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25405-2025</t>
        </is>
      </c>
      <c r="B146" s="1" t="n">
        <v>45800.65744212963</v>
      </c>
      <c r="C146" s="1" t="n">
        <v>46088</v>
      </c>
      <c r="D146" t="inlineStr">
        <is>
          <t>VÄSTERBOTTENS LÄN</t>
        </is>
      </c>
      <c r="E146" t="inlineStr">
        <is>
          <t>BJURHOLM</t>
        </is>
      </c>
      <c r="G146" t="n">
        <v>3.6</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46088</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46088</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39491-2025</t>
        </is>
      </c>
      <c r="B149" s="1" t="n">
        <v>45890.37449074074</v>
      </c>
      <c r="C149" s="1" t="n">
        <v>46088</v>
      </c>
      <c r="D149" t="inlineStr">
        <is>
          <t>VÄSTERBOTTENS LÄN</t>
        </is>
      </c>
      <c r="E149" t="inlineStr">
        <is>
          <t>BJURHOLM</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58489-2023</t>
        </is>
      </c>
      <c r="B150" s="1" t="n">
        <v>45251.33342592593</v>
      </c>
      <c r="C150" s="1" t="n">
        <v>46088</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25100-2025</t>
        </is>
      </c>
      <c r="B151" s="1" t="n">
        <v>45800.34435185185</v>
      </c>
      <c r="C151" s="1" t="n">
        <v>46088</v>
      </c>
      <c r="D151" t="inlineStr">
        <is>
          <t>VÄSTERBOTTENS LÄN</t>
        </is>
      </c>
      <c r="E151" t="inlineStr">
        <is>
          <t>BJURHOLM</t>
        </is>
      </c>
      <c r="F151" t="inlineStr">
        <is>
          <t>SCA</t>
        </is>
      </c>
      <c r="G151" t="n">
        <v>7.7</v>
      </c>
      <c r="H151" t="n">
        <v>0</v>
      </c>
      <c r="I151" t="n">
        <v>0</v>
      </c>
      <c r="J151" t="n">
        <v>0</v>
      </c>
      <c r="K151" t="n">
        <v>0</v>
      </c>
      <c r="L151" t="n">
        <v>0</v>
      </c>
      <c r="M151" t="n">
        <v>0</v>
      </c>
      <c r="N151" t="n">
        <v>0</v>
      </c>
      <c r="O151" t="n">
        <v>0</v>
      </c>
      <c r="P151" t="n">
        <v>0</v>
      </c>
      <c r="Q151" t="n">
        <v>0</v>
      </c>
      <c r="R151" s="2" t="inlineStr"/>
    </row>
    <row r="152" ht="15" customHeight="1">
      <c r="A152" t="inlineStr">
        <is>
          <t>A 22408-2024</t>
        </is>
      </c>
      <c r="B152" s="1" t="n">
        <v>45446.6784837963</v>
      </c>
      <c r="C152" s="1" t="n">
        <v>46088</v>
      </c>
      <c r="D152" t="inlineStr">
        <is>
          <t>VÄSTERBOTTENS LÄN</t>
        </is>
      </c>
      <c r="E152" t="inlineStr">
        <is>
          <t>BJURHOLM</t>
        </is>
      </c>
      <c r="G152" t="n">
        <v>1</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46088</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40191-2025</t>
        </is>
      </c>
      <c r="B154" s="1" t="n">
        <v>45894.65684027778</v>
      </c>
      <c r="C154" s="1" t="n">
        <v>46088</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40197-2025</t>
        </is>
      </c>
      <c r="B155" s="1" t="n">
        <v>45894.66121527777</v>
      </c>
      <c r="C155" s="1" t="n">
        <v>46088</v>
      </c>
      <c r="D155" t="inlineStr">
        <is>
          <t>VÄSTERBOTTENS LÄN</t>
        </is>
      </c>
      <c r="E155" t="inlineStr">
        <is>
          <t>BJURHOLM</t>
        </is>
      </c>
      <c r="F155" t="inlineStr">
        <is>
          <t>Holmen skog AB</t>
        </is>
      </c>
      <c r="G155" t="n">
        <v>4.9</v>
      </c>
      <c r="H155" t="n">
        <v>0</v>
      </c>
      <c r="I155" t="n">
        <v>0</v>
      </c>
      <c r="J155" t="n">
        <v>0</v>
      </c>
      <c r="K155" t="n">
        <v>0</v>
      </c>
      <c r="L155" t="n">
        <v>0</v>
      </c>
      <c r="M155" t="n">
        <v>0</v>
      </c>
      <c r="N155" t="n">
        <v>0</v>
      </c>
      <c r="O155" t="n">
        <v>0</v>
      </c>
      <c r="P155" t="n">
        <v>0</v>
      </c>
      <c r="Q155" t="n">
        <v>0</v>
      </c>
      <c r="R155" s="2" t="inlineStr"/>
    </row>
    <row r="156" ht="15" customHeight="1">
      <c r="A156" t="inlineStr">
        <is>
          <t>A 40269-2025</t>
        </is>
      </c>
      <c r="B156" s="1" t="n">
        <v>45895.34538194445</v>
      </c>
      <c r="C156" s="1" t="n">
        <v>46088</v>
      </c>
      <c r="D156" t="inlineStr">
        <is>
          <t>VÄSTERBOTTENS LÄN</t>
        </is>
      </c>
      <c r="E156" t="inlineStr">
        <is>
          <t>BJURHOLM</t>
        </is>
      </c>
      <c r="G156" t="n">
        <v>9.1</v>
      </c>
      <c r="H156" t="n">
        <v>0</v>
      </c>
      <c r="I156" t="n">
        <v>0</v>
      </c>
      <c r="J156" t="n">
        <v>0</v>
      </c>
      <c r="K156" t="n">
        <v>0</v>
      </c>
      <c r="L156" t="n">
        <v>0</v>
      </c>
      <c r="M156" t="n">
        <v>0</v>
      </c>
      <c r="N156" t="n">
        <v>0</v>
      </c>
      <c r="O156" t="n">
        <v>0</v>
      </c>
      <c r="P156" t="n">
        <v>0</v>
      </c>
      <c r="Q156" t="n">
        <v>0</v>
      </c>
      <c r="R156" s="2" t="inlineStr"/>
    </row>
    <row r="157" ht="15" customHeight="1">
      <c r="A157" t="inlineStr">
        <is>
          <t>A 40268-2025</t>
        </is>
      </c>
      <c r="B157" s="1" t="n">
        <v>45895.34515046296</v>
      </c>
      <c r="C157" s="1" t="n">
        <v>46088</v>
      </c>
      <c r="D157" t="inlineStr">
        <is>
          <t>VÄSTERBOTTENS LÄN</t>
        </is>
      </c>
      <c r="E157" t="inlineStr">
        <is>
          <t>BJURHOLM</t>
        </is>
      </c>
      <c r="G157" t="n">
        <v>20.9</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46088</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40909-2025</t>
        </is>
      </c>
      <c r="B159" s="1" t="n">
        <v>45897</v>
      </c>
      <c r="C159" s="1" t="n">
        <v>46088</v>
      </c>
      <c r="D159" t="inlineStr">
        <is>
          <t>VÄSTERBOTTENS LÄN</t>
        </is>
      </c>
      <c r="E159" t="inlineStr">
        <is>
          <t>BJURHOLM</t>
        </is>
      </c>
      <c r="F159" t="inlineStr">
        <is>
          <t>SCA</t>
        </is>
      </c>
      <c r="G159" t="n">
        <v>12.8</v>
      </c>
      <c r="H159" t="n">
        <v>0</v>
      </c>
      <c r="I159" t="n">
        <v>0</v>
      </c>
      <c r="J159" t="n">
        <v>0</v>
      </c>
      <c r="K159" t="n">
        <v>0</v>
      </c>
      <c r="L159" t="n">
        <v>0</v>
      </c>
      <c r="M159" t="n">
        <v>0</v>
      </c>
      <c r="N159" t="n">
        <v>0</v>
      </c>
      <c r="O159" t="n">
        <v>0</v>
      </c>
      <c r="P159" t="n">
        <v>0</v>
      </c>
      <c r="Q159" t="n">
        <v>0</v>
      </c>
      <c r="R159" s="2" t="inlineStr"/>
    </row>
    <row r="160" ht="15" customHeight="1">
      <c r="A160" t="inlineStr">
        <is>
          <t>A 40716-2025</t>
        </is>
      </c>
      <c r="B160" s="1" t="n">
        <v>45897.34454861111</v>
      </c>
      <c r="C160" s="1" t="n">
        <v>46088</v>
      </c>
      <c r="D160" t="inlineStr">
        <is>
          <t>VÄSTERBOTTENS LÄN</t>
        </is>
      </c>
      <c r="E160" t="inlineStr">
        <is>
          <t>BJURHOLM</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17740-2024</t>
        </is>
      </c>
      <c r="B161" s="1" t="n">
        <v>45418</v>
      </c>
      <c r="C161" s="1" t="n">
        <v>46088</v>
      </c>
      <c r="D161" t="inlineStr">
        <is>
          <t>VÄSTERBOTTENS LÄN</t>
        </is>
      </c>
      <c r="E161" t="inlineStr">
        <is>
          <t>BJURHOLM</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40911-2025</t>
        </is>
      </c>
      <c r="B162" s="1" t="n">
        <v>45897</v>
      </c>
      <c r="C162" s="1" t="n">
        <v>46088</v>
      </c>
      <c r="D162" t="inlineStr">
        <is>
          <t>VÄSTERBOTTENS LÄN</t>
        </is>
      </c>
      <c r="E162" t="inlineStr">
        <is>
          <t>BJURHOLM</t>
        </is>
      </c>
      <c r="F162" t="inlineStr">
        <is>
          <t>SCA</t>
        </is>
      </c>
      <c r="G162" t="n">
        <v>5.7</v>
      </c>
      <c r="H162" t="n">
        <v>0</v>
      </c>
      <c r="I162" t="n">
        <v>0</v>
      </c>
      <c r="J162" t="n">
        <v>0</v>
      </c>
      <c r="K162" t="n">
        <v>0</v>
      </c>
      <c r="L162" t="n">
        <v>0</v>
      </c>
      <c r="M162" t="n">
        <v>0</v>
      </c>
      <c r="N162" t="n">
        <v>0</v>
      </c>
      <c r="O162" t="n">
        <v>0</v>
      </c>
      <c r="P162" t="n">
        <v>0</v>
      </c>
      <c r="Q162" t="n">
        <v>0</v>
      </c>
      <c r="R162" s="2" t="inlineStr"/>
    </row>
    <row r="163" ht="15" customHeight="1">
      <c r="A163" t="inlineStr">
        <is>
          <t>A 40912-2025</t>
        </is>
      </c>
      <c r="B163" s="1" t="n">
        <v>45897</v>
      </c>
      <c r="C163" s="1" t="n">
        <v>46088</v>
      </c>
      <c r="D163" t="inlineStr">
        <is>
          <t>VÄSTERBOTTENS LÄN</t>
        </is>
      </c>
      <c r="E163" t="inlineStr">
        <is>
          <t>BJURHOLM</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40916-2025</t>
        </is>
      </c>
      <c r="B164" s="1" t="n">
        <v>45897</v>
      </c>
      <c r="C164" s="1" t="n">
        <v>46088</v>
      </c>
      <c r="D164" t="inlineStr">
        <is>
          <t>VÄSTERBOTTENS LÄN</t>
        </is>
      </c>
      <c r="E164" t="inlineStr">
        <is>
          <t>BJURHOLM</t>
        </is>
      </c>
      <c r="F164" t="inlineStr">
        <is>
          <t>SCA</t>
        </is>
      </c>
      <c r="G164" t="n">
        <v>48.1</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46088</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32129-2024</t>
        </is>
      </c>
      <c r="B166" s="1" t="n">
        <v>45511</v>
      </c>
      <c r="C166" s="1" t="n">
        <v>46088</v>
      </c>
      <c r="D166" t="inlineStr">
        <is>
          <t>VÄSTERBOTTENS LÄN</t>
        </is>
      </c>
      <c r="E166" t="inlineStr">
        <is>
          <t>BJURHOLM</t>
        </is>
      </c>
      <c r="G166" t="n">
        <v>1.6</v>
      </c>
      <c r="H166" t="n">
        <v>0</v>
      </c>
      <c r="I166" t="n">
        <v>0</v>
      </c>
      <c r="J166" t="n">
        <v>0</v>
      </c>
      <c r="K166" t="n">
        <v>0</v>
      </c>
      <c r="L166" t="n">
        <v>0</v>
      </c>
      <c r="M166" t="n">
        <v>0</v>
      </c>
      <c r="N166" t="n">
        <v>0</v>
      </c>
      <c r="O166" t="n">
        <v>0</v>
      </c>
      <c r="P166" t="n">
        <v>0</v>
      </c>
      <c r="Q166" t="n">
        <v>0</v>
      </c>
      <c r="R166" s="2" t="inlineStr"/>
    </row>
    <row r="167" ht="15" customHeight="1">
      <c r="A167" t="inlineStr">
        <is>
          <t>A 33395-2023</t>
        </is>
      </c>
      <c r="B167" s="1" t="n">
        <v>45128.62215277777</v>
      </c>
      <c r="C167" s="1" t="n">
        <v>46088</v>
      </c>
      <c r="D167" t="inlineStr">
        <is>
          <t>VÄSTERBOTTENS LÄN</t>
        </is>
      </c>
      <c r="E167" t="inlineStr">
        <is>
          <t>BJURHOLM</t>
        </is>
      </c>
      <c r="F167" t="inlineStr">
        <is>
          <t>Holmen skog AB</t>
        </is>
      </c>
      <c r="G167" t="n">
        <v>5.8</v>
      </c>
      <c r="H167" t="n">
        <v>0</v>
      </c>
      <c r="I167" t="n">
        <v>0</v>
      </c>
      <c r="J167" t="n">
        <v>0</v>
      </c>
      <c r="K167" t="n">
        <v>0</v>
      </c>
      <c r="L167" t="n">
        <v>0</v>
      </c>
      <c r="M167" t="n">
        <v>0</v>
      </c>
      <c r="N167" t="n">
        <v>0</v>
      </c>
      <c r="O167" t="n">
        <v>0</v>
      </c>
      <c r="P167" t="n">
        <v>0</v>
      </c>
      <c r="Q167" t="n">
        <v>0</v>
      </c>
      <c r="R167" s="2" t="inlineStr"/>
    </row>
    <row r="168" ht="15" customHeight="1">
      <c r="A168" t="inlineStr">
        <is>
          <t>A 41255-2025</t>
        </is>
      </c>
      <c r="B168" s="1" t="n">
        <v>45898.60793981481</v>
      </c>
      <c r="C168" s="1" t="n">
        <v>46088</v>
      </c>
      <c r="D168" t="inlineStr">
        <is>
          <t>VÄSTERBOTTENS LÄN</t>
        </is>
      </c>
      <c r="E168" t="inlineStr">
        <is>
          <t>BJURHOLM</t>
        </is>
      </c>
      <c r="F168" t="inlineStr">
        <is>
          <t>Holmen skog AB</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5582-2025</t>
        </is>
      </c>
      <c r="B169" s="1" t="n">
        <v>45693.55229166667</v>
      </c>
      <c r="C169" s="1" t="n">
        <v>46088</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34333-2025</t>
        </is>
      </c>
      <c r="B170" s="1" t="n">
        <v>45846.45019675926</v>
      </c>
      <c r="C170" s="1" t="n">
        <v>46088</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62088-2022</t>
        </is>
      </c>
      <c r="B171" s="1" t="n">
        <v>44919</v>
      </c>
      <c r="C171" s="1" t="n">
        <v>46088</v>
      </c>
      <c r="D171" t="inlineStr">
        <is>
          <t>VÄSTERBOTTENS LÄN</t>
        </is>
      </c>
      <c r="E171" t="inlineStr">
        <is>
          <t>BJURHOLM</t>
        </is>
      </c>
      <c r="G171" t="n">
        <v>4.8</v>
      </c>
      <c r="H171" t="n">
        <v>0</v>
      </c>
      <c r="I171" t="n">
        <v>0</v>
      </c>
      <c r="J171" t="n">
        <v>0</v>
      </c>
      <c r="K171" t="n">
        <v>0</v>
      </c>
      <c r="L171" t="n">
        <v>0</v>
      </c>
      <c r="M171" t="n">
        <v>0</v>
      </c>
      <c r="N171" t="n">
        <v>0</v>
      </c>
      <c r="O171" t="n">
        <v>0</v>
      </c>
      <c r="P171" t="n">
        <v>0</v>
      </c>
      <c r="Q171" t="n">
        <v>0</v>
      </c>
      <c r="R171" s="2" t="inlineStr"/>
    </row>
    <row r="172" ht="15" customHeight="1">
      <c r="A172" t="inlineStr">
        <is>
          <t>A 61806-2024</t>
        </is>
      </c>
      <c r="B172" s="1" t="n">
        <v>45649.57627314814</v>
      </c>
      <c r="C172" s="1" t="n">
        <v>46088</v>
      </c>
      <c r="D172" t="inlineStr">
        <is>
          <t>VÄSTERBOTTENS LÄN</t>
        </is>
      </c>
      <c r="E172" t="inlineStr">
        <is>
          <t>BJURHOLM</t>
        </is>
      </c>
      <c r="G172" t="n">
        <v>2.4</v>
      </c>
      <c r="H172" t="n">
        <v>0</v>
      </c>
      <c r="I172" t="n">
        <v>0</v>
      </c>
      <c r="J172" t="n">
        <v>0</v>
      </c>
      <c r="K172" t="n">
        <v>0</v>
      </c>
      <c r="L172" t="n">
        <v>0</v>
      </c>
      <c r="M172" t="n">
        <v>0</v>
      </c>
      <c r="N172" t="n">
        <v>0</v>
      </c>
      <c r="O172" t="n">
        <v>0</v>
      </c>
      <c r="P172" t="n">
        <v>0</v>
      </c>
      <c r="Q172" t="n">
        <v>0</v>
      </c>
      <c r="R172" s="2" t="inlineStr"/>
    </row>
    <row r="173" ht="15" customHeight="1">
      <c r="A173" t="inlineStr">
        <is>
          <t>A 43321-2024</t>
        </is>
      </c>
      <c r="B173" s="1" t="n">
        <v>45568</v>
      </c>
      <c r="C173" s="1" t="n">
        <v>46088</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46088</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8527-2026</t>
        </is>
      </c>
      <c r="B175" s="1" t="n">
        <v>46065.59229166667</v>
      </c>
      <c r="C175" s="1" t="n">
        <v>46088</v>
      </c>
      <c r="D175" t="inlineStr">
        <is>
          <t>VÄSTERBOTTENS LÄN</t>
        </is>
      </c>
      <c r="E175" t="inlineStr">
        <is>
          <t>BJURHOLM</t>
        </is>
      </c>
      <c r="G175" t="n">
        <v>2</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46088</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27614-2025</t>
        </is>
      </c>
      <c r="B177" s="1" t="n">
        <v>45813.54122685185</v>
      </c>
      <c r="C177" s="1" t="n">
        <v>46088</v>
      </c>
      <c r="D177" t="inlineStr">
        <is>
          <t>VÄSTERBOTTENS LÄN</t>
        </is>
      </c>
      <c r="E177" t="inlineStr">
        <is>
          <t>BJURHOLM</t>
        </is>
      </c>
      <c r="G177" t="n">
        <v>2.9</v>
      </c>
      <c r="H177" t="n">
        <v>0</v>
      </c>
      <c r="I177" t="n">
        <v>0</v>
      </c>
      <c r="J177" t="n">
        <v>0</v>
      </c>
      <c r="K177" t="n">
        <v>0</v>
      </c>
      <c r="L177" t="n">
        <v>0</v>
      </c>
      <c r="M177" t="n">
        <v>0</v>
      </c>
      <c r="N177" t="n">
        <v>0</v>
      </c>
      <c r="O177" t="n">
        <v>0</v>
      </c>
      <c r="P177" t="n">
        <v>0</v>
      </c>
      <c r="Q177" t="n">
        <v>0</v>
      </c>
      <c r="R177" s="2" t="inlineStr"/>
    </row>
    <row r="178" ht="15" customHeight="1">
      <c r="A178" t="inlineStr">
        <is>
          <t>A 61229-2024</t>
        </is>
      </c>
      <c r="B178" s="1" t="n">
        <v>45645.66908564815</v>
      </c>
      <c r="C178" s="1" t="n">
        <v>46088</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27597-2025</t>
        </is>
      </c>
      <c r="B179" s="1" t="n">
        <v>45813.52341435185</v>
      </c>
      <c r="C179" s="1" t="n">
        <v>46088</v>
      </c>
      <c r="D179" t="inlineStr">
        <is>
          <t>VÄSTERBOTTENS LÄN</t>
        </is>
      </c>
      <c r="E179" t="inlineStr">
        <is>
          <t>BJURHOLM</t>
        </is>
      </c>
      <c r="G179" t="n">
        <v>3.4</v>
      </c>
      <c r="H179" t="n">
        <v>0</v>
      </c>
      <c r="I179" t="n">
        <v>0</v>
      </c>
      <c r="J179" t="n">
        <v>0</v>
      </c>
      <c r="K179" t="n">
        <v>0</v>
      </c>
      <c r="L179" t="n">
        <v>0</v>
      </c>
      <c r="M179" t="n">
        <v>0</v>
      </c>
      <c r="N179" t="n">
        <v>0</v>
      </c>
      <c r="O179" t="n">
        <v>0</v>
      </c>
      <c r="P179" t="n">
        <v>0</v>
      </c>
      <c r="Q179" t="n">
        <v>0</v>
      </c>
      <c r="R179" s="2" t="inlineStr"/>
    </row>
    <row r="180" ht="15" customHeight="1">
      <c r="A180" t="inlineStr">
        <is>
          <t>A 27256-2025</t>
        </is>
      </c>
      <c r="B180" s="1" t="n">
        <v>45812.47314814815</v>
      </c>
      <c r="C180" s="1" t="n">
        <v>46088</v>
      </c>
      <c r="D180" t="inlineStr">
        <is>
          <t>VÄSTERBOTTENS LÄN</t>
        </is>
      </c>
      <c r="E180" t="inlineStr">
        <is>
          <t>BJURHOLM</t>
        </is>
      </c>
      <c r="G180" t="n">
        <v>48.1</v>
      </c>
      <c r="H180" t="n">
        <v>0</v>
      </c>
      <c r="I180" t="n">
        <v>0</v>
      </c>
      <c r="J180" t="n">
        <v>0</v>
      </c>
      <c r="K180" t="n">
        <v>0</v>
      </c>
      <c r="L180" t="n">
        <v>0</v>
      </c>
      <c r="M180" t="n">
        <v>0</v>
      </c>
      <c r="N180" t="n">
        <v>0</v>
      </c>
      <c r="O180" t="n">
        <v>0</v>
      </c>
      <c r="P180" t="n">
        <v>0</v>
      </c>
      <c r="Q180" t="n">
        <v>0</v>
      </c>
      <c r="R180" s="2" t="inlineStr"/>
    </row>
    <row r="181" ht="15" customHeight="1">
      <c r="A181" t="inlineStr">
        <is>
          <t>A 55512-2021</t>
        </is>
      </c>
      <c r="B181" s="1" t="n">
        <v>44475.63670138889</v>
      </c>
      <c r="C181" s="1" t="n">
        <v>46088</v>
      </c>
      <c r="D181" t="inlineStr">
        <is>
          <t>VÄSTERBOTTENS LÄN</t>
        </is>
      </c>
      <c r="E181" t="inlineStr">
        <is>
          <t>BJURHOLM</t>
        </is>
      </c>
      <c r="F181" t="inlineStr">
        <is>
          <t>Holmen skog AB</t>
        </is>
      </c>
      <c r="G181" t="n">
        <v>28.3</v>
      </c>
      <c r="H181" t="n">
        <v>0</v>
      </c>
      <c r="I181" t="n">
        <v>0</v>
      </c>
      <c r="J181" t="n">
        <v>0</v>
      </c>
      <c r="K181" t="n">
        <v>0</v>
      </c>
      <c r="L181" t="n">
        <v>0</v>
      </c>
      <c r="M181" t="n">
        <v>0</v>
      </c>
      <c r="N181" t="n">
        <v>0</v>
      </c>
      <c r="O181" t="n">
        <v>0</v>
      </c>
      <c r="P181" t="n">
        <v>0</v>
      </c>
      <c r="Q181" t="n">
        <v>0</v>
      </c>
      <c r="R181" s="2" t="inlineStr"/>
    </row>
    <row r="182" ht="15" customHeight="1">
      <c r="A182" t="inlineStr">
        <is>
          <t>A 29301-2025</t>
        </is>
      </c>
      <c r="B182" s="1" t="n">
        <v>45824.45652777778</v>
      </c>
      <c r="C182" s="1" t="n">
        <v>46088</v>
      </c>
      <c r="D182" t="inlineStr">
        <is>
          <t>VÄSTERBOTTENS LÄN</t>
        </is>
      </c>
      <c r="E182" t="inlineStr">
        <is>
          <t>BJURHOLM</t>
        </is>
      </c>
      <c r="G182" t="n">
        <v>2.3</v>
      </c>
      <c r="H182" t="n">
        <v>0</v>
      </c>
      <c r="I182" t="n">
        <v>0</v>
      </c>
      <c r="J182" t="n">
        <v>0</v>
      </c>
      <c r="K182" t="n">
        <v>0</v>
      </c>
      <c r="L182" t="n">
        <v>0</v>
      </c>
      <c r="M182" t="n">
        <v>0</v>
      </c>
      <c r="N182" t="n">
        <v>0</v>
      </c>
      <c r="O182" t="n">
        <v>0</v>
      </c>
      <c r="P182" t="n">
        <v>0</v>
      </c>
      <c r="Q182" t="n">
        <v>0</v>
      </c>
      <c r="R182" s="2" t="inlineStr"/>
    </row>
    <row r="183" ht="15" customHeight="1">
      <c r="A183" t="inlineStr">
        <is>
          <t>A 34751-2022</t>
        </is>
      </c>
      <c r="B183" s="1" t="n">
        <v>44795</v>
      </c>
      <c r="C183" s="1" t="n">
        <v>46088</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46088</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46088</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46088</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46088</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43992-2023</t>
        </is>
      </c>
      <c r="B188" s="1" t="n">
        <v>45187</v>
      </c>
      <c r="C188" s="1" t="n">
        <v>46088</v>
      </c>
      <c r="D188" t="inlineStr">
        <is>
          <t>VÄSTERBOTTENS LÄN</t>
        </is>
      </c>
      <c r="E188" t="inlineStr">
        <is>
          <t>BJURHOLM</t>
        </is>
      </c>
      <c r="F188" t="inlineStr">
        <is>
          <t>SCA</t>
        </is>
      </c>
      <c r="G188" t="n">
        <v>10.9</v>
      </c>
      <c r="H188" t="n">
        <v>0</v>
      </c>
      <c r="I188" t="n">
        <v>0</v>
      </c>
      <c r="J188" t="n">
        <v>0</v>
      </c>
      <c r="K188" t="n">
        <v>0</v>
      </c>
      <c r="L188" t="n">
        <v>0</v>
      </c>
      <c r="M188" t="n">
        <v>0</v>
      </c>
      <c r="N188" t="n">
        <v>0</v>
      </c>
      <c r="O188" t="n">
        <v>0</v>
      </c>
      <c r="P188" t="n">
        <v>0</v>
      </c>
      <c r="Q188" t="n">
        <v>0</v>
      </c>
      <c r="R188" s="2" t="inlineStr"/>
    </row>
    <row r="189" ht="15" customHeight="1">
      <c r="A189" t="inlineStr">
        <is>
          <t>A 70740-2021</t>
        </is>
      </c>
      <c r="B189" s="1" t="n">
        <v>44536</v>
      </c>
      <c r="C189" s="1" t="n">
        <v>46088</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44112-2025</t>
        </is>
      </c>
      <c r="B190" s="1" t="n">
        <v>45915.574375</v>
      </c>
      <c r="C190" s="1" t="n">
        <v>46088</v>
      </c>
      <c r="D190" t="inlineStr">
        <is>
          <t>VÄSTERBOTTENS LÄN</t>
        </is>
      </c>
      <c r="E190" t="inlineStr">
        <is>
          <t>BJURHOLM</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44144-2025</t>
        </is>
      </c>
      <c r="B191" s="1" t="n">
        <v>45915.58934027778</v>
      </c>
      <c r="C191" s="1" t="n">
        <v>46088</v>
      </c>
      <c r="D191" t="inlineStr">
        <is>
          <t>VÄSTERBOTTENS LÄN</t>
        </is>
      </c>
      <c r="E191" t="inlineStr">
        <is>
          <t>BJURHOLM</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46088</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29712-2025</t>
        </is>
      </c>
      <c r="B193" s="1" t="n">
        <v>45825.56524305556</v>
      </c>
      <c r="C193" s="1" t="n">
        <v>46088</v>
      </c>
      <c r="D193" t="inlineStr">
        <is>
          <t>VÄSTERBOTTENS LÄN</t>
        </is>
      </c>
      <c r="E193" t="inlineStr">
        <is>
          <t>BJURHOLM</t>
        </is>
      </c>
      <c r="G193" t="n">
        <v>1.8</v>
      </c>
      <c r="H193" t="n">
        <v>0</v>
      </c>
      <c r="I193" t="n">
        <v>0</v>
      </c>
      <c r="J193" t="n">
        <v>0</v>
      </c>
      <c r="K193" t="n">
        <v>0</v>
      </c>
      <c r="L193" t="n">
        <v>0</v>
      </c>
      <c r="M193" t="n">
        <v>0</v>
      </c>
      <c r="N193" t="n">
        <v>0</v>
      </c>
      <c r="O193" t="n">
        <v>0</v>
      </c>
      <c r="P193" t="n">
        <v>0</v>
      </c>
      <c r="Q193" t="n">
        <v>0</v>
      </c>
      <c r="R193" s="2" t="inlineStr"/>
    </row>
    <row r="194" ht="15" customHeight="1">
      <c r="A194" t="inlineStr">
        <is>
          <t>A 7312-2024</t>
        </is>
      </c>
      <c r="B194" s="1" t="n">
        <v>45345.34260416667</v>
      </c>
      <c r="C194" s="1" t="n">
        <v>46088</v>
      </c>
      <c r="D194" t="inlineStr">
        <is>
          <t>VÄSTERBOTTENS LÄN</t>
        </is>
      </c>
      <c r="E194" t="inlineStr">
        <is>
          <t>BJURHOLM</t>
        </is>
      </c>
      <c r="G194" t="n">
        <v>4.4</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45916.65663194445</v>
      </c>
      <c r="C195" s="1" t="n">
        <v>46088</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3493-2023</t>
        </is>
      </c>
      <c r="B196" s="1" t="n">
        <v>44949</v>
      </c>
      <c r="C196" s="1" t="n">
        <v>46088</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45168-2025</t>
        </is>
      </c>
      <c r="B197" s="1" t="n">
        <v>45919.49429398148</v>
      </c>
      <c r="C197" s="1" t="n">
        <v>46088</v>
      </c>
      <c r="D197" t="inlineStr">
        <is>
          <t>VÄSTERBOTTENS LÄN</t>
        </is>
      </c>
      <c r="E197" t="inlineStr">
        <is>
          <t>BJURHOLM</t>
        </is>
      </c>
      <c r="G197" t="n">
        <v>18.5</v>
      </c>
      <c r="H197" t="n">
        <v>0</v>
      </c>
      <c r="I197" t="n">
        <v>0</v>
      </c>
      <c r="J197" t="n">
        <v>0</v>
      </c>
      <c r="K197" t="n">
        <v>0</v>
      </c>
      <c r="L197" t="n">
        <v>0</v>
      </c>
      <c r="M197" t="n">
        <v>0</v>
      </c>
      <c r="N197" t="n">
        <v>0</v>
      </c>
      <c r="O197" t="n">
        <v>0</v>
      </c>
      <c r="P197" t="n">
        <v>0</v>
      </c>
      <c r="Q197" t="n">
        <v>0</v>
      </c>
      <c r="R197" s="2" t="inlineStr"/>
    </row>
    <row r="198" ht="15" customHeight="1">
      <c r="A198" t="inlineStr">
        <is>
          <t>A 59181-2023</t>
        </is>
      </c>
      <c r="B198" s="1" t="n">
        <v>45251</v>
      </c>
      <c r="C198" s="1" t="n">
        <v>46088</v>
      </c>
      <c r="D198" t="inlineStr">
        <is>
          <t>VÄSTERBOTTENS LÄN</t>
        </is>
      </c>
      <c r="E198" t="inlineStr">
        <is>
          <t>BJURHOLM</t>
        </is>
      </c>
      <c r="G198" t="n">
        <v>3.7</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46088</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30672-2025</t>
        </is>
      </c>
      <c r="B200" s="1" t="n">
        <v>45831.51869212963</v>
      </c>
      <c r="C200" s="1" t="n">
        <v>46088</v>
      </c>
      <c r="D200" t="inlineStr">
        <is>
          <t>VÄSTERBOTTENS LÄN</t>
        </is>
      </c>
      <c r="E200" t="inlineStr">
        <is>
          <t>BJURHOLM</t>
        </is>
      </c>
      <c r="F200" t="inlineStr">
        <is>
          <t>Sveaskog</t>
        </is>
      </c>
      <c r="G200" t="n">
        <v>20.4</v>
      </c>
      <c r="H200" t="n">
        <v>0</v>
      </c>
      <c r="I200" t="n">
        <v>0</v>
      </c>
      <c r="J200" t="n">
        <v>0</v>
      </c>
      <c r="K200" t="n">
        <v>0</v>
      </c>
      <c r="L200" t="n">
        <v>0</v>
      </c>
      <c r="M200" t="n">
        <v>0</v>
      </c>
      <c r="N200" t="n">
        <v>0</v>
      </c>
      <c r="O200" t="n">
        <v>0</v>
      </c>
      <c r="P200" t="n">
        <v>0</v>
      </c>
      <c r="Q200" t="n">
        <v>0</v>
      </c>
      <c r="R200" s="2" t="inlineStr"/>
    </row>
    <row r="201" ht="15" customHeight="1">
      <c r="A201" t="inlineStr">
        <is>
          <t>A 30675-2025</t>
        </is>
      </c>
      <c r="B201" s="1" t="n">
        <v>45831.52111111111</v>
      </c>
      <c r="C201" s="1" t="n">
        <v>46088</v>
      </c>
      <c r="D201" t="inlineStr">
        <is>
          <t>VÄSTERBOTTENS LÄN</t>
        </is>
      </c>
      <c r="E201" t="inlineStr">
        <is>
          <t>BJURHOLM</t>
        </is>
      </c>
      <c r="F201" t="inlineStr">
        <is>
          <t>Sveaskog</t>
        </is>
      </c>
      <c r="G201" t="n">
        <v>18.7</v>
      </c>
      <c r="H201" t="n">
        <v>0</v>
      </c>
      <c r="I201" t="n">
        <v>0</v>
      </c>
      <c r="J201" t="n">
        <v>0</v>
      </c>
      <c r="K201" t="n">
        <v>0</v>
      </c>
      <c r="L201" t="n">
        <v>0</v>
      </c>
      <c r="M201" t="n">
        <v>0</v>
      </c>
      <c r="N201" t="n">
        <v>0</v>
      </c>
      <c r="O201" t="n">
        <v>0</v>
      </c>
      <c r="P201" t="n">
        <v>0</v>
      </c>
      <c r="Q201" t="n">
        <v>0</v>
      </c>
      <c r="R201" s="2" t="inlineStr"/>
    </row>
    <row r="202" ht="15" customHeight="1">
      <c r="A202" t="inlineStr">
        <is>
          <t>A 16148-2025</t>
        </is>
      </c>
      <c r="B202" s="1" t="n">
        <v>45750.46479166667</v>
      </c>
      <c r="C202" s="1" t="n">
        <v>46088</v>
      </c>
      <c r="D202" t="inlineStr">
        <is>
          <t>VÄSTERBOTTENS LÄN</t>
        </is>
      </c>
      <c r="E202" t="inlineStr">
        <is>
          <t>BJURHOLM</t>
        </is>
      </c>
      <c r="F202" t="inlineStr">
        <is>
          <t>Sveaskog</t>
        </is>
      </c>
      <c r="G202" t="n">
        <v>10.6</v>
      </c>
      <c r="H202" t="n">
        <v>0</v>
      </c>
      <c r="I202" t="n">
        <v>0</v>
      </c>
      <c r="J202" t="n">
        <v>0</v>
      </c>
      <c r="K202" t="n">
        <v>0</v>
      </c>
      <c r="L202" t="n">
        <v>0</v>
      </c>
      <c r="M202" t="n">
        <v>0</v>
      </c>
      <c r="N202" t="n">
        <v>0</v>
      </c>
      <c r="O202" t="n">
        <v>0</v>
      </c>
      <c r="P202" t="n">
        <v>0</v>
      </c>
      <c r="Q202" t="n">
        <v>0</v>
      </c>
      <c r="R202" s="2" t="inlineStr"/>
    </row>
    <row r="203" ht="15" customHeight="1">
      <c r="A203" t="inlineStr">
        <is>
          <t>A 28888-2024</t>
        </is>
      </c>
      <c r="B203" s="1" t="n">
        <v>45479</v>
      </c>
      <c r="C203" s="1" t="n">
        <v>46088</v>
      </c>
      <c r="D203" t="inlineStr">
        <is>
          <t>VÄSTERBOTTENS LÄN</t>
        </is>
      </c>
      <c r="E203" t="inlineStr">
        <is>
          <t>BJURHOLM</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59381-2023</t>
        </is>
      </c>
      <c r="B204" s="1" t="n">
        <v>45253.8090162037</v>
      </c>
      <c r="C204" s="1" t="n">
        <v>46088</v>
      </c>
      <c r="D204" t="inlineStr">
        <is>
          <t>VÄSTERBOTTENS LÄN</t>
        </is>
      </c>
      <c r="E204" t="inlineStr">
        <is>
          <t>BJURHOLM</t>
        </is>
      </c>
      <c r="G204" t="n">
        <v>1.5</v>
      </c>
      <c r="H204" t="n">
        <v>0</v>
      </c>
      <c r="I204" t="n">
        <v>0</v>
      </c>
      <c r="J204" t="n">
        <v>0</v>
      </c>
      <c r="K204" t="n">
        <v>0</v>
      </c>
      <c r="L204" t="n">
        <v>0</v>
      </c>
      <c r="M204" t="n">
        <v>0</v>
      </c>
      <c r="N204" t="n">
        <v>0</v>
      </c>
      <c r="O204" t="n">
        <v>0</v>
      </c>
      <c r="P204" t="n">
        <v>0</v>
      </c>
      <c r="Q204" t="n">
        <v>0</v>
      </c>
      <c r="R204" s="2" t="inlineStr"/>
    </row>
    <row r="205" ht="15" customHeight="1">
      <c r="A205" t="inlineStr">
        <is>
          <t>A 39431-2021</t>
        </is>
      </c>
      <c r="B205" s="1" t="n">
        <v>44414.52152777778</v>
      </c>
      <c r="C205" s="1" t="n">
        <v>46088</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56-2025</t>
        </is>
      </c>
      <c r="B206" s="1" t="n">
        <v>45659.39510416667</v>
      </c>
      <c r="C206" s="1" t="n">
        <v>46088</v>
      </c>
      <c r="D206" t="inlineStr">
        <is>
          <t>VÄSTERBOTTENS LÄN</t>
        </is>
      </c>
      <c r="E206" t="inlineStr">
        <is>
          <t>BJURHOLM</t>
        </is>
      </c>
      <c r="G206" t="n">
        <v>1.4</v>
      </c>
      <c r="H206" t="n">
        <v>0</v>
      </c>
      <c r="I206" t="n">
        <v>0</v>
      </c>
      <c r="J206" t="n">
        <v>0</v>
      </c>
      <c r="K206" t="n">
        <v>0</v>
      </c>
      <c r="L206" t="n">
        <v>0</v>
      </c>
      <c r="M206" t="n">
        <v>0</v>
      </c>
      <c r="N206" t="n">
        <v>0</v>
      </c>
      <c r="O206" t="n">
        <v>0</v>
      </c>
      <c r="P206" t="n">
        <v>0</v>
      </c>
      <c r="Q206" t="n">
        <v>0</v>
      </c>
      <c r="R206" s="2" t="inlineStr"/>
    </row>
    <row r="207" ht="15" customHeight="1">
      <c r="A207" t="inlineStr">
        <is>
          <t>A 31116-2025</t>
        </is>
      </c>
      <c r="B207" s="1" t="n">
        <v>45832.61597222222</v>
      </c>
      <c r="C207" s="1" t="n">
        <v>46088</v>
      </c>
      <c r="D207" t="inlineStr">
        <is>
          <t>VÄSTERBOTTENS LÄN</t>
        </is>
      </c>
      <c r="E207" t="inlineStr">
        <is>
          <t>BJURHOLM</t>
        </is>
      </c>
      <c r="G207" t="n">
        <v>33.5</v>
      </c>
      <c r="H207" t="n">
        <v>0</v>
      </c>
      <c r="I207" t="n">
        <v>0</v>
      </c>
      <c r="J207" t="n">
        <v>0</v>
      </c>
      <c r="K207" t="n">
        <v>0</v>
      </c>
      <c r="L207" t="n">
        <v>0</v>
      </c>
      <c r="M207" t="n">
        <v>0</v>
      </c>
      <c r="N207" t="n">
        <v>0</v>
      </c>
      <c r="O207" t="n">
        <v>0</v>
      </c>
      <c r="P207" t="n">
        <v>0</v>
      </c>
      <c r="Q207" t="n">
        <v>0</v>
      </c>
      <c r="R207" s="2" t="inlineStr"/>
    </row>
    <row r="208" ht="15" customHeight="1">
      <c r="A208" t="inlineStr">
        <is>
          <t>A 45296-2025</t>
        </is>
      </c>
      <c r="B208" s="1" t="n">
        <v>45920.82388888889</v>
      </c>
      <c r="C208" s="1" t="n">
        <v>46088</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47592-2024</t>
        </is>
      </c>
      <c r="B209" s="1" t="n">
        <v>45587.8405324074</v>
      </c>
      <c r="C209" s="1" t="n">
        <v>46088</v>
      </c>
      <c r="D209" t="inlineStr">
        <is>
          <t>VÄSTERBOTTENS LÄN</t>
        </is>
      </c>
      <c r="E209" t="inlineStr">
        <is>
          <t>BJURHOLM</t>
        </is>
      </c>
      <c r="G209" t="n">
        <v>2</v>
      </c>
      <c r="H209" t="n">
        <v>0</v>
      </c>
      <c r="I209" t="n">
        <v>0</v>
      </c>
      <c r="J209" t="n">
        <v>0</v>
      </c>
      <c r="K209" t="n">
        <v>0</v>
      </c>
      <c r="L209" t="n">
        <v>0</v>
      </c>
      <c r="M209" t="n">
        <v>0</v>
      </c>
      <c r="N209" t="n">
        <v>0</v>
      </c>
      <c r="O209" t="n">
        <v>0</v>
      </c>
      <c r="P209" t="n">
        <v>0</v>
      </c>
      <c r="Q209" t="n">
        <v>0</v>
      </c>
      <c r="R209" s="2" t="inlineStr"/>
      <c r="U209">
        <f>HYPERLINK("https://klasma.github.io/Logging_2403/knärot/A 47592-2024 karta knärot.png", "A 47592-2024")</f>
        <v/>
      </c>
      <c r="V209">
        <f>HYPERLINK("https://klasma.github.io/Logging_2403/klagomål/A 47592-2024 FSC-klagomål.docx", "A 47592-2024")</f>
        <v/>
      </c>
      <c r="W209">
        <f>HYPERLINK("https://klasma.github.io/Logging_2403/klagomålsmail/A 47592-2024 FSC-klagomål mail.docx", "A 47592-2024")</f>
        <v/>
      </c>
      <c r="X209">
        <f>HYPERLINK("https://klasma.github.io/Logging_2403/tillsyn/A 47592-2024 tillsynsbegäran.docx", "A 47592-2024")</f>
        <v/>
      </c>
      <c r="Y209">
        <f>HYPERLINK("https://klasma.github.io/Logging_2403/tillsynsmail/A 47592-2024 tillsynsbegäran mail.docx", "A 47592-2024")</f>
        <v/>
      </c>
    </row>
    <row r="210" ht="15" customHeight="1">
      <c r="A210" t="inlineStr">
        <is>
          <t>A 47593-2024</t>
        </is>
      </c>
      <c r="B210" s="1" t="n">
        <v>45587.84275462963</v>
      </c>
      <c r="C210" s="1" t="n">
        <v>46088</v>
      </c>
      <c r="D210" t="inlineStr">
        <is>
          <t>VÄSTERBOTTENS LÄN</t>
        </is>
      </c>
      <c r="E210" t="inlineStr">
        <is>
          <t>BJURHOLM</t>
        </is>
      </c>
      <c r="G210" t="n">
        <v>12.3</v>
      </c>
      <c r="H210" t="n">
        <v>0</v>
      </c>
      <c r="I210" t="n">
        <v>0</v>
      </c>
      <c r="J210" t="n">
        <v>0</v>
      </c>
      <c r="K210" t="n">
        <v>0</v>
      </c>
      <c r="L210" t="n">
        <v>0</v>
      </c>
      <c r="M210" t="n">
        <v>0</v>
      </c>
      <c r="N210" t="n">
        <v>0</v>
      </c>
      <c r="O210" t="n">
        <v>0</v>
      </c>
      <c r="P210" t="n">
        <v>0</v>
      </c>
      <c r="Q210" t="n">
        <v>0</v>
      </c>
      <c r="R210" s="2" t="inlineStr"/>
    </row>
    <row r="211" ht="15" customHeight="1">
      <c r="A211" t="inlineStr">
        <is>
          <t>A 47594-2024</t>
        </is>
      </c>
      <c r="B211" s="1" t="n">
        <v>45587.848125</v>
      </c>
      <c r="C211" s="1" t="n">
        <v>46088</v>
      </c>
      <c r="D211" t="inlineStr">
        <is>
          <t>VÄSTERBOTTENS LÄN</t>
        </is>
      </c>
      <c r="E211" t="inlineStr">
        <is>
          <t>BJURHOLM</t>
        </is>
      </c>
      <c r="G211" t="n">
        <v>5</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46088</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20594-2023</t>
        </is>
      </c>
      <c r="B213" s="1" t="n">
        <v>45057.9408912037</v>
      </c>
      <c r="C213" s="1" t="n">
        <v>46088</v>
      </c>
      <c r="D213" t="inlineStr">
        <is>
          <t>VÄSTERBOTTENS LÄN</t>
        </is>
      </c>
      <c r="E213" t="inlineStr">
        <is>
          <t>BJURHOLM</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31637-2025</t>
        </is>
      </c>
      <c r="B214" s="1" t="n">
        <v>45834.33939814815</v>
      </c>
      <c r="C214" s="1" t="n">
        <v>46088</v>
      </c>
      <c r="D214" t="inlineStr">
        <is>
          <t>VÄSTERBOTTENS LÄN</t>
        </is>
      </c>
      <c r="E214" t="inlineStr">
        <is>
          <t>BJURHOLM</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50773-2024</t>
        </is>
      </c>
      <c r="B215" s="1" t="n">
        <v>45602.44862268519</v>
      </c>
      <c r="C215" s="1" t="n">
        <v>46088</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3705-2023</t>
        </is>
      </c>
      <c r="B216" s="1" t="n">
        <v>44950.95469907407</v>
      </c>
      <c r="C216" s="1" t="n">
        <v>46088</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12391-2025</t>
        </is>
      </c>
      <c r="B217" s="1" t="n">
        <v>45730.39814814815</v>
      </c>
      <c r="C217" s="1" t="n">
        <v>46088</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46088</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46884-2025</t>
        </is>
      </c>
      <c r="B219" s="1" t="n">
        <v>45929.36494212963</v>
      </c>
      <c r="C219" s="1" t="n">
        <v>46088</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46953-2025</t>
        </is>
      </c>
      <c r="B220" s="1" t="n">
        <v>45929.47361111111</v>
      </c>
      <c r="C220" s="1" t="n">
        <v>46088</v>
      </c>
      <c r="D220" t="inlineStr">
        <is>
          <t>VÄSTERBOTTENS LÄN</t>
        </is>
      </c>
      <c r="E220" t="inlineStr">
        <is>
          <t>BJURHOLM</t>
        </is>
      </c>
      <c r="F220" t="inlineStr">
        <is>
          <t>Holmen skog AB</t>
        </is>
      </c>
      <c r="G220" t="n">
        <v>3.4</v>
      </c>
      <c r="H220" t="n">
        <v>0</v>
      </c>
      <c r="I220" t="n">
        <v>0</v>
      </c>
      <c r="J220" t="n">
        <v>0</v>
      </c>
      <c r="K220" t="n">
        <v>0</v>
      </c>
      <c r="L220" t="n">
        <v>0</v>
      </c>
      <c r="M220" t="n">
        <v>0</v>
      </c>
      <c r="N220" t="n">
        <v>0</v>
      </c>
      <c r="O220" t="n">
        <v>0</v>
      </c>
      <c r="P220" t="n">
        <v>0</v>
      </c>
      <c r="Q220" t="n">
        <v>0</v>
      </c>
      <c r="R220" s="2" t="inlineStr"/>
    </row>
    <row r="221" ht="15" customHeight="1">
      <c r="A221" t="inlineStr">
        <is>
          <t>A 47151-2025</t>
        </is>
      </c>
      <c r="B221" s="1" t="n">
        <v>45929.72506944444</v>
      </c>
      <c r="C221" s="1" t="n">
        <v>46088</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52535-2024</t>
        </is>
      </c>
      <c r="B222" s="1" t="n">
        <v>45609.61846064815</v>
      </c>
      <c r="C222" s="1" t="n">
        <v>46088</v>
      </c>
      <c r="D222" t="inlineStr">
        <is>
          <t>VÄSTERBOTTENS LÄN</t>
        </is>
      </c>
      <c r="E222" t="inlineStr">
        <is>
          <t>BJURHOLM</t>
        </is>
      </c>
      <c r="G222" t="n">
        <v>2.6</v>
      </c>
      <c r="H222" t="n">
        <v>0</v>
      </c>
      <c r="I222" t="n">
        <v>0</v>
      </c>
      <c r="J222" t="n">
        <v>0</v>
      </c>
      <c r="K222" t="n">
        <v>0</v>
      </c>
      <c r="L222" t="n">
        <v>0</v>
      </c>
      <c r="M222" t="n">
        <v>0</v>
      </c>
      <c r="N222" t="n">
        <v>0</v>
      </c>
      <c r="O222" t="n">
        <v>0</v>
      </c>
      <c r="P222" t="n">
        <v>0</v>
      </c>
      <c r="Q222" t="n">
        <v>0</v>
      </c>
      <c r="R222" s="2" t="inlineStr"/>
    </row>
    <row r="223" ht="15" customHeight="1">
      <c r="A223" t="inlineStr">
        <is>
          <t>A 46885-2025</t>
        </is>
      </c>
      <c r="B223" s="1" t="n">
        <v>45929.36496527777</v>
      </c>
      <c r="C223" s="1" t="n">
        <v>46088</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32311-2025</t>
        </is>
      </c>
      <c r="B224" s="1" t="n">
        <v>45835.8281712963</v>
      </c>
      <c r="C224" s="1" t="n">
        <v>46088</v>
      </c>
      <c r="D224" t="inlineStr">
        <is>
          <t>VÄSTERBOTTENS LÄN</t>
        </is>
      </c>
      <c r="E224" t="inlineStr">
        <is>
          <t>BJURHOLM</t>
        </is>
      </c>
      <c r="F224" t="inlineStr">
        <is>
          <t>Holmen skog AB</t>
        </is>
      </c>
      <c r="G224" t="n">
        <v>8.1</v>
      </c>
      <c r="H224" t="n">
        <v>0</v>
      </c>
      <c r="I224" t="n">
        <v>0</v>
      </c>
      <c r="J224" t="n">
        <v>0</v>
      </c>
      <c r="K224" t="n">
        <v>0</v>
      </c>
      <c r="L224" t="n">
        <v>0</v>
      </c>
      <c r="M224" t="n">
        <v>0</v>
      </c>
      <c r="N224" t="n">
        <v>0</v>
      </c>
      <c r="O224" t="n">
        <v>0</v>
      </c>
      <c r="P224" t="n">
        <v>0</v>
      </c>
      <c r="Q224" t="n">
        <v>0</v>
      </c>
      <c r="R224" s="2" t="inlineStr"/>
    </row>
    <row r="225" ht="15" customHeight="1">
      <c r="A225" t="inlineStr">
        <is>
          <t>A 50727-2024</t>
        </is>
      </c>
      <c r="B225" s="1" t="n">
        <v>45602.38761574074</v>
      </c>
      <c r="C225" s="1" t="n">
        <v>46088</v>
      </c>
      <c r="D225" t="inlineStr">
        <is>
          <t>VÄSTERBOTTENS LÄN</t>
        </is>
      </c>
      <c r="E225" t="inlineStr">
        <is>
          <t>BJURHOLM</t>
        </is>
      </c>
      <c r="G225" t="n">
        <v>0.2</v>
      </c>
      <c r="H225" t="n">
        <v>0</v>
      </c>
      <c r="I225" t="n">
        <v>0</v>
      </c>
      <c r="J225" t="n">
        <v>0</v>
      </c>
      <c r="K225" t="n">
        <v>0</v>
      </c>
      <c r="L225" t="n">
        <v>0</v>
      </c>
      <c r="M225" t="n">
        <v>0</v>
      </c>
      <c r="N225" t="n">
        <v>0</v>
      </c>
      <c r="O225" t="n">
        <v>0</v>
      </c>
      <c r="P225" t="n">
        <v>0</v>
      </c>
      <c r="Q225" t="n">
        <v>0</v>
      </c>
      <c r="R225" s="2" t="inlineStr"/>
    </row>
    <row r="226" ht="15" customHeight="1">
      <c r="A226" t="inlineStr">
        <is>
          <t>A 50729-2024</t>
        </is>
      </c>
      <c r="B226" s="1" t="n">
        <v>45602.38763888889</v>
      </c>
      <c r="C226" s="1" t="n">
        <v>46088</v>
      </c>
      <c r="D226" t="inlineStr">
        <is>
          <t>VÄSTERBOTTENS LÄN</t>
        </is>
      </c>
      <c r="E226" t="inlineStr">
        <is>
          <t>BJURHOLM</t>
        </is>
      </c>
      <c r="G226" t="n">
        <v>2.4</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46088</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45838.59995370371</v>
      </c>
      <c r="C228" s="1" t="n">
        <v>46088</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46735-2025</t>
        </is>
      </c>
      <c r="B229" s="1" t="n">
        <v>45926.59788194444</v>
      </c>
      <c r="C229" s="1" t="n">
        <v>46088</v>
      </c>
      <c r="D229" t="inlineStr">
        <is>
          <t>VÄSTERBOTTENS LÄN</t>
        </is>
      </c>
      <c r="E229" t="inlineStr">
        <is>
          <t>BJURHOLM</t>
        </is>
      </c>
      <c r="F229" t="inlineStr">
        <is>
          <t>Holmen skog AB</t>
        </is>
      </c>
      <c r="G229" t="n">
        <v>5.2</v>
      </c>
      <c r="H229" t="n">
        <v>0</v>
      </c>
      <c r="I229" t="n">
        <v>0</v>
      </c>
      <c r="J229" t="n">
        <v>0</v>
      </c>
      <c r="K229" t="n">
        <v>0</v>
      </c>
      <c r="L229" t="n">
        <v>0</v>
      </c>
      <c r="M229" t="n">
        <v>0</v>
      </c>
      <c r="N229" t="n">
        <v>0</v>
      </c>
      <c r="O229" t="n">
        <v>0</v>
      </c>
      <c r="P229" t="n">
        <v>0</v>
      </c>
      <c r="Q229" t="n">
        <v>0</v>
      </c>
      <c r="R229" s="2" t="inlineStr"/>
    </row>
    <row r="230" ht="15" customHeight="1">
      <c r="A230" t="inlineStr">
        <is>
          <t>A 32314-2025</t>
        </is>
      </c>
      <c r="B230" s="1" t="n">
        <v>45835.87006944444</v>
      </c>
      <c r="C230" s="1" t="n">
        <v>46088</v>
      </c>
      <c r="D230" t="inlineStr">
        <is>
          <t>VÄSTERBOTTENS LÄN</t>
        </is>
      </c>
      <c r="E230" t="inlineStr">
        <is>
          <t>BJURHOLM</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31782-2022</t>
        </is>
      </c>
      <c r="B231" s="1" t="n">
        <v>44776</v>
      </c>
      <c r="C231" s="1" t="n">
        <v>46088</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47551-2025</t>
        </is>
      </c>
      <c r="B232" s="1" t="n">
        <v>45931.37207175926</v>
      </c>
      <c r="C232" s="1" t="n">
        <v>46088</v>
      </c>
      <c r="D232" t="inlineStr">
        <is>
          <t>VÄSTERBOTTENS LÄN</t>
        </is>
      </c>
      <c r="E232" t="inlineStr">
        <is>
          <t>BJURHOLM</t>
        </is>
      </c>
      <c r="G232" t="n">
        <v>3.4</v>
      </c>
      <c r="H232" t="n">
        <v>0</v>
      </c>
      <c r="I232" t="n">
        <v>0</v>
      </c>
      <c r="J232" t="n">
        <v>0</v>
      </c>
      <c r="K232" t="n">
        <v>0</v>
      </c>
      <c r="L232" t="n">
        <v>0</v>
      </c>
      <c r="M232" t="n">
        <v>0</v>
      </c>
      <c r="N232" t="n">
        <v>0</v>
      </c>
      <c r="O232" t="n">
        <v>0</v>
      </c>
      <c r="P232" t="n">
        <v>0</v>
      </c>
      <c r="Q232" t="n">
        <v>0</v>
      </c>
      <c r="R232" s="2" t="inlineStr"/>
    </row>
    <row r="233" ht="15" customHeight="1">
      <c r="A233" t="inlineStr">
        <is>
          <t>A 46614-2023</t>
        </is>
      </c>
      <c r="B233" s="1" t="n">
        <v>45198.40074074074</v>
      </c>
      <c r="C233" s="1" t="n">
        <v>46088</v>
      </c>
      <c r="D233" t="inlineStr">
        <is>
          <t>VÄSTERBOTTENS LÄN</t>
        </is>
      </c>
      <c r="E233" t="inlineStr">
        <is>
          <t>BJURHOLM</t>
        </is>
      </c>
      <c r="F233" t="inlineStr">
        <is>
          <t>Holmen skog AB</t>
        </is>
      </c>
      <c r="G233" t="n">
        <v>1.1</v>
      </c>
      <c r="H233" t="n">
        <v>0</v>
      </c>
      <c r="I233" t="n">
        <v>0</v>
      </c>
      <c r="J233" t="n">
        <v>0</v>
      </c>
      <c r="K233" t="n">
        <v>0</v>
      </c>
      <c r="L233" t="n">
        <v>0</v>
      </c>
      <c r="M233" t="n">
        <v>0</v>
      </c>
      <c r="N233" t="n">
        <v>0</v>
      </c>
      <c r="O233" t="n">
        <v>0</v>
      </c>
      <c r="P233" t="n">
        <v>0</v>
      </c>
      <c r="Q233" t="n">
        <v>0</v>
      </c>
      <c r="R233" s="2" t="inlineStr"/>
    </row>
    <row r="234" ht="15" customHeight="1">
      <c r="A234" t="inlineStr">
        <is>
          <t>A 22-2026</t>
        </is>
      </c>
      <c r="B234" s="1" t="n">
        <v>46023.84774305556</v>
      </c>
      <c r="C234" s="1" t="n">
        <v>46088</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34446-2025</t>
        </is>
      </c>
      <c r="B235" s="1" t="n">
        <v>45845</v>
      </c>
      <c r="C235" s="1" t="n">
        <v>46088</v>
      </c>
      <c r="D235" t="inlineStr">
        <is>
          <t>VÄSTERBOTTENS LÄN</t>
        </is>
      </c>
      <c r="E235" t="inlineStr">
        <is>
          <t>BJURHOLM</t>
        </is>
      </c>
      <c r="G235" t="n">
        <v>4.1</v>
      </c>
      <c r="H235" t="n">
        <v>0</v>
      </c>
      <c r="I235" t="n">
        <v>0</v>
      </c>
      <c r="J235" t="n">
        <v>0</v>
      </c>
      <c r="K235" t="n">
        <v>0</v>
      </c>
      <c r="L235" t="n">
        <v>0</v>
      </c>
      <c r="M235" t="n">
        <v>0</v>
      </c>
      <c r="N235" t="n">
        <v>0</v>
      </c>
      <c r="O235" t="n">
        <v>0</v>
      </c>
      <c r="P235" t="n">
        <v>0</v>
      </c>
      <c r="Q235" t="n">
        <v>0</v>
      </c>
      <c r="R235" s="2" t="inlineStr"/>
    </row>
    <row r="236" ht="15" customHeight="1">
      <c r="A236" t="inlineStr">
        <is>
          <t>A 57798-2024</t>
        </is>
      </c>
      <c r="B236" s="1" t="n">
        <v>45631.34457175926</v>
      </c>
      <c r="C236" s="1" t="n">
        <v>46088</v>
      </c>
      <c r="D236" t="inlineStr">
        <is>
          <t>VÄSTERBOTTENS LÄN</t>
        </is>
      </c>
      <c r="E236" t="inlineStr">
        <is>
          <t>BJURHOLM</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46088</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61597-2024</t>
        </is>
      </c>
      <c r="B238" s="1" t="n">
        <v>45646</v>
      </c>
      <c r="C238" s="1" t="n">
        <v>46088</v>
      </c>
      <c r="D238" t="inlineStr">
        <is>
          <t>VÄSTERBOTTENS LÄN</t>
        </is>
      </c>
      <c r="E238" t="inlineStr">
        <is>
          <t>BJURHOLM</t>
        </is>
      </c>
      <c r="G238" t="n">
        <v>2.3</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46088</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57697-2024</t>
        </is>
      </c>
      <c r="B240" s="1" t="n">
        <v>45630.66277777778</v>
      </c>
      <c r="C240" s="1" t="n">
        <v>46088</v>
      </c>
      <c r="D240" t="inlineStr">
        <is>
          <t>VÄSTERBOTTENS LÄN</t>
        </is>
      </c>
      <c r="E240" t="inlineStr">
        <is>
          <t>BJURHOLM</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9688-2024</t>
        </is>
      </c>
      <c r="B241" s="1" t="n">
        <v>45362</v>
      </c>
      <c r="C241" s="1" t="n">
        <v>46088</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3181-2025</t>
        </is>
      </c>
      <c r="B242" s="1" t="n">
        <v>45679.39748842592</v>
      </c>
      <c r="C242" s="1" t="n">
        <v>46088</v>
      </c>
      <c r="D242" t="inlineStr">
        <is>
          <t>VÄSTERBOTTENS LÄN</t>
        </is>
      </c>
      <c r="E242" t="inlineStr">
        <is>
          <t>BJURHOLM</t>
        </is>
      </c>
      <c r="G242" t="n">
        <v>2.7</v>
      </c>
      <c r="H242" t="n">
        <v>0</v>
      </c>
      <c r="I242" t="n">
        <v>0</v>
      </c>
      <c r="J242" t="n">
        <v>0</v>
      </c>
      <c r="K242" t="n">
        <v>0</v>
      </c>
      <c r="L242" t="n">
        <v>0</v>
      </c>
      <c r="M242" t="n">
        <v>0</v>
      </c>
      <c r="N242" t="n">
        <v>0</v>
      </c>
      <c r="O242" t="n">
        <v>0</v>
      </c>
      <c r="P242" t="n">
        <v>0</v>
      </c>
      <c r="Q242" t="n">
        <v>0</v>
      </c>
      <c r="R242" s="2" t="inlineStr"/>
    </row>
    <row r="243" ht="15" customHeight="1">
      <c r="A243" t="inlineStr">
        <is>
          <t>A 61151-2024</t>
        </is>
      </c>
      <c r="B243" s="1" t="n">
        <v>45645.58835648148</v>
      </c>
      <c r="C243" s="1" t="n">
        <v>46088</v>
      </c>
      <c r="D243" t="inlineStr">
        <is>
          <t>VÄSTERBOTTENS LÄN</t>
        </is>
      </c>
      <c r="E243" t="inlineStr">
        <is>
          <t>BJURHOLM</t>
        </is>
      </c>
      <c r="G243" t="n">
        <v>8</v>
      </c>
      <c r="H243" t="n">
        <v>0</v>
      </c>
      <c r="I243" t="n">
        <v>0</v>
      </c>
      <c r="J243" t="n">
        <v>0</v>
      </c>
      <c r="K243" t="n">
        <v>0</v>
      </c>
      <c r="L243" t="n">
        <v>0</v>
      </c>
      <c r="M243" t="n">
        <v>0</v>
      </c>
      <c r="N243" t="n">
        <v>0</v>
      </c>
      <c r="O243" t="n">
        <v>0</v>
      </c>
      <c r="P243" t="n">
        <v>0</v>
      </c>
      <c r="Q243" t="n">
        <v>0</v>
      </c>
      <c r="R243" s="2" t="inlineStr"/>
    </row>
    <row r="244" ht="15" customHeight="1">
      <c r="A244" t="inlineStr">
        <is>
          <t>A 10954-2025</t>
        </is>
      </c>
      <c r="B244" s="1" t="n">
        <v>45723.36034722222</v>
      </c>
      <c r="C244" s="1" t="n">
        <v>46088</v>
      </c>
      <c r="D244" t="inlineStr">
        <is>
          <t>VÄSTERBOTTENS LÄN</t>
        </is>
      </c>
      <c r="E244" t="inlineStr">
        <is>
          <t>BJURHOLM</t>
        </is>
      </c>
      <c r="G244" t="n">
        <v>1.2</v>
      </c>
      <c r="H244" t="n">
        <v>0</v>
      </c>
      <c r="I244" t="n">
        <v>0</v>
      </c>
      <c r="J244" t="n">
        <v>0</v>
      </c>
      <c r="K244" t="n">
        <v>0</v>
      </c>
      <c r="L244" t="n">
        <v>0</v>
      </c>
      <c r="M244" t="n">
        <v>0</v>
      </c>
      <c r="N244" t="n">
        <v>0</v>
      </c>
      <c r="O244" t="n">
        <v>0</v>
      </c>
      <c r="P244" t="n">
        <v>0</v>
      </c>
      <c r="Q244" t="n">
        <v>0</v>
      </c>
      <c r="R244" s="2" t="inlineStr"/>
    </row>
    <row r="245" ht="15" customHeight="1">
      <c r="A245" t="inlineStr">
        <is>
          <t>A 36707-2024</t>
        </is>
      </c>
      <c r="B245" s="1" t="n">
        <v>45537</v>
      </c>
      <c r="C245" s="1" t="n">
        <v>46088</v>
      </c>
      <c r="D245" t="inlineStr">
        <is>
          <t>VÄSTERBOTTENS LÄN</t>
        </is>
      </c>
      <c r="E245" t="inlineStr">
        <is>
          <t>BJURHOLM</t>
        </is>
      </c>
      <c r="G245" t="n">
        <v>7.1</v>
      </c>
      <c r="H245" t="n">
        <v>0</v>
      </c>
      <c r="I245" t="n">
        <v>0</v>
      </c>
      <c r="J245" t="n">
        <v>0</v>
      </c>
      <c r="K245" t="n">
        <v>0</v>
      </c>
      <c r="L245" t="n">
        <v>0</v>
      </c>
      <c r="M245" t="n">
        <v>0</v>
      </c>
      <c r="N245" t="n">
        <v>0</v>
      </c>
      <c r="O245" t="n">
        <v>0</v>
      </c>
      <c r="P245" t="n">
        <v>0</v>
      </c>
      <c r="Q245" t="n">
        <v>0</v>
      </c>
      <c r="R245" s="2" t="inlineStr"/>
    </row>
    <row r="246" ht="15" customHeight="1">
      <c r="A246" t="inlineStr">
        <is>
          <t>A 20777-2024</t>
        </is>
      </c>
      <c r="B246" s="1" t="n">
        <v>45436</v>
      </c>
      <c r="C246" s="1" t="n">
        <v>46088</v>
      </c>
      <c r="D246" t="inlineStr">
        <is>
          <t>VÄSTERBOTTENS LÄN</t>
        </is>
      </c>
      <c r="E246" t="inlineStr">
        <is>
          <t>BJURHOLM</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20779-2024</t>
        </is>
      </c>
      <c r="B247" s="1" t="n">
        <v>45436.94708333333</v>
      </c>
      <c r="C247" s="1" t="n">
        <v>46088</v>
      </c>
      <c r="D247" t="inlineStr">
        <is>
          <t>VÄSTERBOTTENS LÄN</t>
        </is>
      </c>
      <c r="E247" t="inlineStr">
        <is>
          <t>BJURHOLM</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49236-2025</t>
        </is>
      </c>
      <c r="B248" s="1" t="n">
        <v>45938.48</v>
      </c>
      <c r="C248" s="1" t="n">
        <v>46088</v>
      </c>
      <c r="D248" t="inlineStr">
        <is>
          <t>VÄSTERBOTTENS LÄN</t>
        </is>
      </c>
      <c r="E248" t="inlineStr">
        <is>
          <t>BJURHOLM</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32035-2021</t>
        </is>
      </c>
      <c r="B249" s="1" t="n">
        <v>44370.65484953704</v>
      </c>
      <c r="C249" s="1" t="n">
        <v>46088</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8796-2026</t>
        </is>
      </c>
      <c r="B250" s="1" t="n">
        <v>46066.59456018519</v>
      </c>
      <c r="C250" s="1" t="n">
        <v>46088</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50189-2024</t>
        </is>
      </c>
      <c r="B251" s="1" t="n">
        <v>45600.47861111111</v>
      </c>
      <c r="C251" s="1" t="n">
        <v>46088</v>
      </c>
      <c r="D251" t="inlineStr">
        <is>
          <t>VÄSTERBOTTENS LÄN</t>
        </is>
      </c>
      <c r="E251" t="inlineStr">
        <is>
          <t>BJURHOLM</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49382-2025</t>
        </is>
      </c>
      <c r="B252" s="1" t="n">
        <v>45938.63704861111</v>
      </c>
      <c r="C252" s="1" t="n">
        <v>46088</v>
      </c>
      <c r="D252" t="inlineStr">
        <is>
          <t>VÄSTERBOTTENS LÄN</t>
        </is>
      </c>
      <c r="E252" t="inlineStr">
        <is>
          <t>BJURHOLM</t>
        </is>
      </c>
      <c r="G252" t="n">
        <v>0.6</v>
      </c>
      <c r="H252" t="n">
        <v>0</v>
      </c>
      <c r="I252" t="n">
        <v>0</v>
      </c>
      <c r="J252" t="n">
        <v>0</v>
      </c>
      <c r="K252" t="n">
        <v>0</v>
      </c>
      <c r="L252" t="n">
        <v>0</v>
      </c>
      <c r="M252" t="n">
        <v>0</v>
      </c>
      <c r="N252" t="n">
        <v>0</v>
      </c>
      <c r="O252" t="n">
        <v>0</v>
      </c>
      <c r="P252" t="n">
        <v>0</v>
      </c>
      <c r="Q252" t="n">
        <v>0</v>
      </c>
      <c r="R252" s="2" t="inlineStr"/>
    </row>
    <row r="253" ht="15" customHeight="1">
      <c r="A253" t="inlineStr">
        <is>
          <t>A 50027-2025</t>
        </is>
      </c>
      <c r="B253" s="1" t="n">
        <v>45943.38288194445</v>
      </c>
      <c r="C253" s="1" t="n">
        <v>46088</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50046-2025</t>
        </is>
      </c>
      <c r="B254" s="1" t="n">
        <v>45943.40912037037</v>
      </c>
      <c r="C254" s="1" t="n">
        <v>46088</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46088</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36264-2025</t>
        </is>
      </c>
      <c r="B256" s="1" t="n">
        <v>45867.61530092593</v>
      </c>
      <c r="C256" s="1" t="n">
        <v>46088</v>
      </c>
      <c r="D256" t="inlineStr">
        <is>
          <t>VÄSTERBOTTENS LÄN</t>
        </is>
      </c>
      <c r="E256" t="inlineStr">
        <is>
          <t>BJURHOLM</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46088</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50494-2025</t>
        </is>
      </c>
      <c r="B258" s="1" t="n">
        <v>45945.40693287037</v>
      </c>
      <c r="C258" s="1" t="n">
        <v>46088</v>
      </c>
      <c r="D258" t="inlineStr">
        <is>
          <t>VÄSTERBOTTENS LÄN</t>
        </is>
      </c>
      <c r="E258" t="inlineStr">
        <is>
          <t>BJURHOLM</t>
        </is>
      </c>
      <c r="G258" t="n">
        <v>7.5</v>
      </c>
      <c r="H258" t="n">
        <v>0</v>
      </c>
      <c r="I258" t="n">
        <v>0</v>
      </c>
      <c r="J258" t="n">
        <v>0</v>
      </c>
      <c r="K258" t="n">
        <v>0</v>
      </c>
      <c r="L258" t="n">
        <v>0</v>
      </c>
      <c r="M258" t="n">
        <v>0</v>
      </c>
      <c r="N258" t="n">
        <v>0</v>
      </c>
      <c r="O258" t="n">
        <v>0</v>
      </c>
      <c r="P258" t="n">
        <v>0</v>
      </c>
      <c r="Q258" t="n">
        <v>0</v>
      </c>
      <c r="R258" s="2" t="inlineStr"/>
    </row>
    <row r="259" ht="15" customHeight="1">
      <c r="A259" t="inlineStr">
        <is>
          <t>A 25794-2024</t>
        </is>
      </c>
      <c r="B259" s="1" t="n">
        <v>45467</v>
      </c>
      <c r="C259" s="1" t="n">
        <v>46088</v>
      </c>
      <c r="D259" t="inlineStr">
        <is>
          <t>VÄSTERBOTTENS LÄN</t>
        </is>
      </c>
      <c r="E259" t="inlineStr">
        <is>
          <t>BJURHOLM</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25099-2025</t>
        </is>
      </c>
      <c r="B260" s="1" t="n">
        <v>45800</v>
      </c>
      <c r="C260" s="1" t="n">
        <v>46088</v>
      </c>
      <c r="D260" t="inlineStr">
        <is>
          <t>VÄSTERBOTTENS LÄN</t>
        </is>
      </c>
      <c r="E260" t="inlineStr">
        <is>
          <t>BJURHOLM</t>
        </is>
      </c>
      <c r="F260" t="inlineStr">
        <is>
          <t>SCA</t>
        </is>
      </c>
      <c r="G260" t="n">
        <v>7.8</v>
      </c>
      <c r="H260" t="n">
        <v>0</v>
      </c>
      <c r="I260" t="n">
        <v>0</v>
      </c>
      <c r="J260" t="n">
        <v>0</v>
      </c>
      <c r="K260" t="n">
        <v>0</v>
      </c>
      <c r="L260" t="n">
        <v>0</v>
      </c>
      <c r="M260" t="n">
        <v>0</v>
      </c>
      <c r="N260" t="n">
        <v>0</v>
      </c>
      <c r="O260" t="n">
        <v>0</v>
      </c>
      <c r="P260" t="n">
        <v>0</v>
      </c>
      <c r="Q260" t="n">
        <v>0</v>
      </c>
      <c r="R260" s="2" t="inlineStr"/>
    </row>
    <row r="261" ht="15" customHeight="1">
      <c r="A261" t="inlineStr">
        <is>
          <t>A 50810-2025</t>
        </is>
      </c>
      <c r="B261" s="1" t="n">
        <v>45946.51113425926</v>
      </c>
      <c r="C261" s="1" t="n">
        <v>46088</v>
      </c>
      <c r="D261" t="inlineStr">
        <is>
          <t>VÄSTERBOTTENS LÄN</t>
        </is>
      </c>
      <c r="E261" t="inlineStr">
        <is>
          <t>BJURHOLM</t>
        </is>
      </c>
      <c r="G261" t="n">
        <v>8.6</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46088</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46088</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46435-2024</t>
        </is>
      </c>
      <c r="B264" s="1" t="n">
        <v>45582.47464120371</v>
      </c>
      <c r="C264" s="1" t="n">
        <v>46088</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46088</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46498-2024</t>
        </is>
      </c>
      <c r="B266" s="1" t="n">
        <v>45582</v>
      </c>
      <c r="C266" s="1" t="n">
        <v>46088</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42536-2024</t>
        </is>
      </c>
      <c r="B267" s="1" t="n">
        <v>45565.58391203704</v>
      </c>
      <c r="C267" s="1" t="n">
        <v>46088</v>
      </c>
      <c r="D267" t="inlineStr">
        <is>
          <t>VÄSTERBOTTENS LÄN</t>
        </is>
      </c>
      <c r="E267" t="inlineStr">
        <is>
          <t>BJURHOLM</t>
        </is>
      </c>
      <c r="G267" t="n">
        <v>5.5</v>
      </c>
      <c r="H267" t="n">
        <v>0</v>
      </c>
      <c r="I267" t="n">
        <v>0</v>
      </c>
      <c r="J267" t="n">
        <v>0</v>
      </c>
      <c r="K267" t="n">
        <v>0</v>
      </c>
      <c r="L267" t="n">
        <v>0</v>
      </c>
      <c r="M267" t="n">
        <v>0</v>
      </c>
      <c r="N267" t="n">
        <v>0</v>
      </c>
      <c r="O267" t="n">
        <v>0</v>
      </c>
      <c r="P267" t="n">
        <v>0</v>
      </c>
      <c r="Q267" t="n">
        <v>0</v>
      </c>
      <c r="R267" s="2" t="inlineStr"/>
    </row>
    <row r="268" ht="15" customHeight="1">
      <c r="A268" t="inlineStr">
        <is>
          <t>A 50811-2025</t>
        </is>
      </c>
      <c r="B268" s="1" t="n">
        <v>45946.51122685185</v>
      </c>
      <c r="C268" s="1" t="n">
        <v>46088</v>
      </c>
      <c r="D268" t="inlineStr">
        <is>
          <t>VÄSTERBOTTENS LÄN</t>
        </is>
      </c>
      <c r="E268" t="inlineStr">
        <is>
          <t>BJURHOLM</t>
        </is>
      </c>
      <c r="G268" t="n">
        <v>0.7</v>
      </c>
      <c r="H268" t="n">
        <v>0</v>
      </c>
      <c r="I268" t="n">
        <v>0</v>
      </c>
      <c r="J268" t="n">
        <v>0</v>
      </c>
      <c r="K268" t="n">
        <v>0</v>
      </c>
      <c r="L268" t="n">
        <v>0</v>
      </c>
      <c r="M268" t="n">
        <v>0</v>
      </c>
      <c r="N268" t="n">
        <v>0</v>
      </c>
      <c r="O268" t="n">
        <v>0</v>
      </c>
      <c r="P268" t="n">
        <v>0</v>
      </c>
      <c r="Q268" t="n">
        <v>0</v>
      </c>
      <c r="R268" s="2" t="inlineStr"/>
    </row>
    <row r="269" ht="15" customHeight="1">
      <c r="A269" t="inlineStr">
        <is>
          <t>A 29006-2023</t>
        </is>
      </c>
      <c r="B269" s="1" t="n">
        <v>45104.65298611111</v>
      </c>
      <c r="C269" s="1" t="n">
        <v>46088</v>
      </c>
      <c r="D269" t="inlineStr">
        <is>
          <t>VÄSTERBOTTENS LÄN</t>
        </is>
      </c>
      <c r="E269" t="inlineStr">
        <is>
          <t>BJURHOLM</t>
        </is>
      </c>
      <c r="F269" t="inlineStr">
        <is>
          <t>Holmen skog AB</t>
        </is>
      </c>
      <c r="G269" t="n">
        <v>17.2</v>
      </c>
      <c r="H269" t="n">
        <v>0</v>
      </c>
      <c r="I269" t="n">
        <v>0</v>
      </c>
      <c r="J269" t="n">
        <v>0</v>
      </c>
      <c r="K269" t="n">
        <v>0</v>
      </c>
      <c r="L269" t="n">
        <v>0</v>
      </c>
      <c r="M269" t="n">
        <v>0</v>
      </c>
      <c r="N269" t="n">
        <v>0</v>
      </c>
      <c r="O269" t="n">
        <v>0</v>
      </c>
      <c r="P269" t="n">
        <v>0</v>
      </c>
      <c r="Q269" t="n">
        <v>0</v>
      </c>
      <c r="R269" s="2" t="inlineStr"/>
    </row>
    <row r="270" ht="15" customHeight="1">
      <c r="A270" t="inlineStr">
        <is>
          <t>A 3058-2025</t>
        </is>
      </c>
      <c r="B270" s="1" t="n">
        <v>45678.61952546296</v>
      </c>
      <c r="C270" s="1" t="n">
        <v>46088</v>
      </c>
      <c r="D270" t="inlineStr">
        <is>
          <t>VÄSTERBOTTENS LÄN</t>
        </is>
      </c>
      <c r="E270" t="inlineStr">
        <is>
          <t>BJURHOLM</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46088</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393-2026</t>
        </is>
      </c>
      <c r="B272" s="1" t="n">
        <v>46028</v>
      </c>
      <c r="C272" s="1" t="n">
        <v>46088</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46088</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44812-2023</t>
        </is>
      </c>
      <c r="B274" s="1" t="n">
        <v>45190.50340277778</v>
      </c>
      <c r="C274" s="1" t="n">
        <v>46088</v>
      </c>
      <c r="D274" t="inlineStr">
        <is>
          <t>VÄSTERBOTTENS LÄN</t>
        </is>
      </c>
      <c r="E274" t="inlineStr">
        <is>
          <t>BJURHOLM</t>
        </is>
      </c>
      <c r="G274" t="n">
        <v>1.3</v>
      </c>
      <c r="H274" t="n">
        <v>0</v>
      </c>
      <c r="I274" t="n">
        <v>0</v>
      </c>
      <c r="J274" t="n">
        <v>0</v>
      </c>
      <c r="K274" t="n">
        <v>0</v>
      </c>
      <c r="L274" t="n">
        <v>0</v>
      </c>
      <c r="M274" t="n">
        <v>0</v>
      </c>
      <c r="N274" t="n">
        <v>0</v>
      </c>
      <c r="O274" t="n">
        <v>0</v>
      </c>
      <c r="P274" t="n">
        <v>0</v>
      </c>
      <c r="Q274" t="n">
        <v>0</v>
      </c>
      <c r="R274" s="2" t="inlineStr"/>
    </row>
    <row r="275" ht="15" customHeight="1">
      <c r="A275" t="inlineStr">
        <is>
          <t>A 37199-2025</t>
        </is>
      </c>
      <c r="B275" s="1" t="n">
        <v>45875.67760416667</v>
      </c>
      <c r="C275" s="1" t="n">
        <v>46088</v>
      </c>
      <c r="D275" t="inlineStr">
        <is>
          <t>VÄSTERBOTTENS LÄN</t>
        </is>
      </c>
      <c r="E275" t="inlineStr">
        <is>
          <t>BJURHOLM</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17867-2025</t>
        </is>
      </c>
      <c r="B276" s="1" t="n">
        <v>45758.63064814815</v>
      </c>
      <c r="C276" s="1" t="n">
        <v>46088</v>
      </c>
      <c r="D276" t="inlineStr">
        <is>
          <t>VÄSTERBOTTENS LÄN</t>
        </is>
      </c>
      <c r="E276" t="inlineStr">
        <is>
          <t>BJURHOLM</t>
        </is>
      </c>
      <c r="G276" t="n">
        <v>4.6</v>
      </c>
      <c r="H276" t="n">
        <v>0</v>
      </c>
      <c r="I276" t="n">
        <v>0</v>
      </c>
      <c r="J276" t="n">
        <v>0</v>
      </c>
      <c r="K276" t="n">
        <v>0</v>
      </c>
      <c r="L276" t="n">
        <v>0</v>
      </c>
      <c r="M276" t="n">
        <v>0</v>
      </c>
      <c r="N276" t="n">
        <v>0</v>
      </c>
      <c r="O276" t="n">
        <v>0</v>
      </c>
      <c r="P276" t="n">
        <v>0</v>
      </c>
      <c r="Q276" t="n">
        <v>0</v>
      </c>
      <c r="R276" s="2" t="inlineStr"/>
    </row>
    <row r="277" ht="15" customHeight="1">
      <c r="A277" t="inlineStr">
        <is>
          <t>A 36996-2025</t>
        </is>
      </c>
      <c r="B277" s="1" t="n">
        <v>45874.67782407408</v>
      </c>
      <c r="C277" s="1" t="n">
        <v>46088</v>
      </c>
      <c r="D277" t="inlineStr">
        <is>
          <t>VÄSTERBOTTENS LÄN</t>
        </is>
      </c>
      <c r="E277" t="inlineStr">
        <is>
          <t>BJURHOLM</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36901-2025</t>
        </is>
      </c>
      <c r="B278" s="1" t="n">
        <v>45874.48631944445</v>
      </c>
      <c r="C278" s="1" t="n">
        <v>46088</v>
      </c>
      <c r="D278" t="inlineStr">
        <is>
          <t>VÄSTERBOTTENS LÄN</t>
        </is>
      </c>
      <c r="E278" t="inlineStr">
        <is>
          <t>BJURHOLM</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52235-2025</t>
        </is>
      </c>
      <c r="B279" s="1" t="n">
        <v>45953.4543287037</v>
      </c>
      <c r="C279" s="1" t="n">
        <v>46088</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22036-2023</t>
        </is>
      </c>
      <c r="B280" s="1" t="n">
        <v>45069.37450231481</v>
      </c>
      <c r="C280" s="1" t="n">
        <v>46088</v>
      </c>
      <c r="D280" t="inlineStr">
        <is>
          <t>VÄSTERBOTTENS LÄN</t>
        </is>
      </c>
      <c r="E280" t="inlineStr">
        <is>
          <t>BJURHOLM</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37046-2025</t>
        </is>
      </c>
      <c r="B281" s="1" t="n">
        <v>45875.34476851852</v>
      </c>
      <c r="C281" s="1" t="n">
        <v>46088</v>
      </c>
      <c r="D281" t="inlineStr">
        <is>
          <t>VÄSTERBOTTENS LÄN</t>
        </is>
      </c>
      <c r="E281" t="inlineStr">
        <is>
          <t>BJURHOLM</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45953.41458333333</v>
      </c>
      <c r="C282" s="1" t="n">
        <v>46088</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8502-2024</t>
        </is>
      </c>
      <c r="B283" s="1" t="n">
        <v>45351</v>
      </c>
      <c r="C283" s="1" t="n">
        <v>46088</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37928-2025</t>
        </is>
      </c>
      <c r="B284" s="1" t="n">
        <v>45880</v>
      </c>
      <c r="C284" s="1" t="n">
        <v>46088</v>
      </c>
      <c r="D284" t="inlineStr">
        <is>
          <t>VÄSTERBOTTENS LÄN</t>
        </is>
      </c>
      <c r="E284" t="inlineStr">
        <is>
          <t>BJURHOLM</t>
        </is>
      </c>
      <c r="G284" t="n">
        <v>16.5</v>
      </c>
      <c r="H284" t="n">
        <v>0</v>
      </c>
      <c r="I284" t="n">
        <v>0</v>
      </c>
      <c r="J284" t="n">
        <v>0</v>
      </c>
      <c r="K284" t="n">
        <v>0</v>
      </c>
      <c r="L284" t="n">
        <v>0</v>
      </c>
      <c r="M284" t="n">
        <v>0</v>
      </c>
      <c r="N284" t="n">
        <v>0</v>
      </c>
      <c r="O284" t="n">
        <v>0</v>
      </c>
      <c r="P284" t="n">
        <v>0</v>
      </c>
      <c r="Q284" t="n">
        <v>0</v>
      </c>
      <c r="R284" s="2" t="inlineStr"/>
    </row>
    <row r="285" ht="15" customHeight="1">
      <c r="A285" t="inlineStr">
        <is>
          <t>A 37826-2025</t>
        </is>
      </c>
      <c r="B285" s="1" t="n">
        <v>45881.40806712963</v>
      </c>
      <c r="C285" s="1" t="n">
        <v>46088</v>
      </c>
      <c r="D285" t="inlineStr">
        <is>
          <t>VÄSTERBOTTENS LÄN</t>
        </is>
      </c>
      <c r="E285" t="inlineStr">
        <is>
          <t>BJURHOLM</t>
        </is>
      </c>
      <c r="G285" t="n">
        <v>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46088</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37943-2025</t>
        </is>
      </c>
      <c r="B287" s="1" t="n">
        <v>45880</v>
      </c>
      <c r="C287" s="1" t="n">
        <v>46088</v>
      </c>
      <c r="D287" t="inlineStr">
        <is>
          <t>VÄSTERBOTTENS LÄN</t>
        </is>
      </c>
      <c r="E287" t="inlineStr">
        <is>
          <t>BJURHOLM</t>
        </is>
      </c>
      <c r="G287" t="n">
        <v>6.9</v>
      </c>
      <c r="H287" t="n">
        <v>0</v>
      </c>
      <c r="I287" t="n">
        <v>0</v>
      </c>
      <c r="J287" t="n">
        <v>0</v>
      </c>
      <c r="K287" t="n">
        <v>0</v>
      </c>
      <c r="L287" t="n">
        <v>0</v>
      </c>
      <c r="M287" t="n">
        <v>0</v>
      </c>
      <c r="N287" t="n">
        <v>0</v>
      </c>
      <c r="O287" t="n">
        <v>0</v>
      </c>
      <c r="P287" t="n">
        <v>0</v>
      </c>
      <c r="Q287" t="n">
        <v>0</v>
      </c>
      <c r="R287" s="2" t="inlineStr"/>
    </row>
    <row r="288" ht="15" customHeight="1">
      <c r="A288" t="inlineStr">
        <is>
          <t>A 14414-2024</t>
        </is>
      </c>
      <c r="B288" s="1" t="n">
        <v>45393</v>
      </c>
      <c r="C288" s="1" t="n">
        <v>46088</v>
      </c>
      <c r="D288" t="inlineStr">
        <is>
          <t>VÄSTERBOTTENS LÄN</t>
        </is>
      </c>
      <c r="E288" t="inlineStr">
        <is>
          <t>BJURHOLM</t>
        </is>
      </c>
      <c r="G288" t="n">
        <v>7.1</v>
      </c>
      <c r="H288" t="n">
        <v>0</v>
      </c>
      <c r="I288" t="n">
        <v>0</v>
      </c>
      <c r="J288" t="n">
        <v>0</v>
      </c>
      <c r="K288" t="n">
        <v>0</v>
      </c>
      <c r="L288" t="n">
        <v>0</v>
      </c>
      <c r="M288" t="n">
        <v>0</v>
      </c>
      <c r="N288" t="n">
        <v>0</v>
      </c>
      <c r="O288" t="n">
        <v>0</v>
      </c>
      <c r="P288" t="n">
        <v>0</v>
      </c>
      <c r="Q288" t="n">
        <v>0</v>
      </c>
      <c r="R288" s="2" t="inlineStr"/>
    </row>
    <row r="289" ht="15" customHeight="1">
      <c r="A289" t="inlineStr">
        <is>
          <t>A 14438-2024</t>
        </is>
      </c>
      <c r="B289" s="1" t="n">
        <v>45394</v>
      </c>
      <c r="C289" s="1" t="n">
        <v>46088</v>
      </c>
      <c r="D289" t="inlineStr">
        <is>
          <t>VÄSTERBOTTENS LÄN</t>
        </is>
      </c>
      <c r="E289" t="inlineStr">
        <is>
          <t>BJURHOLM</t>
        </is>
      </c>
      <c r="G289" t="n">
        <v>5</v>
      </c>
      <c r="H289" t="n">
        <v>0</v>
      </c>
      <c r="I289" t="n">
        <v>0</v>
      </c>
      <c r="J289" t="n">
        <v>0</v>
      </c>
      <c r="K289" t="n">
        <v>0</v>
      </c>
      <c r="L289" t="n">
        <v>0</v>
      </c>
      <c r="M289" t="n">
        <v>0</v>
      </c>
      <c r="N289" t="n">
        <v>0</v>
      </c>
      <c r="O289" t="n">
        <v>0</v>
      </c>
      <c r="P289" t="n">
        <v>0</v>
      </c>
      <c r="Q289" t="n">
        <v>0</v>
      </c>
      <c r="R289" s="2" t="inlineStr"/>
    </row>
    <row r="290" ht="15" customHeight="1">
      <c r="A290" t="inlineStr">
        <is>
          <t>A 14443-2024</t>
        </is>
      </c>
      <c r="B290" s="1" t="n">
        <v>45394</v>
      </c>
      <c r="C290" s="1" t="n">
        <v>46088</v>
      </c>
      <c r="D290" t="inlineStr">
        <is>
          <t>VÄSTERBOTTENS LÄN</t>
        </is>
      </c>
      <c r="E290" t="inlineStr">
        <is>
          <t>BJURHOLM</t>
        </is>
      </c>
      <c r="G290" t="n">
        <v>4.1</v>
      </c>
      <c r="H290" t="n">
        <v>0</v>
      </c>
      <c r="I290" t="n">
        <v>0</v>
      </c>
      <c r="J290" t="n">
        <v>0</v>
      </c>
      <c r="K290" t="n">
        <v>0</v>
      </c>
      <c r="L290" t="n">
        <v>0</v>
      </c>
      <c r="M290" t="n">
        <v>0</v>
      </c>
      <c r="N290" t="n">
        <v>0</v>
      </c>
      <c r="O290" t="n">
        <v>0</v>
      </c>
      <c r="P290" t="n">
        <v>0</v>
      </c>
      <c r="Q290" t="n">
        <v>0</v>
      </c>
      <c r="R290" s="2" t="inlineStr"/>
    </row>
    <row r="291" ht="15" customHeight="1">
      <c r="A291" t="inlineStr">
        <is>
          <t>A 37829-2025</t>
        </is>
      </c>
      <c r="B291" s="1" t="n">
        <v>45881.41208333334</v>
      </c>
      <c r="C291" s="1" t="n">
        <v>46088</v>
      </c>
      <c r="D291" t="inlineStr">
        <is>
          <t>VÄSTERBOTTENS LÄN</t>
        </is>
      </c>
      <c r="E291" t="inlineStr">
        <is>
          <t>BJURHOLM</t>
        </is>
      </c>
      <c r="G291" t="n">
        <v>5.6</v>
      </c>
      <c r="H291" t="n">
        <v>0</v>
      </c>
      <c r="I291" t="n">
        <v>0</v>
      </c>
      <c r="J291" t="n">
        <v>0</v>
      </c>
      <c r="K291" t="n">
        <v>0</v>
      </c>
      <c r="L291" t="n">
        <v>0</v>
      </c>
      <c r="M291" t="n">
        <v>0</v>
      </c>
      <c r="N291" t="n">
        <v>0</v>
      </c>
      <c r="O291" t="n">
        <v>0</v>
      </c>
      <c r="P291" t="n">
        <v>0</v>
      </c>
      <c r="Q291" t="n">
        <v>0</v>
      </c>
      <c r="R291" s="2" t="inlineStr"/>
    </row>
    <row r="292" ht="15" customHeight="1">
      <c r="A292" t="inlineStr">
        <is>
          <t>A 37756-2025</t>
        </is>
      </c>
      <c r="B292" s="1" t="n">
        <v>45880.67780092593</v>
      </c>
      <c r="C292" s="1" t="n">
        <v>46088</v>
      </c>
      <c r="D292" t="inlineStr">
        <is>
          <t>VÄSTERBOTTENS LÄN</t>
        </is>
      </c>
      <c r="E292" t="inlineStr">
        <is>
          <t>BJURHOLM</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37888-2025</t>
        </is>
      </c>
      <c r="B293" s="1" t="n">
        <v>45881.51483796296</v>
      </c>
      <c r="C293" s="1" t="n">
        <v>46088</v>
      </c>
      <c r="D293" t="inlineStr">
        <is>
          <t>VÄSTERBOTTENS LÄN</t>
        </is>
      </c>
      <c r="E293" t="inlineStr">
        <is>
          <t>BJURHOLM</t>
        </is>
      </c>
      <c r="G293" t="n">
        <v>4.3</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46088</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37926-2025</t>
        </is>
      </c>
      <c r="B295" s="1" t="n">
        <v>45880</v>
      </c>
      <c r="C295" s="1" t="n">
        <v>46088</v>
      </c>
      <c r="D295" t="inlineStr">
        <is>
          <t>VÄSTERBOTTENS LÄN</t>
        </is>
      </c>
      <c r="E295" t="inlineStr">
        <is>
          <t>BJURHOLM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37881-2025</t>
        </is>
      </c>
      <c r="B296" s="1" t="n">
        <v>45880</v>
      </c>
      <c r="C296" s="1" t="n">
        <v>46088</v>
      </c>
      <c r="D296" t="inlineStr">
        <is>
          <t>VÄSTERBOTTENS LÄN</t>
        </is>
      </c>
      <c r="E296" t="inlineStr">
        <is>
          <t>BJURHOLM</t>
        </is>
      </c>
      <c r="G296" t="n">
        <v>8</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46088</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46088</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46088</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9264-2026</t>
        </is>
      </c>
      <c r="B300" s="1" t="n">
        <v>46070.53387731482</v>
      </c>
      <c r="C300" s="1" t="n">
        <v>46088</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7431-2024</t>
        </is>
      </c>
      <c r="B301" s="1" t="n">
        <v>45345</v>
      </c>
      <c r="C301" s="1" t="n">
        <v>46088</v>
      </c>
      <c r="D301" t="inlineStr">
        <is>
          <t>VÄSTERBOTTENS LÄN</t>
        </is>
      </c>
      <c r="E301" t="inlineStr">
        <is>
          <t>BJURHOLM</t>
        </is>
      </c>
      <c r="G301" t="n">
        <v>2.5</v>
      </c>
      <c r="H301" t="n">
        <v>0</v>
      </c>
      <c r="I301" t="n">
        <v>0</v>
      </c>
      <c r="J301" t="n">
        <v>0</v>
      </c>
      <c r="K301" t="n">
        <v>0</v>
      </c>
      <c r="L301" t="n">
        <v>0</v>
      </c>
      <c r="M301" t="n">
        <v>0</v>
      </c>
      <c r="N301" t="n">
        <v>0</v>
      </c>
      <c r="O301" t="n">
        <v>0</v>
      </c>
      <c r="P301" t="n">
        <v>0</v>
      </c>
      <c r="Q301" t="n">
        <v>0</v>
      </c>
      <c r="R301" s="2" t="inlineStr"/>
    </row>
    <row r="302" ht="15" customHeight="1">
      <c r="A302" t="inlineStr">
        <is>
          <t>A 38444-2025</t>
        </is>
      </c>
      <c r="B302" s="1" t="n">
        <v>45883.65666666667</v>
      </c>
      <c r="C302" s="1" t="n">
        <v>46088</v>
      </c>
      <c r="D302" t="inlineStr">
        <is>
          <t>VÄSTERBOTTENS LÄN</t>
        </is>
      </c>
      <c r="E302" t="inlineStr">
        <is>
          <t>BJURHOLM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38426-2025</t>
        </is>
      </c>
      <c r="B303" s="1" t="n">
        <v>45883.63590277778</v>
      </c>
      <c r="C303" s="1" t="n">
        <v>46088</v>
      </c>
      <c r="D303" t="inlineStr">
        <is>
          <t>VÄSTERBOTTENS LÄN</t>
        </is>
      </c>
      <c r="E303" t="inlineStr">
        <is>
          <t>BJURHOLM</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46088</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992-2026</t>
        </is>
      </c>
      <c r="B305" s="1" t="n">
        <v>46030.58759259259</v>
      </c>
      <c r="C305" s="1" t="n">
        <v>46088</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11729-2025</t>
        </is>
      </c>
      <c r="B306" s="1" t="n">
        <v>45727.61769675926</v>
      </c>
      <c r="C306" s="1" t="n">
        <v>46088</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46088</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16327-2024</t>
        </is>
      </c>
      <c r="B308" s="1" t="n">
        <v>45407.51649305555</v>
      </c>
      <c r="C308" s="1" t="n">
        <v>46088</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62087-2022</t>
        </is>
      </c>
      <c r="B309" s="1" t="n">
        <v>44919</v>
      </c>
      <c r="C309" s="1" t="n">
        <v>46088</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53261-2024</t>
        </is>
      </c>
      <c r="B310" s="1" t="n">
        <v>45614.34428240741</v>
      </c>
      <c r="C310" s="1" t="n">
        <v>46088</v>
      </c>
      <c r="D310" t="inlineStr">
        <is>
          <t>VÄSTERBOTTENS LÄN</t>
        </is>
      </c>
      <c r="E310" t="inlineStr">
        <is>
          <t>BJURHOLM</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20836-2022</t>
        </is>
      </c>
      <c r="B311" s="1" t="n">
        <v>44701</v>
      </c>
      <c r="C311" s="1" t="n">
        <v>46088</v>
      </c>
      <c r="D311" t="inlineStr">
        <is>
          <t>VÄSTERBOTTENS LÄN</t>
        </is>
      </c>
      <c r="E311" t="inlineStr">
        <is>
          <t>BJURHOLM</t>
        </is>
      </c>
      <c r="G311" t="n">
        <v>2.8</v>
      </c>
      <c r="H311" t="n">
        <v>0</v>
      </c>
      <c r="I311" t="n">
        <v>0</v>
      </c>
      <c r="J311" t="n">
        <v>0</v>
      </c>
      <c r="K311" t="n">
        <v>0</v>
      </c>
      <c r="L311" t="n">
        <v>0</v>
      </c>
      <c r="M311" t="n">
        <v>0</v>
      </c>
      <c r="N311" t="n">
        <v>0</v>
      </c>
      <c r="O311" t="n">
        <v>0</v>
      </c>
      <c r="P311" t="n">
        <v>0</v>
      </c>
      <c r="Q311" t="n">
        <v>0</v>
      </c>
      <c r="R311" s="2" t="inlineStr"/>
    </row>
    <row r="312" ht="15" customHeight="1">
      <c r="A312" t="inlineStr">
        <is>
          <t>A 10918-2023</t>
        </is>
      </c>
      <c r="B312" s="1" t="n">
        <v>44991</v>
      </c>
      <c r="C312" s="1" t="n">
        <v>46088</v>
      </c>
      <c r="D312" t="inlineStr">
        <is>
          <t>VÄSTERBOTTENS LÄN</t>
        </is>
      </c>
      <c r="E312" t="inlineStr">
        <is>
          <t>BJURHOLM</t>
        </is>
      </c>
      <c r="G312" t="n">
        <v>5.8</v>
      </c>
      <c r="H312" t="n">
        <v>0</v>
      </c>
      <c r="I312" t="n">
        <v>0</v>
      </c>
      <c r="J312" t="n">
        <v>0</v>
      </c>
      <c r="K312" t="n">
        <v>0</v>
      </c>
      <c r="L312" t="n">
        <v>0</v>
      </c>
      <c r="M312" t="n">
        <v>0</v>
      </c>
      <c r="N312" t="n">
        <v>0</v>
      </c>
      <c r="O312" t="n">
        <v>0</v>
      </c>
      <c r="P312" t="n">
        <v>0</v>
      </c>
      <c r="Q312" t="n">
        <v>0</v>
      </c>
      <c r="R312" s="2" t="inlineStr"/>
    </row>
    <row r="313" ht="15" customHeight="1">
      <c r="A313" t="inlineStr">
        <is>
          <t>A 32289-2024</t>
        </is>
      </c>
      <c r="B313" s="1" t="n">
        <v>45512</v>
      </c>
      <c r="C313" s="1" t="n">
        <v>46088</v>
      </c>
      <c r="D313" t="inlineStr">
        <is>
          <t>VÄSTERBOTTENS LÄN</t>
        </is>
      </c>
      <c r="E313" t="inlineStr">
        <is>
          <t>BJURHOLM</t>
        </is>
      </c>
      <c r="G313" t="n">
        <v>1.7</v>
      </c>
      <c r="H313" t="n">
        <v>0</v>
      </c>
      <c r="I313" t="n">
        <v>0</v>
      </c>
      <c r="J313" t="n">
        <v>0</v>
      </c>
      <c r="K313" t="n">
        <v>0</v>
      </c>
      <c r="L313" t="n">
        <v>0</v>
      </c>
      <c r="M313" t="n">
        <v>0</v>
      </c>
      <c r="N313" t="n">
        <v>0</v>
      </c>
      <c r="O313" t="n">
        <v>0</v>
      </c>
      <c r="P313" t="n">
        <v>0</v>
      </c>
      <c r="Q313" t="n">
        <v>0</v>
      </c>
      <c r="R313" s="2" t="inlineStr"/>
    </row>
    <row r="314" ht="15" customHeight="1">
      <c r="A314" t="inlineStr">
        <is>
          <t>A 55902-2025</t>
        </is>
      </c>
      <c r="B314" s="1" t="n">
        <v>45973.38936342593</v>
      </c>
      <c r="C314" s="1" t="n">
        <v>46088</v>
      </c>
      <c r="D314" t="inlineStr">
        <is>
          <t>VÄSTERBOTTENS LÄN</t>
        </is>
      </c>
      <c r="E314" t="inlineStr">
        <is>
          <t>BJURHOLM</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2402-2026</t>
        </is>
      </c>
      <c r="B315" s="1" t="n">
        <v>46034</v>
      </c>
      <c r="C315" s="1" t="n">
        <v>46088</v>
      </c>
      <c r="D315" t="inlineStr">
        <is>
          <t>VÄSTERBOTTENS LÄN</t>
        </is>
      </c>
      <c r="E315" t="inlineStr">
        <is>
          <t>BJURHOLM</t>
        </is>
      </c>
      <c r="G315" t="n">
        <v>3.8</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46088</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28426-2023</t>
        </is>
      </c>
      <c r="B317" s="1" t="n">
        <v>45102</v>
      </c>
      <c r="C317" s="1" t="n">
        <v>46088</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25801-2024</t>
        </is>
      </c>
      <c r="B318" s="1" t="n">
        <v>45467.35814814815</v>
      </c>
      <c r="C318" s="1" t="n">
        <v>46088</v>
      </c>
      <c r="D318" t="inlineStr">
        <is>
          <t>VÄSTERBOTTENS LÄN</t>
        </is>
      </c>
      <c r="E318" t="inlineStr">
        <is>
          <t>BJURHOLM</t>
        </is>
      </c>
      <c r="F318" t="inlineStr">
        <is>
          <t>Holmen skog AB</t>
        </is>
      </c>
      <c r="G318" t="n">
        <v>3</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46088</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46088</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7723-2024</t>
        </is>
      </c>
      <c r="B321" s="1" t="n">
        <v>45348</v>
      </c>
      <c r="C321" s="1" t="n">
        <v>46088</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42557-2023</t>
        </is>
      </c>
      <c r="B322" s="1" t="n">
        <v>45181.38291666667</v>
      </c>
      <c r="C322" s="1" t="n">
        <v>46088</v>
      </c>
      <c r="D322" t="inlineStr">
        <is>
          <t>VÄSTERBOTTENS LÄN</t>
        </is>
      </c>
      <c r="E322" t="inlineStr">
        <is>
          <t>BJURHOLM</t>
        </is>
      </c>
      <c r="F322" t="inlineStr">
        <is>
          <t>Holmen skog AB</t>
        </is>
      </c>
      <c r="G322" t="n">
        <v>1.9</v>
      </c>
      <c r="H322" t="n">
        <v>0</v>
      </c>
      <c r="I322" t="n">
        <v>0</v>
      </c>
      <c r="J322" t="n">
        <v>0</v>
      </c>
      <c r="K322" t="n">
        <v>0</v>
      </c>
      <c r="L322" t="n">
        <v>0</v>
      </c>
      <c r="M322" t="n">
        <v>0</v>
      </c>
      <c r="N322" t="n">
        <v>0</v>
      </c>
      <c r="O322" t="n">
        <v>0</v>
      </c>
      <c r="P322" t="n">
        <v>0</v>
      </c>
      <c r="Q322" t="n">
        <v>0</v>
      </c>
      <c r="R322" s="2" t="inlineStr"/>
    </row>
    <row r="323" ht="15" customHeight="1">
      <c r="A323" t="inlineStr">
        <is>
          <t>A 15581-2023</t>
        </is>
      </c>
      <c r="B323" s="1" t="n">
        <v>45019</v>
      </c>
      <c r="C323" s="1" t="n">
        <v>46088</v>
      </c>
      <c r="D323" t="inlineStr">
        <is>
          <t>VÄSTERBOTTENS LÄN</t>
        </is>
      </c>
      <c r="E323" t="inlineStr">
        <is>
          <t>BJURHOLM</t>
        </is>
      </c>
      <c r="G323" t="n">
        <v>7</v>
      </c>
      <c r="H323" t="n">
        <v>0</v>
      </c>
      <c r="I323" t="n">
        <v>0</v>
      </c>
      <c r="J323" t="n">
        <v>0</v>
      </c>
      <c r="K323" t="n">
        <v>0</v>
      </c>
      <c r="L323" t="n">
        <v>0</v>
      </c>
      <c r="M323" t="n">
        <v>0</v>
      </c>
      <c r="N323" t="n">
        <v>0</v>
      </c>
      <c r="O323" t="n">
        <v>0</v>
      </c>
      <c r="P323" t="n">
        <v>0</v>
      </c>
      <c r="Q323" t="n">
        <v>0</v>
      </c>
      <c r="R323" s="2" t="inlineStr"/>
    </row>
    <row r="324" ht="15" customHeight="1">
      <c r="A324" t="inlineStr">
        <is>
          <t>A 56724-2025</t>
        </is>
      </c>
      <c r="B324" s="1" t="n">
        <v>45978.30922453704</v>
      </c>
      <c r="C324" s="1" t="n">
        <v>46088</v>
      </c>
      <c r="D324" t="inlineStr">
        <is>
          <t>VÄSTERBOTTENS LÄN</t>
        </is>
      </c>
      <c r="E324" t="inlineStr">
        <is>
          <t>BJURHOLM</t>
        </is>
      </c>
      <c r="G324" t="n">
        <v>2</v>
      </c>
      <c r="H324" t="n">
        <v>0</v>
      </c>
      <c r="I324" t="n">
        <v>0</v>
      </c>
      <c r="J324" t="n">
        <v>0</v>
      </c>
      <c r="K324" t="n">
        <v>0</v>
      </c>
      <c r="L324" t="n">
        <v>0</v>
      </c>
      <c r="M324" t="n">
        <v>0</v>
      </c>
      <c r="N324" t="n">
        <v>0</v>
      </c>
      <c r="O324" t="n">
        <v>0</v>
      </c>
      <c r="P324" t="n">
        <v>0</v>
      </c>
      <c r="Q324" t="n">
        <v>0</v>
      </c>
      <c r="R324" s="2" t="inlineStr"/>
    </row>
    <row r="325" ht="15" customHeight="1">
      <c r="A325" t="inlineStr">
        <is>
          <t>A 56808-2025</t>
        </is>
      </c>
      <c r="B325" s="1" t="n">
        <v>45978.45061342593</v>
      </c>
      <c r="C325" s="1" t="n">
        <v>46088</v>
      </c>
      <c r="D325" t="inlineStr">
        <is>
          <t>VÄSTERBOTTENS LÄN</t>
        </is>
      </c>
      <c r="E325" t="inlineStr">
        <is>
          <t>BJURHOLM</t>
        </is>
      </c>
      <c r="G325" t="n">
        <v>4.9</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46088</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30182-2023</t>
        </is>
      </c>
      <c r="B327" s="1" t="n">
        <v>45099</v>
      </c>
      <c r="C327" s="1" t="n">
        <v>46088</v>
      </c>
      <c r="D327" t="inlineStr">
        <is>
          <t>VÄSTERBOTTENS LÄN</t>
        </is>
      </c>
      <c r="E327" t="inlineStr">
        <is>
          <t>BJURHOLM</t>
        </is>
      </c>
      <c r="G327" t="n">
        <v>2.3</v>
      </c>
      <c r="H327" t="n">
        <v>0</v>
      </c>
      <c r="I327" t="n">
        <v>0</v>
      </c>
      <c r="J327" t="n">
        <v>0</v>
      </c>
      <c r="K327" t="n">
        <v>0</v>
      </c>
      <c r="L327" t="n">
        <v>0</v>
      </c>
      <c r="M327" t="n">
        <v>0</v>
      </c>
      <c r="N327" t="n">
        <v>0</v>
      </c>
      <c r="O327" t="n">
        <v>0</v>
      </c>
      <c r="P327" t="n">
        <v>0</v>
      </c>
      <c r="Q327" t="n">
        <v>0</v>
      </c>
      <c r="R327" s="2" t="inlineStr"/>
    </row>
    <row r="328" ht="15" customHeight="1">
      <c r="A328" t="inlineStr">
        <is>
          <t>A 58136-2025</t>
        </is>
      </c>
      <c r="B328" s="1" t="n">
        <v>45981</v>
      </c>
      <c r="C328" s="1" t="n">
        <v>46088</v>
      </c>
      <c r="D328" t="inlineStr">
        <is>
          <t>VÄSTERBOTTENS LÄN</t>
        </is>
      </c>
      <c r="E328" t="inlineStr">
        <is>
          <t>BJURHOLM</t>
        </is>
      </c>
      <c r="G328" t="n">
        <v>6.7</v>
      </c>
      <c r="H328" t="n">
        <v>0</v>
      </c>
      <c r="I328" t="n">
        <v>0</v>
      </c>
      <c r="J328" t="n">
        <v>0</v>
      </c>
      <c r="K328" t="n">
        <v>0</v>
      </c>
      <c r="L328" t="n">
        <v>0</v>
      </c>
      <c r="M328" t="n">
        <v>0</v>
      </c>
      <c r="N328" t="n">
        <v>0</v>
      </c>
      <c r="O328" t="n">
        <v>0</v>
      </c>
      <c r="P328" t="n">
        <v>0</v>
      </c>
      <c r="Q328" t="n">
        <v>0</v>
      </c>
      <c r="R328" s="2" t="inlineStr"/>
    </row>
    <row r="329" ht="15" customHeight="1">
      <c r="A329" t="inlineStr">
        <is>
          <t>A 12197-2023</t>
        </is>
      </c>
      <c r="B329" s="1" t="n">
        <v>44998</v>
      </c>
      <c r="C329" s="1" t="n">
        <v>46088</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3497-2025</t>
        </is>
      </c>
      <c r="B330" s="1" t="n">
        <v>45680.56597222222</v>
      </c>
      <c r="C330" s="1" t="n">
        <v>46088</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10861-2026</t>
        </is>
      </c>
      <c r="B331" s="1" t="n">
        <v>46078.67068287037</v>
      </c>
      <c r="C331" s="1" t="n">
        <v>46088</v>
      </c>
      <c r="D331" t="inlineStr">
        <is>
          <t>VÄSTERBOTTENS LÄN</t>
        </is>
      </c>
      <c r="E331" t="inlineStr">
        <is>
          <t>BJURHOLM</t>
        </is>
      </c>
      <c r="G331" t="n">
        <v>3.5</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46088</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58150-2025</t>
        </is>
      </c>
      <c r="B333" s="1" t="n">
        <v>45982.64979166666</v>
      </c>
      <c r="C333" s="1" t="n">
        <v>46088</v>
      </c>
      <c r="D333" t="inlineStr">
        <is>
          <t>VÄSTERBOTTENS LÄN</t>
        </is>
      </c>
      <c r="E333" t="inlineStr">
        <is>
          <t>BJURHOLM</t>
        </is>
      </c>
      <c r="G333" t="n">
        <v>3.4</v>
      </c>
      <c r="H333" t="n">
        <v>0</v>
      </c>
      <c r="I333" t="n">
        <v>0</v>
      </c>
      <c r="J333" t="n">
        <v>0</v>
      </c>
      <c r="K333" t="n">
        <v>0</v>
      </c>
      <c r="L333" t="n">
        <v>0</v>
      </c>
      <c r="M333" t="n">
        <v>0</v>
      </c>
      <c r="N333" t="n">
        <v>0</v>
      </c>
      <c r="O333" t="n">
        <v>0</v>
      </c>
      <c r="P333" t="n">
        <v>0</v>
      </c>
      <c r="Q333" t="n">
        <v>0</v>
      </c>
      <c r="R333" s="2" t="inlineStr"/>
    </row>
    <row r="334" ht="15" customHeight="1">
      <c r="A334" t="inlineStr">
        <is>
          <t>A 23974-2022</t>
        </is>
      </c>
      <c r="B334" s="1" t="n">
        <v>44722</v>
      </c>
      <c r="C334" s="1" t="n">
        <v>46088</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46088</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23183-2024</t>
        </is>
      </c>
      <c r="B336" s="1" t="n">
        <v>45450.94471064815</v>
      </c>
      <c r="C336" s="1" t="n">
        <v>46088</v>
      </c>
      <c r="D336" t="inlineStr">
        <is>
          <t>VÄSTERBOTTENS LÄN</t>
        </is>
      </c>
      <c r="E336" t="inlineStr">
        <is>
          <t>BJURHOLM</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23206-2024</t>
        </is>
      </c>
      <c r="B337" s="1" t="n">
        <v>45451</v>
      </c>
      <c r="C337" s="1" t="n">
        <v>46088</v>
      </c>
      <c r="D337" t="inlineStr">
        <is>
          <t>VÄSTERBOTTENS LÄN</t>
        </is>
      </c>
      <c r="E337" t="inlineStr">
        <is>
          <t>BJURHOLM</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58724-2025</t>
        </is>
      </c>
      <c r="B338" s="1" t="n">
        <v>45986.61917824074</v>
      </c>
      <c r="C338" s="1" t="n">
        <v>46088</v>
      </c>
      <c r="D338" t="inlineStr">
        <is>
          <t>VÄSTERBOTTENS LÄN</t>
        </is>
      </c>
      <c r="E338" t="inlineStr">
        <is>
          <t>BJURHOLM</t>
        </is>
      </c>
      <c r="G338" t="n">
        <v>4.4</v>
      </c>
      <c r="H338" t="n">
        <v>0</v>
      </c>
      <c r="I338" t="n">
        <v>0</v>
      </c>
      <c r="J338" t="n">
        <v>0</v>
      </c>
      <c r="K338" t="n">
        <v>0</v>
      </c>
      <c r="L338" t="n">
        <v>0</v>
      </c>
      <c r="M338" t="n">
        <v>0</v>
      </c>
      <c r="N338" t="n">
        <v>0</v>
      </c>
      <c r="O338" t="n">
        <v>0</v>
      </c>
      <c r="P338" t="n">
        <v>0</v>
      </c>
      <c r="Q338" t="n">
        <v>0</v>
      </c>
      <c r="R338" s="2" t="inlineStr"/>
    </row>
    <row r="339" ht="15" customHeight="1">
      <c r="A339" t="inlineStr">
        <is>
          <t>A 32989-2022</t>
        </is>
      </c>
      <c r="B339" s="1" t="n">
        <v>44784.94172453704</v>
      </c>
      <c r="C339" s="1" t="n">
        <v>46088</v>
      </c>
      <c r="D339" t="inlineStr">
        <is>
          <t>VÄSTERBOTTENS LÄN</t>
        </is>
      </c>
      <c r="E339" t="inlineStr">
        <is>
          <t>BJURHOLM</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58569-2025</t>
        </is>
      </c>
      <c r="B340" s="1" t="n">
        <v>45986.37128472222</v>
      </c>
      <c r="C340" s="1" t="n">
        <v>46088</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46088</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59386-2025</t>
        </is>
      </c>
      <c r="B342" s="1" t="n">
        <v>45989.45841435185</v>
      </c>
      <c r="C342" s="1" t="n">
        <v>46088</v>
      </c>
      <c r="D342" t="inlineStr">
        <is>
          <t>VÄSTERBOTTENS LÄN</t>
        </is>
      </c>
      <c r="E342" t="inlineStr">
        <is>
          <t>BJURHOLM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53117-2025</t>
        </is>
      </c>
      <c r="B343" s="1" t="n">
        <v>45958</v>
      </c>
      <c r="C343" s="1" t="n">
        <v>46088</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59278-2025</t>
        </is>
      </c>
      <c r="B344" s="1" t="n">
        <v>45988.70458333333</v>
      </c>
      <c r="C344" s="1" t="n">
        <v>46088</v>
      </c>
      <c r="D344" t="inlineStr">
        <is>
          <t>VÄSTERBOTTENS LÄN</t>
        </is>
      </c>
      <c r="E344" t="inlineStr">
        <is>
          <t>BJURHOLM</t>
        </is>
      </c>
      <c r="G344" t="n">
        <v>3.8</v>
      </c>
      <c r="H344" t="n">
        <v>0</v>
      </c>
      <c r="I344" t="n">
        <v>0</v>
      </c>
      <c r="J344" t="n">
        <v>0</v>
      </c>
      <c r="K344" t="n">
        <v>0</v>
      </c>
      <c r="L344" t="n">
        <v>0</v>
      </c>
      <c r="M344" t="n">
        <v>0</v>
      </c>
      <c r="N344" t="n">
        <v>0</v>
      </c>
      <c r="O344" t="n">
        <v>0</v>
      </c>
      <c r="P344" t="n">
        <v>0</v>
      </c>
      <c r="Q344" t="n">
        <v>0</v>
      </c>
      <c r="R344" s="2" t="inlineStr"/>
    </row>
    <row r="345" ht="15" customHeight="1">
      <c r="A345" t="inlineStr">
        <is>
          <t>A 59324-2025</t>
        </is>
      </c>
      <c r="B345" s="1" t="n">
        <v>45989.3446412037</v>
      </c>
      <c r="C345" s="1" t="n">
        <v>46088</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59073-2025</t>
        </is>
      </c>
      <c r="B346" s="1" t="n">
        <v>45988.42684027777</v>
      </c>
      <c r="C346" s="1" t="n">
        <v>46088</v>
      </c>
      <c r="D346" t="inlineStr">
        <is>
          <t>VÄSTERBOTTENS LÄN</t>
        </is>
      </c>
      <c r="E346" t="inlineStr">
        <is>
          <t>BJURHOLM</t>
        </is>
      </c>
      <c r="F346" t="inlineStr">
        <is>
          <t>Holmen skog AB</t>
        </is>
      </c>
      <c r="G346" t="n">
        <v>11.8</v>
      </c>
      <c r="H346" t="n">
        <v>0</v>
      </c>
      <c r="I346" t="n">
        <v>0</v>
      </c>
      <c r="J346" t="n">
        <v>0</v>
      </c>
      <c r="K346" t="n">
        <v>0</v>
      </c>
      <c r="L346" t="n">
        <v>0</v>
      </c>
      <c r="M346" t="n">
        <v>0</v>
      </c>
      <c r="N346" t="n">
        <v>0</v>
      </c>
      <c r="O346" t="n">
        <v>0</v>
      </c>
      <c r="P346" t="n">
        <v>0</v>
      </c>
      <c r="Q346" t="n">
        <v>0</v>
      </c>
      <c r="R346" s="2" t="inlineStr"/>
    </row>
    <row r="347" ht="15" customHeight="1">
      <c r="A347" t="inlineStr">
        <is>
          <t>A 36484-2024</t>
        </is>
      </c>
      <c r="B347" s="1" t="n">
        <v>45537</v>
      </c>
      <c r="C347" s="1" t="n">
        <v>46088</v>
      </c>
      <c r="D347" t="inlineStr">
        <is>
          <t>VÄSTERBOTTENS LÄN</t>
        </is>
      </c>
      <c r="E347" t="inlineStr">
        <is>
          <t>BJURHOLM</t>
        </is>
      </c>
      <c r="G347" t="n">
        <v>11.2</v>
      </c>
      <c r="H347" t="n">
        <v>0</v>
      </c>
      <c r="I347" t="n">
        <v>0</v>
      </c>
      <c r="J347" t="n">
        <v>0</v>
      </c>
      <c r="K347" t="n">
        <v>0</v>
      </c>
      <c r="L347" t="n">
        <v>0</v>
      </c>
      <c r="M347" t="n">
        <v>0</v>
      </c>
      <c r="N347" t="n">
        <v>0</v>
      </c>
      <c r="O347" t="n">
        <v>0</v>
      </c>
      <c r="P347" t="n">
        <v>0</v>
      </c>
      <c r="Q347" t="n">
        <v>0</v>
      </c>
      <c r="R347" s="2" t="inlineStr"/>
    </row>
    <row r="348" ht="15" customHeight="1">
      <c r="A348" t="inlineStr">
        <is>
          <t>A 52550-2024</t>
        </is>
      </c>
      <c r="B348" s="1" t="n">
        <v>45609.64046296296</v>
      </c>
      <c r="C348" s="1" t="n">
        <v>46088</v>
      </c>
      <c r="D348" t="inlineStr">
        <is>
          <t>VÄSTERBOTTENS LÄN</t>
        </is>
      </c>
      <c r="E348" t="inlineStr">
        <is>
          <t>BJURHOLM</t>
        </is>
      </c>
      <c r="G348" t="n">
        <v>0.3</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46088</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60060-2025</t>
        </is>
      </c>
      <c r="B350" s="1" t="n">
        <v>45993.65642361111</v>
      </c>
      <c r="C350" s="1" t="n">
        <v>46088</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33157-2022</t>
        </is>
      </c>
      <c r="B351" s="1" t="n">
        <v>44785</v>
      </c>
      <c r="C351" s="1" t="n">
        <v>46088</v>
      </c>
      <c r="D351" t="inlineStr">
        <is>
          <t>VÄSTERBOTTENS LÄN</t>
        </is>
      </c>
      <c r="E351" t="inlineStr">
        <is>
          <t>BJURHOLM</t>
        </is>
      </c>
      <c r="F351" t="inlineStr">
        <is>
          <t>Holmen skog AB</t>
        </is>
      </c>
      <c r="G351" t="n">
        <v>1.5</v>
      </c>
      <c r="H351" t="n">
        <v>0</v>
      </c>
      <c r="I351" t="n">
        <v>0</v>
      </c>
      <c r="J351" t="n">
        <v>0</v>
      </c>
      <c r="K351" t="n">
        <v>0</v>
      </c>
      <c r="L351" t="n">
        <v>0</v>
      </c>
      <c r="M351" t="n">
        <v>0</v>
      </c>
      <c r="N351" t="n">
        <v>0</v>
      </c>
      <c r="O351" t="n">
        <v>0</v>
      </c>
      <c r="P351" t="n">
        <v>0</v>
      </c>
      <c r="Q351" t="n">
        <v>0</v>
      </c>
      <c r="R351" s="2" t="inlineStr"/>
    </row>
    <row r="352" ht="15" customHeight="1">
      <c r="A352" t="inlineStr">
        <is>
          <t>A 58420-2022</t>
        </is>
      </c>
      <c r="B352" s="1" t="n">
        <v>44901.92403935185</v>
      </c>
      <c r="C352" s="1" t="n">
        <v>46088</v>
      </c>
      <c r="D352" t="inlineStr">
        <is>
          <t>VÄSTERBOTTENS LÄN</t>
        </is>
      </c>
      <c r="E352" t="inlineStr">
        <is>
          <t>BJURHOLM</t>
        </is>
      </c>
      <c r="G352" t="n">
        <v>1.2</v>
      </c>
      <c r="H352" t="n">
        <v>0</v>
      </c>
      <c r="I352" t="n">
        <v>0</v>
      </c>
      <c r="J352" t="n">
        <v>0</v>
      </c>
      <c r="K352" t="n">
        <v>0</v>
      </c>
      <c r="L352" t="n">
        <v>0</v>
      </c>
      <c r="M352" t="n">
        <v>0</v>
      </c>
      <c r="N352" t="n">
        <v>0</v>
      </c>
      <c r="O352" t="n">
        <v>0</v>
      </c>
      <c r="P352" t="n">
        <v>0</v>
      </c>
      <c r="Q352" t="n">
        <v>0</v>
      </c>
      <c r="R352" s="2" t="inlineStr"/>
    </row>
    <row r="353" ht="15" customHeight="1">
      <c r="A353" t="inlineStr">
        <is>
          <t>A 41592-2023</t>
        </is>
      </c>
      <c r="B353" s="1" t="n">
        <v>45175.63826388889</v>
      </c>
      <c r="C353" s="1" t="n">
        <v>46088</v>
      </c>
      <c r="D353" t="inlineStr">
        <is>
          <t>VÄSTERBOTTENS LÄN</t>
        </is>
      </c>
      <c r="E353" t="inlineStr">
        <is>
          <t>BJURHOLM</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11715-2025</t>
        </is>
      </c>
      <c r="B354" s="1" t="n">
        <v>45727.60585648148</v>
      </c>
      <c r="C354" s="1" t="n">
        <v>46088</v>
      </c>
      <c r="D354" t="inlineStr">
        <is>
          <t>VÄSTERBOTTENS LÄN</t>
        </is>
      </c>
      <c r="E354" t="inlineStr">
        <is>
          <t>BJURHOLM</t>
        </is>
      </c>
      <c r="G354" t="n">
        <v>11.3</v>
      </c>
      <c r="H354" t="n">
        <v>0</v>
      </c>
      <c r="I354" t="n">
        <v>0</v>
      </c>
      <c r="J354" t="n">
        <v>0</v>
      </c>
      <c r="K354" t="n">
        <v>0</v>
      </c>
      <c r="L354" t="n">
        <v>0</v>
      </c>
      <c r="M354" t="n">
        <v>0</v>
      </c>
      <c r="N354" t="n">
        <v>0</v>
      </c>
      <c r="O354" t="n">
        <v>0</v>
      </c>
      <c r="P354" t="n">
        <v>0</v>
      </c>
      <c r="Q354" t="n">
        <v>0</v>
      </c>
      <c r="R354" s="2" t="inlineStr"/>
    </row>
    <row r="355" ht="15" customHeight="1">
      <c r="A355" t="inlineStr">
        <is>
          <t>A 3116-2026</t>
        </is>
      </c>
      <c r="B355" s="1" t="n">
        <v>46041</v>
      </c>
      <c r="C355" s="1" t="n">
        <v>46088</v>
      </c>
      <c r="D355" t="inlineStr">
        <is>
          <t>VÄSTERBOTTENS LÄN</t>
        </is>
      </c>
      <c r="E355" t="inlineStr">
        <is>
          <t>BJURHOLM</t>
        </is>
      </c>
      <c r="F355" t="inlineStr">
        <is>
          <t>Holmen skog AB</t>
        </is>
      </c>
      <c r="G355" t="n">
        <v>0.8</v>
      </c>
      <c r="H355" t="n">
        <v>0</v>
      </c>
      <c r="I355" t="n">
        <v>0</v>
      </c>
      <c r="J355" t="n">
        <v>0</v>
      </c>
      <c r="K355" t="n">
        <v>0</v>
      </c>
      <c r="L355" t="n">
        <v>0</v>
      </c>
      <c r="M355" t="n">
        <v>0</v>
      </c>
      <c r="N355" t="n">
        <v>0</v>
      </c>
      <c r="O355" t="n">
        <v>0</v>
      </c>
      <c r="P355" t="n">
        <v>0</v>
      </c>
      <c r="Q355" t="n">
        <v>0</v>
      </c>
      <c r="R355" s="2" t="inlineStr"/>
    </row>
    <row r="356" ht="15" customHeight="1">
      <c r="A356" t="inlineStr">
        <is>
          <t>A 56693-2024</t>
        </is>
      </c>
      <c r="B356" s="1" t="n">
        <v>45627.71203703704</v>
      </c>
      <c r="C356" s="1" t="n">
        <v>46088</v>
      </c>
      <c r="D356" t="inlineStr">
        <is>
          <t>VÄSTERBOTTENS LÄN</t>
        </is>
      </c>
      <c r="E356" t="inlineStr">
        <is>
          <t>BJURHOLM</t>
        </is>
      </c>
      <c r="G356" t="n">
        <v>6.8</v>
      </c>
      <c r="H356" t="n">
        <v>0</v>
      </c>
      <c r="I356" t="n">
        <v>0</v>
      </c>
      <c r="J356" t="n">
        <v>0</v>
      </c>
      <c r="K356" t="n">
        <v>0</v>
      </c>
      <c r="L356" t="n">
        <v>0</v>
      </c>
      <c r="M356" t="n">
        <v>0</v>
      </c>
      <c r="N356" t="n">
        <v>0</v>
      </c>
      <c r="O356" t="n">
        <v>0</v>
      </c>
      <c r="P356" t="n">
        <v>0</v>
      </c>
      <c r="Q356" t="n">
        <v>0</v>
      </c>
      <c r="R356" s="2" t="inlineStr"/>
    </row>
    <row r="357" ht="15" customHeight="1">
      <c r="A357" t="inlineStr">
        <is>
          <t>A 13842-2025</t>
        </is>
      </c>
      <c r="B357" s="1" t="n">
        <v>45737.55802083333</v>
      </c>
      <c r="C357" s="1" t="n">
        <v>46088</v>
      </c>
      <c r="D357" t="inlineStr">
        <is>
          <t>VÄSTERBOTTENS LÄN</t>
        </is>
      </c>
      <c r="E357" t="inlineStr">
        <is>
          <t>BJURHOLM</t>
        </is>
      </c>
      <c r="G357" t="n">
        <v>1.3</v>
      </c>
      <c r="H357" t="n">
        <v>0</v>
      </c>
      <c r="I357" t="n">
        <v>0</v>
      </c>
      <c r="J357" t="n">
        <v>0</v>
      </c>
      <c r="K357" t="n">
        <v>0</v>
      </c>
      <c r="L357" t="n">
        <v>0</v>
      </c>
      <c r="M357" t="n">
        <v>0</v>
      </c>
      <c r="N357" t="n">
        <v>0</v>
      </c>
      <c r="O357" t="n">
        <v>0</v>
      </c>
      <c r="P357" t="n">
        <v>0</v>
      </c>
      <c r="Q357" t="n">
        <v>0</v>
      </c>
      <c r="R357" s="2" t="inlineStr"/>
    </row>
    <row r="358" ht="15" customHeight="1">
      <c r="A358" t="inlineStr">
        <is>
          <t>A 61323-2025</t>
        </is>
      </c>
      <c r="B358" s="1" t="n">
        <v>46000</v>
      </c>
      <c r="C358" s="1" t="n">
        <v>46088</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46088</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46088</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46088</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46088</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61518-2025</t>
        </is>
      </c>
      <c r="B363" s="1" t="n">
        <v>46001.68611111111</v>
      </c>
      <c r="C363" s="1" t="n">
        <v>46088</v>
      </c>
      <c r="D363" t="inlineStr">
        <is>
          <t>VÄSTERBOTTENS LÄN</t>
        </is>
      </c>
      <c r="E363" t="inlineStr">
        <is>
          <t>BJURHOLM</t>
        </is>
      </c>
      <c r="F363" t="inlineStr">
        <is>
          <t>SCA</t>
        </is>
      </c>
      <c r="G363" t="n">
        <v>23.4</v>
      </c>
      <c r="H363" t="n">
        <v>0</v>
      </c>
      <c r="I363" t="n">
        <v>0</v>
      </c>
      <c r="J363" t="n">
        <v>0</v>
      </c>
      <c r="K363" t="n">
        <v>0</v>
      </c>
      <c r="L363" t="n">
        <v>0</v>
      </c>
      <c r="M363" t="n">
        <v>0</v>
      </c>
      <c r="N363" t="n">
        <v>0</v>
      </c>
      <c r="O363" t="n">
        <v>0</v>
      </c>
      <c r="P363" t="n">
        <v>0</v>
      </c>
      <c r="Q363" t="n">
        <v>0</v>
      </c>
      <c r="R363" s="2" t="inlineStr"/>
    </row>
    <row r="364" ht="15" customHeight="1">
      <c r="A364" t="inlineStr">
        <is>
          <t>A 55512-2023</t>
        </is>
      </c>
      <c r="B364" s="1" t="n">
        <v>45232</v>
      </c>
      <c r="C364" s="1" t="n">
        <v>46088</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26646-2024</t>
        </is>
      </c>
      <c r="B365" s="1" t="n">
        <v>45469</v>
      </c>
      <c r="C365" s="1" t="n">
        <v>46088</v>
      </c>
      <c r="D365" t="inlineStr">
        <is>
          <t>VÄSTERBOTTENS LÄN</t>
        </is>
      </c>
      <c r="E365" t="inlineStr">
        <is>
          <t>BJURHOLM</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61743-2025</t>
        </is>
      </c>
      <c r="B366" s="1" t="n">
        <v>46002.60291666666</v>
      </c>
      <c r="C366" s="1" t="n">
        <v>46088</v>
      </c>
      <c r="D366" t="inlineStr">
        <is>
          <t>VÄSTERBOTTENS LÄN</t>
        </is>
      </c>
      <c r="E366" t="inlineStr">
        <is>
          <t>BJURHOLM</t>
        </is>
      </c>
      <c r="G366" t="n">
        <v>5.5</v>
      </c>
      <c r="H366" t="n">
        <v>0</v>
      </c>
      <c r="I366" t="n">
        <v>0</v>
      </c>
      <c r="J366" t="n">
        <v>0</v>
      </c>
      <c r="K366" t="n">
        <v>0</v>
      </c>
      <c r="L366" t="n">
        <v>0</v>
      </c>
      <c r="M366" t="n">
        <v>0</v>
      </c>
      <c r="N366" t="n">
        <v>0</v>
      </c>
      <c r="O366" t="n">
        <v>0</v>
      </c>
      <c r="P366" t="n">
        <v>0</v>
      </c>
      <c r="Q366" t="n">
        <v>0</v>
      </c>
      <c r="R366" s="2" t="inlineStr"/>
    </row>
    <row r="367" ht="15" customHeight="1">
      <c r="A367" t="inlineStr">
        <is>
          <t>A 29867-2022</t>
        </is>
      </c>
      <c r="B367" s="1" t="n">
        <v>44756</v>
      </c>
      <c r="C367" s="1" t="n">
        <v>46088</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11579-2026</t>
        </is>
      </c>
      <c r="B368" s="1" t="n">
        <v>46084.39668981481</v>
      </c>
      <c r="C368" s="1" t="n">
        <v>46088</v>
      </c>
      <c r="D368" t="inlineStr">
        <is>
          <t>VÄSTERBOTTENS LÄN</t>
        </is>
      </c>
      <c r="E368" t="inlineStr">
        <is>
          <t>BJURHOLM</t>
        </is>
      </c>
      <c r="G368" t="n">
        <v>1.8</v>
      </c>
      <c r="H368" t="n">
        <v>0</v>
      </c>
      <c r="I368" t="n">
        <v>0</v>
      </c>
      <c r="J368" t="n">
        <v>0</v>
      </c>
      <c r="K368" t="n">
        <v>0</v>
      </c>
      <c r="L368" t="n">
        <v>0</v>
      </c>
      <c r="M368" t="n">
        <v>0</v>
      </c>
      <c r="N368" t="n">
        <v>0</v>
      </c>
      <c r="O368" t="n">
        <v>0</v>
      </c>
      <c r="P368" t="n">
        <v>0</v>
      </c>
      <c r="Q368" t="n">
        <v>0</v>
      </c>
      <c r="R368" s="2" t="inlineStr"/>
    </row>
    <row r="369" ht="15" customHeight="1">
      <c r="A369" t="inlineStr">
        <is>
          <t>A 62169-2025</t>
        </is>
      </c>
      <c r="B369" s="1" t="n">
        <v>46006.51091435185</v>
      </c>
      <c r="C369" s="1" t="n">
        <v>46088</v>
      </c>
      <c r="D369" t="inlineStr">
        <is>
          <t>VÄSTERBOTTENS LÄN</t>
        </is>
      </c>
      <c r="E369" t="inlineStr">
        <is>
          <t>BJURHOLM</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43311-2024</t>
        </is>
      </c>
      <c r="B370" s="1" t="n">
        <v>45568.44950231481</v>
      </c>
      <c r="C370" s="1" t="n">
        <v>46088</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39101-2024</t>
        </is>
      </c>
      <c r="B371" s="1" t="n">
        <v>45548.56578703703</v>
      </c>
      <c r="C371" s="1" t="n">
        <v>46088</v>
      </c>
      <c r="D371" t="inlineStr">
        <is>
          <t>VÄSTERBOTTENS LÄN</t>
        </is>
      </c>
      <c r="E371" t="inlineStr">
        <is>
          <t>BJURHOLM</t>
        </is>
      </c>
      <c r="G371" t="n">
        <v>5.1</v>
      </c>
      <c r="H371" t="n">
        <v>0</v>
      </c>
      <c r="I371" t="n">
        <v>0</v>
      </c>
      <c r="J371" t="n">
        <v>0</v>
      </c>
      <c r="K371" t="n">
        <v>0</v>
      </c>
      <c r="L371" t="n">
        <v>0</v>
      </c>
      <c r="M371" t="n">
        <v>0</v>
      </c>
      <c r="N371" t="n">
        <v>0</v>
      </c>
      <c r="O371" t="n">
        <v>0</v>
      </c>
      <c r="P371" t="n">
        <v>0</v>
      </c>
      <c r="Q371" t="n">
        <v>0</v>
      </c>
      <c r="R371" s="2" t="inlineStr"/>
    </row>
    <row r="372" ht="15" customHeight="1">
      <c r="A372" t="inlineStr">
        <is>
          <t>A 11687-2026</t>
        </is>
      </c>
      <c r="B372" s="1" t="n">
        <v>46084.58539351852</v>
      </c>
      <c r="C372" s="1" t="n">
        <v>46088</v>
      </c>
      <c r="D372" t="inlineStr">
        <is>
          <t>VÄSTERBOTTENS LÄN</t>
        </is>
      </c>
      <c r="E372" t="inlineStr">
        <is>
          <t>BJURHOLM</t>
        </is>
      </c>
      <c r="G372" t="n">
        <v>1.9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46088</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36448-2024</t>
        </is>
      </c>
      <c r="B374" s="1" t="n">
        <v>45537</v>
      </c>
      <c r="C374" s="1" t="n">
        <v>46088</v>
      </c>
      <c r="D374" t="inlineStr">
        <is>
          <t>VÄSTERBOTTENS LÄN</t>
        </is>
      </c>
      <c r="E374" t="inlineStr">
        <is>
          <t>BJURHOLM</t>
        </is>
      </c>
      <c r="G374" t="n">
        <v>0.4</v>
      </c>
      <c r="H374" t="n">
        <v>0</v>
      </c>
      <c r="I374" t="n">
        <v>0</v>
      </c>
      <c r="J374" t="n">
        <v>0</v>
      </c>
      <c r="K374" t="n">
        <v>0</v>
      </c>
      <c r="L374" t="n">
        <v>0</v>
      </c>
      <c r="M374" t="n">
        <v>0</v>
      </c>
      <c r="N374" t="n">
        <v>0</v>
      </c>
      <c r="O374" t="n">
        <v>0</v>
      </c>
      <c r="P374" t="n">
        <v>0</v>
      </c>
      <c r="Q374" t="n">
        <v>0</v>
      </c>
      <c r="R374" s="2" t="inlineStr"/>
    </row>
    <row r="375" ht="15" customHeight="1">
      <c r="A375" t="inlineStr">
        <is>
          <t>A 44187-2023</t>
        </is>
      </c>
      <c r="B375" s="1" t="n">
        <v>45183</v>
      </c>
      <c r="C375" s="1" t="n">
        <v>46088</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60692-2022</t>
        </is>
      </c>
      <c r="B376" s="1" t="n">
        <v>44911.94085648148</v>
      </c>
      <c r="C376" s="1" t="n">
        <v>46088</v>
      </c>
      <c r="D376" t="inlineStr">
        <is>
          <t>VÄSTERBOTTENS LÄN</t>
        </is>
      </c>
      <c r="E376" t="inlineStr">
        <is>
          <t>BJURHOLM</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11689-2026</t>
        </is>
      </c>
      <c r="B377" s="1" t="n">
        <v>46084</v>
      </c>
      <c r="C377" s="1" t="n">
        <v>46088</v>
      </c>
      <c r="D377" t="inlineStr">
        <is>
          <t>VÄSTERBOTTENS LÄN</t>
        </is>
      </c>
      <c r="E377" t="inlineStr">
        <is>
          <t>BJURHOLM</t>
        </is>
      </c>
      <c r="G377" t="n">
        <v>3.9</v>
      </c>
      <c r="H377" t="n">
        <v>0</v>
      </c>
      <c r="I377" t="n">
        <v>0</v>
      </c>
      <c r="J377" t="n">
        <v>0</v>
      </c>
      <c r="K377" t="n">
        <v>0</v>
      </c>
      <c r="L377" t="n">
        <v>0</v>
      </c>
      <c r="M377" t="n">
        <v>0</v>
      </c>
      <c r="N377" t="n">
        <v>0</v>
      </c>
      <c r="O377" t="n">
        <v>0</v>
      </c>
      <c r="P377" t="n">
        <v>0</v>
      </c>
      <c r="Q377" t="n">
        <v>0</v>
      </c>
      <c r="R377" s="2" t="inlineStr"/>
      <c r="U377">
        <f>HYPERLINK("https://klasma.github.io/Logging_2403/knärot/A 11689-2026 karta knärot.png", "A 11689-2026")</f>
        <v/>
      </c>
      <c r="V377">
        <f>HYPERLINK("https://klasma.github.io/Logging_2403/klagomål/A 11689-2026 FSC-klagomål.docx", "A 11689-2026")</f>
        <v/>
      </c>
      <c r="W377">
        <f>HYPERLINK("https://klasma.github.io/Logging_2403/klagomålsmail/A 11689-2026 FSC-klagomål mail.docx", "A 11689-2026")</f>
        <v/>
      </c>
      <c r="X377">
        <f>HYPERLINK("https://klasma.github.io/Logging_2403/tillsyn/A 11689-2026 tillsynsbegäran.docx", "A 11689-2026")</f>
        <v/>
      </c>
      <c r="Y377">
        <f>HYPERLINK("https://klasma.github.io/Logging_2403/tillsynsmail/A 11689-2026 tillsynsbegäran mail.docx", "A 11689-2026")</f>
        <v/>
      </c>
    </row>
    <row r="378" ht="15" customHeight="1">
      <c r="A378" t="inlineStr">
        <is>
          <t>A 62591-2025</t>
        </is>
      </c>
      <c r="B378" s="1" t="n">
        <v>46007.88758101852</v>
      </c>
      <c r="C378" s="1" t="n">
        <v>46088</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62700-2025</t>
        </is>
      </c>
      <c r="B379" s="1" t="n">
        <v>46008.49011574074</v>
      </c>
      <c r="C379" s="1" t="n">
        <v>46088</v>
      </c>
      <c r="D379" t="inlineStr">
        <is>
          <t>VÄSTERBOTTENS LÄN</t>
        </is>
      </c>
      <c r="E379" t="inlineStr">
        <is>
          <t>BJURHOLM</t>
        </is>
      </c>
      <c r="G379" t="n">
        <v>2.1</v>
      </c>
      <c r="H379" t="n">
        <v>0</v>
      </c>
      <c r="I379" t="n">
        <v>0</v>
      </c>
      <c r="J379" t="n">
        <v>0</v>
      </c>
      <c r="K379" t="n">
        <v>0</v>
      </c>
      <c r="L379" t="n">
        <v>0</v>
      </c>
      <c r="M379" t="n">
        <v>0</v>
      </c>
      <c r="N379" t="n">
        <v>0</v>
      </c>
      <c r="O379" t="n">
        <v>0</v>
      </c>
      <c r="P379" t="n">
        <v>0</v>
      </c>
      <c r="Q379" t="n">
        <v>0</v>
      </c>
      <c r="R379" s="2" t="inlineStr"/>
    </row>
    <row r="380" ht="15" customHeight="1">
      <c r="A380" t="inlineStr">
        <is>
          <t>A 62701-2025</t>
        </is>
      </c>
      <c r="B380" s="1" t="n">
        <v>46008.49018518518</v>
      </c>
      <c r="C380" s="1" t="n">
        <v>46088</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62712-2025</t>
        </is>
      </c>
      <c r="B381" s="1" t="n">
        <v>46008.51109953703</v>
      </c>
      <c r="C381" s="1" t="n">
        <v>46088</v>
      </c>
      <c r="D381" t="inlineStr">
        <is>
          <t>VÄSTERBOTTENS LÄN</t>
        </is>
      </c>
      <c r="E381" t="inlineStr">
        <is>
          <t>BJURHOLM</t>
        </is>
      </c>
      <c r="G381" t="n">
        <v>2.5</v>
      </c>
      <c r="H381" t="n">
        <v>0</v>
      </c>
      <c r="I381" t="n">
        <v>0</v>
      </c>
      <c r="J381" t="n">
        <v>0</v>
      </c>
      <c r="K381" t="n">
        <v>0</v>
      </c>
      <c r="L381" t="n">
        <v>0</v>
      </c>
      <c r="M381" t="n">
        <v>0</v>
      </c>
      <c r="N381" t="n">
        <v>0</v>
      </c>
      <c r="O381" t="n">
        <v>0</v>
      </c>
      <c r="P381" t="n">
        <v>0</v>
      </c>
      <c r="Q381" t="n">
        <v>0</v>
      </c>
      <c r="R381" s="2" t="inlineStr"/>
    </row>
    <row r="382" ht="15" customHeight="1">
      <c r="A382" t="inlineStr">
        <is>
          <t>A 6699-2023</t>
        </is>
      </c>
      <c r="B382" s="1" t="n">
        <v>44966.67196759259</v>
      </c>
      <c r="C382" s="1" t="n">
        <v>46088</v>
      </c>
      <c r="D382" t="inlineStr">
        <is>
          <t>VÄSTERBOTTENS LÄN</t>
        </is>
      </c>
      <c r="E382" t="inlineStr">
        <is>
          <t>BJURHOLM</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1875-2024</t>
        </is>
      </c>
      <c r="B383" s="1" t="n">
        <v>45307.92592592593</v>
      </c>
      <c r="C383" s="1" t="n">
        <v>46088</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63191-2025</t>
        </is>
      </c>
      <c r="B384" s="1" t="n">
        <v>46010.45041666667</v>
      </c>
      <c r="C384" s="1" t="n">
        <v>46088</v>
      </c>
      <c r="D384" t="inlineStr">
        <is>
          <t>VÄSTERBOTTENS LÄN</t>
        </is>
      </c>
      <c r="E384" t="inlineStr">
        <is>
          <t>BJURHOLM</t>
        </is>
      </c>
      <c r="G384" t="n">
        <v>7.1</v>
      </c>
      <c r="H384" t="n">
        <v>0</v>
      </c>
      <c r="I384" t="n">
        <v>0</v>
      </c>
      <c r="J384" t="n">
        <v>0</v>
      </c>
      <c r="K384" t="n">
        <v>0</v>
      </c>
      <c r="L384" t="n">
        <v>0</v>
      </c>
      <c r="M384" t="n">
        <v>0</v>
      </c>
      <c r="N384" t="n">
        <v>0</v>
      </c>
      <c r="O384" t="n">
        <v>0</v>
      </c>
      <c r="P384" t="n">
        <v>0</v>
      </c>
      <c r="Q384" t="n">
        <v>0</v>
      </c>
      <c r="R384" s="2" t="inlineStr"/>
    </row>
    <row r="385" ht="15" customHeight="1">
      <c r="A385" t="inlineStr">
        <is>
          <t>A 6191-2026</t>
        </is>
      </c>
      <c r="B385" s="1" t="n">
        <v>46055.38575231482</v>
      </c>
      <c r="C385" s="1" t="n">
        <v>46088</v>
      </c>
      <c r="D385" t="inlineStr">
        <is>
          <t>VÄSTERBOTTENS LÄN</t>
        </is>
      </c>
      <c r="E385" t="inlineStr">
        <is>
          <t>BJURHOLM</t>
        </is>
      </c>
      <c r="G385" t="n">
        <v>2.7</v>
      </c>
      <c r="H385" t="n">
        <v>0</v>
      </c>
      <c r="I385" t="n">
        <v>0</v>
      </c>
      <c r="J385" t="n">
        <v>0</v>
      </c>
      <c r="K385" t="n">
        <v>0</v>
      </c>
      <c r="L385" t="n">
        <v>0</v>
      </c>
      <c r="M385" t="n">
        <v>0</v>
      </c>
      <c r="N385" t="n">
        <v>0</v>
      </c>
      <c r="O385" t="n">
        <v>0</v>
      </c>
      <c r="P385" t="n">
        <v>0</v>
      </c>
      <c r="Q385" t="n">
        <v>0</v>
      </c>
      <c r="R385" s="2" t="inlineStr"/>
    </row>
    <row r="386" ht="15" customHeight="1">
      <c r="A386" t="inlineStr">
        <is>
          <t>A 63192-2025</t>
        </is>
      </c>
      <c r="B386" s="1" t="n">
        <v>46010</v>
      </c>
      <c r="C386" s="1" t="n">
        <v>46088</v>
      </c>
      <c r="D386" t="inlineStr">
        <is>
          <t>VÄSTERBOTTENS LÄN</t>
        </is>
      </c>
      <c r="E386" t="inlineStr">
        <is>
          <t>BJURHOLM</t>
        </is>
      </c>
      <c r="G386" t="n">
        <v>6.7</v>
      </c>
      <c r="H386" t="n">
        <v>0</v>
      </c>
      <c r="I386" t="n">
        <v>0</v>
      </c>
      <c r="J386" t="n">
        <v>0</v>
      </c>
      <c r="K386" t="n">
        <v>0</v>
      </c>
      <c r="L386" t="n">
        <v>0</v>
      </c>
      <c r="M386" t="n">
        <v>0</v>
      </c>
      <c r="N386" t="n">
        <v>0</v>
      </c>
      <c r="O386" t="n">
        <v>0</v>
      </c>
      <c r="P386" t="n">
        <v>0</v>
      </c>
      <c r="Q386" t="n">
        <v>0</v>
      </c>
      <c r="R386" s="2" t="inlineStr"/>
    </row>
    <row r="387" ht="15" customHeight="1">
      <c r="A387" t="inlineStr">
        <is>
          <t>A 82-2025</t>
        </is>
      </c>
      <c r="B387" s="1" t="n">
        <v>45659</v>
      </c>
      <c r="C387" s="1" t="n">
        <v>46088</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57883-2022</t>
        </is>
      </c>
      <c r="B388" s="1" t="n">
        <v>44899.94689814815</v>
      </c>
      <c r="C388" s="1" t="n">
        <v>46088</v>
      </c>
      <c r="D388" t="inlineStr">
        <is>
          <t>VÄSTERBOTTENS LÄN</t>
        </is>
      </c>
      <c r="E388" t="inlineStr">
        <is>
          <t>BJURHOLM</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46088</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55459-2024</t>
        </is>
      </c>
      <c r="B390" s="1" t="n">
        <v>45622.42745370371</v>
      </c>
      <c r="C390" s="1" t="n">
        <v>46088</v>
      </c>
      <c r="D390" t="inlineStr">
        <is>
          <t>VÄSTERBOTTENS LÄN</t>
        </is>
      </c>
      <c r="E390" t="inlineStr">
        <is>
          <t>BJURHOLM</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63166-2025</t>
        </is>
      </c>
      <c r="B391" s="1" t="n">
        <v>46010</v>
      </c>
      <c r="C391" s="1" t="n">
        <v>46088</v>
      </c>
      <c r="D391" t="inlineStr">
        <is>
          <t>VÄSTERBOTTENS LÄN</t>
        </is>
      </c>
      <c r="E391" t="inlineStr">
        <is>
          <t>BJURHOLM</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63170-2025</t>
        </is>
      </c>
      <c r="B392" s="1" t="n">
        <v>46010.39568287037</v>
      </c>
      <c r="C392" s="1" t="n">
        <v>46088</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7440-2025</t>
        </is>
      </c>
      <c r="B393" s="1" t="n">
        <v>45705</v>
      </c>
      <c r="C393" s="1" t="n">
        <v>46088</v>
      </c>
      <c r="D393" t="inlineStr">
        <is>
          <t>VÄSTERBOTTENS LÄN</t>
        </is>
      </c>
      <c r="E393" t="inlineStr">
        <is>
          <t>BJURHOLM</t>
        </is>
      </c>
      <c r="G393" t="n">
        <v>4.5</v>
      </c>
      <c r="H393" t="n">
        <v>0</v>
      </c>
      <c r="I393" t="n">
        <v>0</v>
      </c>
      <c r="J393" t="n">
        <v>0</v>
      </c>
      <c r="K393" t="n">
        <v>0</v>
      </c>
      <c r="L393" t="n">
        <v>0</v>
      </c>
      <c r="M393" t="n">
        <v>0</v>
      </c>
      <c r="N393" t="n">
        <v>0</v>
      </c>
      <c r="O393" t="n">
        <v>0</v>
      </c>
      <c r="P393" t="n">
        <v>0</v>
      </c>
      <c r="Q393" t="n">
        <v>0</v>
      </c>
      <c r="R393" s="2" t="inlineStr"/>
    </row>
    <row r="394" ht="15" customHeight="1">
      <c r="A394" t="inlineStr">
        <is>
          <t>A 17060-2025</t>
        </is>
      </c>
      <c r="B394" s="1" t="n">
        <v>45755.60756944444</v>
      </c>
      <c r="C394" s="1" t="n">
        <v>46088</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63553-2025</t>
        </is>
      </c>
      <c r="B395" s="1" t="n">
        <v>46013.61215277778</v>
      </c>
      <c r="C395" s="1" t="n">
        <v>46088</v>
      </c>
      <c r="D395" t="inlineStr">
        <is>
          <t>VÄSTERBOTTENS LÄN</t>
        </is>
      </c>
      <c r="E395" t="inlineStr">
        <is>
          <t>BJURHOLM</t>
        </is>
      </c>
      <c r="F395" t="inlineStr">
        <is>
          <t>Holmen skog AB</t>
        </is>
      </c>
      <c r="G395" t="n">
        <v>7.5</v>
      </c>
      <c r="H395" t="n">
        <v>0</v>
      </c>
      <c r="I395" t="n">
        <v>0</v>
      </c>
      <c r="J395" t="n">
        <v>0</v>
      </c>
      <c r="K395" t="n">
        <v>0</v>
      </c>
      <c r="L395" t="n">
        <v>0</v>
      </c>
      <c r="M395" t="n">
        <v>0</v>
      </c>
      <c r="N395" t="n">
        <v>0</v>
      </c>
      <c r="O395" t="n">
        <v>0</v>
      </c>
      <c r="P395" t="n">
        <v>0</v>
      </c>
      <c r="Q395" t="n">
        <v>0</v>
      </c>
      <c r="R395" s="2" t="inlineStr"/>
    </row>
    <row r="396" ht="15" customHeight="1">
      <c r="A396" t="inlineStr">
        <is>
          <t>A 6811-2026</t>
        </is>
      </c>
      <c r="B396" s="1" t="n">
        <v>46055</v>
      </c>
      <c r="C396" s="1" t="n">
        <v>46088</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6966-2026</t>
        </is>
      </c>
      <c r="B397" s="1" t="n">
        <v>46057.58739583333</v>
      </c>
      <c r="C397" s="1" t="n">
        <v>46088</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46088</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46088</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46088</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20949-2023</t>
        </is>
      </c>
      <c r="B401" s="1" t="n">
        <v>45056</v>
      </c>
      <c r="C401" s="1" t="n">
        <v>46088</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56114-2024</t>
        </is>
      </c>
      <c r="B402" s="1" t="n">
        <v>45623</v>
      </c>
      <c r="C402" s="1" t="n">
        <v>46088</v>
      </c>
      <c r="D402" t="inlineStr">
        <is>
          <t>VÄSTERBOTTENS LÄN</t>
        </is>
      </c>
      <c r="E402" t="inlineStr">
        <is>
          <t>BJURHOLM</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6958-2026</t>
        </is>
      </c>
      <c r="B403" s="1" t="n">
        <v>46057.58056712963</v>
      </c>
      <c r="C403" s="1" t="n">
        <v>46088</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4018-2026</t>
        </is>
      </c>
      <c r="B404" s="1" t="n">
        <v>46044.42516203703</v>
      </c>
      <c r="C404" s="1" t="n">
        <v>46088</v>
      </c>
      <c r="D404" t="inlineStr">
        <is>
          <t>VÄSTERBOTTENS LÄN</t>
        </is>
      </c>
      <c r="E404" t="inlineStr">
        <is>
          <t>BJURHOLM</t>
        </is>
      </c>
      <c r="G404" t="n">
        <v>3.2</v>
      </c>
      <c r="H404" t="n">
        <v>0</v>
      </c>
      <c r="I404" t="n">
        <v>0</v>
      </c>
      <c r="J404" t="n">
        <v>0</v>
      </c>
      <c r="K404" t="n">
        <v>0</v>
      </c>
      <c r="L404" t="n">
        <v>0</v>
      </c>
      <c r="M404" t="n">
        <v>0</v>
      </c>
      <c r="N404" t="n">
        <v>0</v>
      </c>
      <c r="O404" t="n">
        <v>0</v>
      </c>
      <c r="P404" t="n">
        <v>0</v>
      </c>
      <c r="Q404" t="n">
        <v>0</v>
      </c>
      <c r="R404" s="2" t="inlineStr"/>
    </row>
    <row r="405" ht="15" customHeight="1">
      <c r="A405" t="inlineStr">
        <is>
          <t>A 60659-2023</t>
        </is>
      </c>
      <c r="B405" s="1" t="n">
        <v>45259</v>
      </c>
      <c r="C405" s="1" t="n">
        <v>46088</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40577-2024</t>
        </is>
      </c>
      <c r="B406" s="1" t="n">
        <v>45555</v>
      </c>
      <c r="C406" s="1" t="n">
        <v>46088</v>
      </c>
      <c r="D406" t="inlineStr">
        <is>
          <t>VÄSTERBOTTENS LÄN</t>
        </is>
      </c>
      <c r="E406" t="inlineStr">
        <is>
          <t>BJURHOLM</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16368-2023</t>
        </is>
      </c>
      <c r="B407" s="1" t="n">
        <v>45028.94060185185</v>
      </c>
      <c r="C407" s="1" t="n">
        <v>46088</v>
      </c>
      <c r="D407" t="inlineStr">
        <is>
          <t>VÄSTERBOTTENS LÄN</t>
        </is>
      </c>
      <c r="E407" t="inlineStr">
        <is>
          <t>BJURHOLM</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54151-2024</t>
        </is>
      </c>
      <c r="B408" s="1" t="n">
        <v>45616</v>
      </c>
      <c r="C408" s="1" t="n">
        <v>46088</v>
      </c>
      <c r="D408" t="inlineStr">
        <is>
          <t>VÄSTERBOTTENS LÄN</t>
        </is>
      </c>
      <c r="E408" t="inlineStr">
        <is>
          <t>BJURHOLM</t>
        </is>
      </c>
      <c r="G408" t="n">
        <v>4.8</v>
      </c>
      <c r="H408" t="n">
        <v>0</v>
      </c>
      <c r="I408" t="n">
        <v>0</v>
      </c>
      <c r="J408" t="n">
        <v>0</v>
      </c>
      <c r="K408" t="n">
        <v>0</v>
      </c>
      <c r="L408" t="n">
        <v>0</v>
      </c>
      <c r="M408" t="n">
        <v>0</v>
      </c>
      <c r="N408" t="n">
        <v>0</v>
      </c>
      <c r="O408" t="n">
        <v>0</v>
      </c>
      <c r="P408" t="n">
        <v>0</v>
      </c>
      <c r="Q408" t="n">
        <v>0</v>
      </c>
      <c r="R408" s="2" t="inlineStr"/>
    </row>
    <row r="409" ht="15" customHeight="1">
      <c r="A409" t="inlineStr">
        <is>
          <t>A 14888-2024</t>
        </is>
      </c>
      <c r="B409" s="1" t="n">
        <v>45398</v>
      </c>
      <c r="C409" s="1" t="n">
        <v>46088</v>
      </c>
      <c r="D409" t="inlineStr">
        <is>
          <t>VÄSTERBOTTENS LÄN</t>
        </is>
      </c>
      <c r="E409" t="inlineStr">
        <is>
          <t>BJURHOLM</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57799-2023</t>
        </is>
      </c>
      <c r="B410" s="1" t="n">
        <v>45246.96910879629</v>
      </c>
      <c r="C410" s="1" t="n">
        <v>46088</v>
      </c>
      <c r="D410" t="inlineStr">
        <is>
          <t>VÄSTERBOTTENS LÄN</t>
        </is>
      </c>
      <c r="E410" t="inlineStr">
        <is>
          <t>BJURHOLM</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52375-2023</t>
        </is>
      </c>
      <c r="B411" s="1" t="n">
        <v>45224.75395833333</v>
      </c>
      <c r="C411" s="1" t="n">
        <v>46088</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64503-2023</t>
        </is>
      </c>
      <c r="B412" s="1" t="n">
        <v>45280.94380787037</v>
      </c>
      <c r="C412" s="1" t="n">
        <v>46088</v>
      </c>
      <c r="D412" t="inlineStr">
        <is>
          <t>VÄSTERBOTTENS LÄN</t>
        </is>
      </c>
      <c r="E412" t="inlineStr">
        <is>
          <t>BJURHOLM</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23181-2024</t>
        </is>
      </c>
      <c r="B413" s="1" t="n">
        <v>45450</v>
      </c>
      <c r="C413" s="1" t="n">
        <v>46088</v>
      </c>
      <c r="D413" t="inlineStr">
        <is>
          <t>VÄSTERBOTTENS LÄN</t>
        </is>
      </c>
      <c r="E413" t="inlineStr">
        <is>
          <t>BJURHOLM</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52671-2024</t>
        </is>
      </c>
      <c r="B414" s="1" t="n">
        <v>45610.38056712963</v>
      </c>
      <c r="C414" s="1" t="n">
        <v>46088</v>
      </c>
      <c r="D414" t="inlineStr">
        <is>
          <t>VÄSTERBOTTENS LÄN</t>
        </is>
      </c>
      <c r="E414" t="inlineStr">
        <is>
          <t>BJURHOLM</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34784-2023</t>
        </is>
      </c>
      <c r="B415" s="1" t="n">
        <v>45141</v>
      </c>
      <c r="C415" s="1" t="n">
        <v>46088</v>
      </c>
      <c r="D415" t="inlineStr">
        <is>
          <t>VÄSTERBOTTENS LÄN</t>
        </is>
      </c>
      <c r="E415" t="inlineStr">
        <is>
          <t>BJURHOLM</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44790-2023</t>
        </is>
      </c>
      <c r="B416" s="1" t="n">
        <v>45190.45606481482</v>
      </c>
      <c r="C416" s="1" t="n">
        <v>46088</v>
      </c>
      <c r="D416" t="inlineStr">
        <is>
          <t>VÄSTERBOTTENS LÄN</t>
        </is>
      </c>
      <c r="E416" t="inlineStr">
        <is>
          <t>BJURHOLM</t>
        </is>
      </c>
      <c r="F416" t="inlineStr">
        <is>
          <t>Holmen skog AB</t>
        </is>
      </c>
      <c r="G416" t="n">
        <v>21.7</v>
      </c>
      <c r="H416" t="n">
        <v>0</v>
      </c>
      <c r="I416" t="n">
        <v>0</v>
      </c>
      <c r="J416" t="n">
        <v>0</v>
      </c>
      <c r="K416" t="n">
        <v>0</v>
      </c>
      <c r="L416" t="n">
        <v>0</v>
      </c>
      <c r="M416" t="n">
        <v>0</v>
      </c>
      <c r="N416" t="n">
        <v>0</v>
      </c>
      <c r="O416" t="n">
        <v>0</v>
      </c>
      <c r="P416" t="n">
        <v>0</v>
      </c>
      <c r="Q416" t="n">
        <v>0</v>
      </c>
      <c r="R416" s="2" t="inlineStr"/>
    </row>
    <row r="417" ht="15" customHeight="1">
      <c r="A417" t="inlineStr">
        <is>
          <t>A 53899-2024</t>
        </is>
      </c>
      <c r="B417" s="1" t="n">
        <v>45615.7033912037</v>
      </c>
      <c r="C417" s="1" t="n">
        <v>46088</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43317-2024</t>
        </is>
      </c>
      <c r="B418" s="1" t="n">
        <v>45568</v>
      </c>
      <c r="C418" s="1" t="n">
        <v>46088</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44880-2023</t>
        </is>
      </c>
      <c r="B419" s="1" t="n">
        <v>45190.60920138889</v>
      </c>
      <c r="C419" s="1" t="n">
        <v>46088</v>
      </c>
      <c r="D419" t="inlineStr">
        <is>
          <t>VÄSTERBOTTENS LÄN</t>
        </is>
      </c>
      <c r="E419" t="inlineStr">
        <is>
          <t>BJURHOLM</t>
        </is>
      </c>
      <c r="F419" t="inlineStr">
        <is>
          <t>Holmen skog AB</t>
        </is>
      </c>
      <c r="G419" t="n">
        <v>10.5</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46088</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13828-2025</t>
        </is>
      </c>
      <c r="B421" s="1" t="n">
        <v>45737.54446759259</v>
      </c>
      <c r="C421" s="1" t="n">
        <v>46088</v>
      </c>
      <c r="D421" t="inlineStr">
        <is>
          <t>VÄSTERBOTTENS LÄN</t>
        </is>
      </c>
      <c r="E421" t="inlineStr">
        <is>
          <t>BJURHOLM</t>
        </is>
      </c>
      <c r="G421" t="n">
        <v>1.3</v>
      </c>
      <c r="H421" t="n">
        <v>0</v>
      </c>
      <c r="I421" t="n">
        <v>0</v>
      </c>
      <c r="J421" t="n">
        <v>0</v>
      </c>
      <c r="K421" t="n">
        <v>0</v>
      </c>
      <c r="L421" t="n">
        <v>0</v>
      </c>
      <c r="M421" t="n">
        <v>0</v>
      </c>
      <c r="N421" t="n">
        <v>0</v>
      </c>
      <c r="O421" t="n">
        <v>0</v>
      </c>
      <c r="P421" t="n">
        <v>0</v>
      </c>
      <c r="Q421" t="n">
        <v>0</v>
      </c>
      <c r="R421" s="2" t="inlineStr"/>
    </row>
    <row r="422" ht="15" customHeight="1">
      <c r="A422" t="inlineStr">
        <is>
          <t>A 36594-2024</t>
        </is>
      </c>
      <c r="B422" s="1" t="n">
        <v>45537</v>
      </c>
      <c r="C422" s="1" t="n">
        <v>46088</v>
      </c>
      <c r="D422" t="inlineStr">
        <is>
          <t>VÄSTERBOTTENS LÄN</t>
        </is>
      </c>
      <c r="E422" t="inlineStr">
        <is>
          <t>BJURHOLM</t>
        </is>
      </c>
      <c r="G422" t="n">
        <v>17.7</v>
      </c>
      <c r="H422" t="n">
        <v>0</v>
      </c>
      <c r="I422" t="n">
        <v>0</v>
      </c>
      <c r="J422" t="n">
        <v>0</v>
      </c>
      <c r="K422" t="n">
        <v>0</v>
      </c>
      <c r="L422" t="n">
        <v>0</v>
      </c>
      <c r="M422" t="n">
        <v>0</v>
      </c>
      <c r="N422" t="n">
        <v>0</v>
      </c>
      <c r="O422" t="n">
        <v>0</v>
      </c>
      <c r="P422" t="n">
        <v>0</v>
      </c>
      <c r="Q422" t="n">
        <v>0</v>
      </c>
      <c r="R422" s="2" t="inlineStr"/>
    </row>
    <row r="423" ht="15" customHeight="1">
      <c r="A423" t="inlineStr">
        <is>
          <t>A 64500-2023</t>
        </is>
      </c>
      <c r="B423" s="1" t="n">
        <v>45280.94303240741</v>
      </c>
      <c r="C423" s="1" t="n">
        <v>46088</v>
      </c>
      <c r="D423" t="inlineStr">
        <is>
          <t>VÄSTERBOTTENS LÄN</t>
        </is>
      </c>
      <c r="E423" t="inlineStr">
        <is>
          <t>BJURHOLM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60499-2023</t>
        </is>
      </c>
      <c r="B424" s="1" t="n">
        <v>45259</v>
      </c>
      <c r="C424" s="1" t="n">
        <v>46088</v>
      </c>
      <c r="D424" t="inlineStr">
        <is>
          <t>VÄSTERBOTTENS LÄN</t>
        </is>
      </c>
      <c r="E424" t="inlineStr">
        <is>
          <t>BJURHOLM</t>
        </is>
      </c>
      <c r="G424" t="n">
        <v>9.5</v>
      </c>
      <c r="H424" t="n">
        <v>0</v>
      </c>
      <c r="I424" t="n">
        <v>0</v>
      </c>
      <c r="J424" t="n">
        <v>0</v>
      </c>
      <c r="K424" t="n">
        <v>0</v>
      </c>
      <c r="L424" t="n">
        <v>0</v>
      </c>
      <c r="M424" t="n">
        <v>0</v>
      </c>
      <c r="N424" t="n">
        <v>0</v>
      </c>
      <c r="O424" t="n">
        <v>0</v>
      </c>
      <c r="P424" t="n">
        <v>0</v>
      </c>
      <c r="Q424" t="n">
        <v>0</v>
      </c>
      <c r="R424" s="2" t="inlineStr"/>
    </row>
    <row r="425" ht="15" customHeight="1">
      <c r="A425" t="inlineStr">
        <is>
          <t>A 34296-2022</t>
        </is>
      </c>
      <c r="B425" s="1" t="n">
        <v>44792.35222222222</v>
      </c>
      <c r="C425" s="1" t="n">
        <v>46088</v>
      </c>
      <c r="D425" t="inlineStr">
        <is>
          <t>VÄSTERBOTTENS LÄN</t>
        </is>
      </c>
      <c r="E425" t="inlineStr">
        <is>
          <t>BJURHOLM</t>
        </is>
      </c>
      <c r="G425" t="n">
        <v>9.1</v>
      </c>
      <c r="H425" t="n">
        <v>0</v>
      </c>
      <c r="I425" t="n">
        <v>0</v>
      </c>
      <c r="J425" t="n">
        <v>0</v>
      </c>
      <c r="K425" t="n">
        <v>0</v>
      </c>
      <c r="L425" t="n">
        <v>0</v>
      </c>
      <c r="M425" t="n">
        <v>0</v>
      </c>
      <c r="N425" t="n">
        <v>0</v>
      </c>
      <c r="O425" t="n">
        <v>0</v>
      </c>
      <c r="P425" t="n">
        <v>0</v>
      </c>
      <c r="Q425" t="n">
        <v>0</v>
      </c>
      <c r="R425" s="2" t="inlineStr"/>
    </row>
    <row r="426" ht="15" customHeight="1">
      <c r="A426" t="inlineStr">
        <is>
          <t>A 27953-2024</t>
        </is>
      </c>
      <c r="B426" s="1" t="n">
        <v>45476</v>
      </c>
      <c r="C426" s="1" t="n">
        <v>46088</v>
      </c>
      <c r="D426" t="inlineStr">
        <is>
          <t>VÄSTERBOTTENS LÄN</t>
        </is>
      </c>
      <c r="E426" t="inlineStr">
        <is>
          <t>BJURHOLM</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46088</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40409-2023</t>
        </is>
      </c>
      <c r="B428" s="1" t="n">
        <v>45169.93868055556</v>
      </c>
      <c r="C428" s="1" t="n">
        <v>46088</v>
      </c>
      <c r="D428" t="inlineStr">
        <is>
          <t>VÄSTERBOTTENS LÄN</t>
        </is>
      </c>
      <c r="E428" t="inlineStr">
        <is>
          <t>BJURHOLM</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16792-2022</t>
        </is>
      </c>
      <c r="B429" s="1" t="n">
        <v>44673</v>
      </c>
      <c r="C429" s="1" t="n">
        <v>46088</v>
      </c>
      <c r="D429" t="inlineStr">
        <is>
          <t>VÄSTERBOTTENS LÄN</t>
        </is>
      </c>
      <c r="E429" t="inlineStr">
        <is>
          <t>BJURHOLM</t>
        </is>
      </c>
      <c r="G429" t="n">
        <v>3.1</v>
      </c>
      <c r="H429" t="n">
        <v>0</v>
      </c>
      <c r="I429" t="n">
        <v>0</v>
      </c>
      <c r="J429" t="n">
        <v>0</v>
      </c>
      <c r="K429" t="n">
        <v>0</v>
      </c>
      <c r="L429" t="n">
        <v>0</v>
      </c>
      <c r="M429" t="n">
        <v>0</v>
      </c>
      <c r="N429" t="n">
        <v>0</v>
      </c>
      <c r="O429" t="n">
        <v>0</v>
      </c>
      <c r="P429" t="n">
        <v>0</v>
      </c>
      <c r="Q429" t="n">
        <v>0</v>
      </c>
      <c r="R429" s="2" t="inlineStr"/>
    </row>
    <row r="430" ht="15" customHeight="1">
      <c r="A430" t="inlineStr">
        <is>
          <t>A 56151-2024</t>
        </is>
      </c>
      <c r="B430" s="1" t="n">
        <v>45623</v>
      </c>
      <c r="C430" s="1" t="n">
        <v>46088</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50728-2024</t>
        </is>
      </c>
      <c r="B431" s="1" t="n">
        <v>45602.38762731481</v>
      </c>
      <c r="C431" s="1" t="n">
        <v>46088</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31205-2023</t>
        </is>
      </c>
      <c r="B432" s="1" t="n">
        <v>45113</v>
      </c>
      <c r="C432" s="1" t="n">
        <v>46088</v>
      </c>
      <c r="D432" t="inlineStr">
        <is>
          <t>VÄSTERBOTTENS LÄN</t>
        </is>
      </c>
      <c r="E432" t="inlineStr">
        <is>
          <t>BJURHOLM</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46088</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33711-2023</t>
        </is>
      </c>
      <c r="B434" s="1" t="n">
        <v>45132</v>
      </c>
      <c r="C434" s="1" t="n">
        <v>46088</v>
      </c>
      <c r="D434" t="inlineStr">
        <is>
          <t>VÄSTERBOTTENS LÄN</t>
        </is>
      </c>
      <c r="E434" t="inlineStr">
        <is>
          <t>BJURHOLM</t>
        </is>
      </c>
      <c r="F434" t="inlineStr">
        <is>
          <t>SCA</t>
        </is>
      </c>
      <c r="G434" t="n">
        <v>70.09999999999999</v>
      </c>
      <c r="H434" t="n">
        <v>0</v>
      </c>
      <c r="I434" t="n">
        <v>0</v>
      </c>
      <c r="J434" t="n">
        <v>0</v>
      </c>
      <c r="K434" t="n">
        <v>0</v>
      </c>
      <c r="L434" t="n">
        <v>0</v>
      </c>
      <c r="M434" t="n">
        <v>0</v>
      </c>
      <c r="N434" t="n">
        <v>0</v>
      </c>
      <c r="O434" t="n">
        <v>0</v>
      </c>
      <c r="P434" t="n">
        <v>0</v>
      </c>
      <c r="Q434" t="n">
        <v>0</v>
      </c>
      <c r="R434" s="2" t="inlineStr"/>
    </row>
    <row r="435" ht="15" customHeight="1">
      <c r="A435" t="inlineStr">
        <is>
          <t>A 53375-2024</t>
        </is>
      </c>
      <c r="B435" s="1" t="n">
        <v>45614</v>
      </c>
      <c r="C435" s="1" t="n">
        <v>46088</v>
      </c>
      <c r="D435" t="inlineStr">
        <is>
          <t>VÄSTERBOTTENS LÄN</t>
        </is>
      </c>
      <c r="E435" t="inlineStr">
        <is>
          <t>BJURHOLM</t>
        </is>
      </c>
      <c r="G435" t="n">
        <v>0.5</v>
      </c>
      <c r="H435" t="n">
        <v>0</v>
      </c>
      <c r="I435" t="n">
        <v>0</v>
      </c>
      <c r="J435" t="n">
        <v>0</v>
      </c>
      <c r="K435" t="n">
        <v>0</v>
      </c>
      <c r="L435" t="n">
        <v>0</v>
      </c>
      <c r="M435" t="n">
        <v>0</v>
      </c>
      <c r="N435" t="n">
        <v>0</v>
      </c>
      <c r="O435" t="n">
        <v>0</v>
      </c>
      <c r="P435" t="n">
        <v>0</v>
      </c>
      <c r="Q435" t="n">
        <v>0</v>
      </c>
      <c r="R435" s="2" t="inlineStr"/>
    </row>
    <row r="436" ht="15" customHeight="1">
      <c r="A436" t="inlineStr">
        <is>
          <t>A 19573-2024</t>
        </is>
      </c>
      <c r="B436" s="1" t="n">
        <v>45429</v>
      </c>
      <c r="C436" s="1" t="n">
        <v>46088</v>
      </c>
      <c r="D436" t="inlineStr">
        <is>
          <t>VÄSTERBOTTENS LÄN</t>
        </is>
      </c>
      <c r="E436" t="inlineStr">
        <is>
          <t>BJURHOLM</t>
        </is>
      </c>
      <c r="G436" t="n">
        <v>2.9</v>
      </c>
      <c r="H436" t="n">
        <v>0</v>
      </c>
      <c r="I436" t="n">
        <v>0</v>
      </c>
      <c r="J436" t="n">
        <v>0</v>
      </c>
      <c r="K436" t="n">
        <v>0</v>
      </c>
      <c r="L436" t="n">
        <v>0</v>
      </c>
      <c r="M436" t="n">
        <v>0</v>
      </c>
      <c r="N436" t="n">
        <v>0</v>
      </c>
      <c r="O436" t="n">
        <v>0</v>
      </c>
      <c r="P436" t="n">
        <v>0</v>
      </c>
      <c r="Q436" t="n">
        <v>0</v>
      </c>
      <c r="R436" s="2" t="inlineStr"/>
    </row>
    <row r="437" ht="15" customHeight="1">
      <c r="A437" t="inlineStr">
        <is>
          <t>A 17237-2025</t>
        </is>
      </c>
      <c r="B437" s="1" t="n">
        <v>45756.47723379629</v>
      </c>
      <c r="C437" s="1" t="n">
        <v>46088</v>
      </c>
      <c r="D437" t="inlineStr">
        <is>
          <t>VÄSTERBOTTENS LÄN</t>
        </is>
      </c>
      <c r="E437" t="inlineStr">
        <is>
          <t>BJURHOLM</t>
        </is>
      </c>
      <c r="G437" t="n">
        <v>5.9</v>
      </c>
      <c r="H437" t="n">
        <v>0</v>
      </c>
      <c r="I437" t="n">
        <v>0</v>
      </c>
      <c r="J437" t="n">
        <v>0</v>
      </c>
      <c r="K437" t="n">
        <v>0</v>
      </c>
      <c r="L437" t="n">
        <v>0</v>
      </c>
      <c r="M437" t="n">
        <v>0</v>
      </c>
      <c r="N437" t="n">
        <v>0</v>
      </c>
      <c r="O437" t="n">
        <v>0</v>
      </c>
      <c r="P437" t="n">
        <v>0</v>
      </c>
      <c r="Q437" t="n">
        <v>0</v>
      </c>
      <c r="R437" s="2" t="inlineStr"/>
    </row>
    <row r="438" ht="15" customHeight="1">
      <c r="A438" t="inlineStr">
        <is>
          <t>A 8499-2024</t>
        </is>
      </c>
      <c r="B438" s="1" t="n">
        <v>45351</v>
      </c>
      <c r="C438" s="1" t="n">
        <v>46088</v>
      </c>
      <c r="D438" t="inlineStr">
        <is>
          <t>VÄSTERBOTTENS LÄN</t>
        </is>
      </c>
      <c r="E438" t="inlineStr">
        <is>
          <t>BJURHOLM</t>
        </is>
      </c>
      <c r="G438" t="n">
        <v>0.2</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46088</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14407-2024</t>
        </is>
      </c>
      <c r="B440" s="1" t="n">
        <v>45394</v>
      </c>
      <c r="C440" s="1" t="n">
        <v>46088</v>
      </c>
      <c r="D440" t="inlineStr">
        <is>
          <t>VÄSTERBOTTENS LÄN</t>
        </is>
      </c>
      <c r="E440" t="inlineStr">
        <is>
          <t>BJURHOLM</t>
        </is>
      </c>
      <c r="G440" t="n">
        <v>4.9</v>
      </c>
      <c r="H440" t="n">
        <v>0</v>
      </c>
      <c r="I440" t="n">
        <v>0</v>
      </c>
      <c r="J440" t="n">
        <v>0</v>
      </c>
      <c r="K440" t="n">
        <v>0</v>
      </c>
      <c r="L440" t="n">
        <v>0</v>
      </c>
      <c r="M440" t="n">
        <v>0</v>
      </c>
      <c r="N440" t="n">
        <v>0</v>
      </c>
      <c r="O440" t="n">
        <v>0</v>
      </c>
      <c r="P440" t="n">
        <v>0</v>
      </c>
      <c r="Q440" t="n">
        <v>0</v>
      </c>
      <c r="R440" s="2" t="inlineStr"/>
    </row>
    <row r="441" ht="15" customHeight="1">
      <c r="A441" t="inlineStr">
        <is>
          <t>A 41503-2021</t>
        </is>
      </c>
      <c r="B441" s="1" t="n">
        <v>44424</v>
      </c>
      <c r="C441" s="1" t="n">
        <v>46088</v>
      </c>
      <c r="D441" t="inlineStr">
        <is>
          <t>VÄSTERBOTTENS LÄN</t>
        </is>
      </c>
      <c r="E441" t="inlineStr">
        <is>
          <t>BJURHOLM</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32502-2024</t>
        </is>
      </c>
      <c r="B442" s="1" t="n">
        <v>45513</v>
      </c>
      <c r="C442" s="1" t="n">
        <v>46088</v>
      </c>
      <c r="D442" t="inlineStr">
        <is>
          <t>VÄSTERBOTTENS LÄN</t>
        </is>
      </c>
      <c r="E442" t="inlineStr">
        <is>
          <t>BJURHOLM</t>
        </is>
      </c>
      <c r="G442" t="n">
        <v>1.5</v>
      </c>
      <c r="H442" t="n">
        <v>0</v>
      </c>
      <c r="I442" t="n">
        <v>0</v>
      </c>
      <c r="J442" t="n">
        <v>0</v>
      </c>
      <c r="K442" t="n">
        <v>0</v>
      </c>
      <c r="L442" t="n">
        <v>0</v>
      </c>
      <c r="M442" t="n">
        <v>0</v>
      </c>
      <c r="N442" t="n">
        <v>0</v>
      </c>
      <c r="O442" t="n">
        <v>0</v>
      </c>
      <c r="P442" t="n">
        <v>0</v>
      </c>
      <c r="Q442" t="n">
        <v>0</v>
      </c>
      <c r="R442" s="2" t="inlineStr"/>
    </row>
    <row r="443" ht="15" customHeight="1">
      <c r="A443" t="inlineStr">
        <is>
          <t>A 31575-2024</t>
        </is>
      </c>
      <c r="B443" s="1" t="n">
        <v>45506</v>
      </c>
      <c r="C443" s="1" t="n">
        <v>46088</v>
      </c>
      <c r="D443" t="inlineStr">
        <is>
          <t>VÄSTERBOTTENS LÄN</t>
        </is>
      </c>
      <c r="E443" t="inlineStr">
        <is>
          <t>BJURHOLM</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57877-2023</t>
        </is>
      </c>
      <c r="B444" s="1" t="n">
        <v>45247.46681712963</v>
      </c>
      <c r="C444" s="1" t="n">
        <v>46088</v>
      </c>
      <c r="D444" t="inlineStr">
        <is>
          <t>VÄSTERBOTTENS LÄN</t>
        </is>
      </c>
      <c r="E444" t="inlineStr">
        <is>
          <t>BJURHOLM</t>
        </is>
      </c>
      <c r="G444" t="n">
        <v>0.3</v>
      </c>
      <c r="H444" t="n">
        <v>0</v>
      </c>
      <c r="I444" t="n">
        <v>0</v>
      </c>
      <c r="J444" t="n">
        <v>0</v>
      </c>
      <c r="K444" t="n">
        <v>0</v>
      </c>
      <c r="L444" t="n">
        <v>0</v>
      </c>
      <c r="M444" t="n">
        <v>0</v>
      </c>
      <c r="N444" t="n">
        <v>0</v>
      </c>
      <c r="O444" t="n">
        <v>0</v>
      </c>
      <c r="P444" t="n">
        <v>0</v>
      </c>
      <c r="Q444" t="n">
        <v>0</v>
      </c>
      <c r="R444" s="2" t="inlineStr"/>
    </row>
    <row r="445" ht="15" customHeight="1">
      <c r="A445" t="inlineStr">
        <is>
          <t>A 80-2024</t>
        </is>
      </c>
      <c r="B445" s="1" t="n">
        <v>45293</v>
      </c>
      <c r="C445" s="1" t="n">
        <v>46088</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56315-2023</t>
        </is>
      </c>
      <c r="B446" s="1" t="n">
        <v>45236</v>
      </c>
      <c r="C446" s="1" t="n">
        <v>46088</v>
      </c>
      <c r="D446" t="inlineStr">
        <is>
          <t>VÄSTERBOTTENS LÄN</t>
        </is>
      </c>
      <c r="E446" t="inlineStr">
        <is>
          <t>BJURHOLM</t>
        </is>
      </c>
      <c r="G446" t="n">
        <v>2.6</v>
      </c>
      <c r="H446" t="n">
        <v>0</v>
      </c>
      <c r="I446" t="n">
        <v>0</v>
      </c>
      <c r="J446" t="n">
        <v>0</v>
      </c>
      <c r="K446" t="n">
        <v>0</v>
      </c>
      <c r="L446" t="n">
        <v>0</v>
      </c>
      <c r="M446" t="n">
        <v>0</v>
      </c>
      <c r="N446" t="n">
        <v>0</v>
      </c>
      <c r="O446" t="n">
        <v>0</v>
      </c>
      <c r="P446" t="n">
        <v>0</v>
      </c>
      <c r="Q446" t="n">
        <v>0</v>
      </c>
      <c r="R446" s="2" t="inlineStr"/>
    </row>
    <row r="447" ht="15" customHeight="1">
      <c r="A447" t="inlineStr">
        <is>
          <t>A 36991-2022</t>
        </is>
      </c>
      <c r="B447" s="1" t="n">
        <v>44806</v>
      </c>
      <c r="C447" s="1" t="n">
        <v>46088</v>
      </c>
      <c r="D447" t="inlineStr">
        <is>
          <t>VÄSTERBOTTENS LÄN</t>
        </is>
      </c>
      <c r="E447" t="inlineStr">
        <is>
          <t>BJURHOLM</t>
        </is>
      </c>
      <c r="G447" t="n">
        <v>1.8</v>
      </c>
      <c r="H447" t="n">
        <v>0</v>
      </c>
      <c r="I447" t="n">
        <v>0</v>
      </c>
      <c r="J447" t="n">
        <v>0</v>
      </c>
      <c r="K447" t="n">
        <v>0</v>
      </c>
      <c r="L447" t="n">
        <v>0</v>
      </c>
      <c r="M447" t="n">
        <v>0</v>
      </c>
      <c r="N447" t="n">
        <v>0</v>
      </c>
      <c r="O447" t="n">
        <v>0</v>
      </c>
      <c r="P447" t="n">
        <v>0</v>
      </c>
      <c r="Q447" t="n">
        <v>0</v>
      </c>
      <c r="R447" s="2" t="inlineStr"/>
    </row>
    <row r="448" ht="15" customHeight="1">
      <c r="A448" t="inlineStr">
        <is>
          <t>A 22502-2024</t>
        </is>
      </c>
      <c r="B448" s="1" t="n">
        <v>45447</v>
      </c>
      <c r="C448" s="1" t="n">
        <v>46088</v>
      </c>
      <c r="D448" t="inlineStr">
        <is>
          <t>VÄSTERBOTTENS LÄN</t>
        </is>
      </c>
      <c r="E448" t="inlineStr">
        <is>
          <t>BJURHOLM</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34714-2023</t>
        </is>
      </c>
      <c r="B449" s="1" t="n">
        <v>45141.32886574074</v>
      </c>
      <c r="C449" s="1" t="n">
        <v>46088</v>
      </c>
      <c r="D449" t="inlineStr">
        <is>
          <t>VÄSTERBOTTENS LÄN</t>
        </is>
      </c>
      <c r="E449" t="inlineStr">
        <is>
          <t>BJURHOLM</t>
        </is>
      </c>
      <c r="F449" t="inlineStr">
        <is>
          <t>Holmen skog AB</t>
        </is>
      </c>
      <c r="G449" t="n">
        <v>3</v>
      </c>
      <c r="H449" t="n">
        <v>0</v>
      </c>
      <c r="I449" t="n">
        <v>0</v>
      </c>
      <c r="J449" t="n">
        <v>0</v>
      </c>
      <c r="K449" t="n">
        <v>0</v>
      </c>
      <c r="L449" t="n">
        <v>0</v>
      </c>
      <c r="M449" t="n">
        <v>0</v>
      </c>
      <c r="N449" t="n">
        <v>0</v>
      </c>
      <c r="O449" t="n">
        <v>0</v>
      </c>
      <c r="P449" t="n">
        <v>0</v>
      </c>
      <c r="Q449" t="n">
        <v>0</v>
      </c>
      <c r="R449" s="2" t="inlineStr"/>
    </row>
    <row r="450" ht="15" customHeight="1">
      <c r="A450" t="inlineStr">
        <is>
          <t>A 34761-2023</t>
        </is>
      </c>
      <c r="B450" s="1" t="n">
        <v>45141.47096064815</v>
      </c>
      <c r="C450" s="1" t="n">
        <v>46088</v>
      </c>
      <c r="D450" t="inlineStr">
        <is>
          <t>VÄSTERBOTTENS LÄN</t>
        </is>
      </c>
      <c r="E450" t="inlineStr">
        <is>
          <t>BJURHOLM</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53374-2024</t>
        </is>
      </c>
      <c r="B451" s="1" t="n">
        <v>45614</v>
      </c>
      <c r="C451" s="1" t="n">
        <v>46088</v>
      </c>
      <c r="D451" t="inlineStr">
        <is>
          <t>VÄSTERBOTTENS LÄN</t>
        </is>
      </c>
      <c r="E451" t="inlineStr">
        <is>
          <t>BJURHOLM</t>
        </is>
      </c>
      <c r="G451" t="n">
        <v>0.5</v>
      </c>
      <c r="H451" t="n">
        <v>0</v>
      </c>
      <c r="I451" t="n">
        <v>0</v>
      </c>
      <c r="J451" t="n">
        <v>0</v>
      </c>
      <c r="K451" t="n">
        <v>0</v>
      </c>
      <c r="L451" t="n">
        <v>0</v>
      </c>
      <c r="M451" t="n">
        <v>0</v>
      </c>
      <c r="N451" t="n">
        <v>0</v>
      </c>
      <c r="O451" t="n">
        <v>0</v>
      </c>
      <c r="P451" t="n">
        <v>0</v>
      </c>
      <c r="Q451" t="n">
        <v>0</v>
      </c>
      <c r="R451" s="2" t="inlineStr"/>
    </row>
    <row r="452" ht="15" customHeight="1">
      <c r="A452" t="inlineStr">
        <is>
          <t>A 33460-2022</t>
        </is>
      </c>
      <c r="B452" s="1" t="n">
        <v>44788.6674537037</v>
      </c>
      <c r="C452" s="1" t="n">
        <v>46088</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7683-2024</t>
        </is>
      </c>
      <c r="B453" s="1" t="n">
        <v>45348</v>
      </c>
      <c r="C453" s="1" t="n">
        <v>46088</v>
      </c>
      <c r="D453" t="inlineStr">
        <is>
          <t>VÄSTERBOTTENS LÄN</t>
        </is>
      </c>
      <c r="E453" t="inlineStr">
        <is>
          <t>BJURHOLM</t>
        </is>
      </c>
      <c r="G453" t="n">
        <v>11.5</v>
      </c>
      <c r="H453" t="n">
        <v>0</v>
      </c>
      <c r="I453" t="n">
        <v>0</v>
      </c>
      <c r="J453" t="n">
        <v>0</v>
      </c>
      <c r="K453" t="n">
        <v>0</v>
      </c>
      <c r="L453" t="n">
        <v>0</v>
      </c>
      <c r="M453" t="n">
        <v>0</v>
      </c>
      <c r="N453" t="n">
        <v>0</v>
      </c>
      <c r="O453" t="n">
        <v>0</v>
      </c>
      <c r="P453" t="n">
        <v>0</v>
      </c>
      <c r="Q453" t="n">
        <v>0</v>
      </c>
      <c r="R453" s="2" t="inlineStr"/>
    </row>
    <row r="454" ht="15" customHeight="1">
      <c r="A454" t="inlineStr">
        <is>
          <t>A 7728-2024</t>
        </is>
      </c>
      <c r="B454" s="1" t="n">
        <v>45348</v>
      </c>
      <c r="C454" s="1" t="n">
        <v>46088</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14071-2023</t>
        </is>
      </c>
      <c r="B455" s="1" t="n">
        <v>45009.08837962963</v>
      </c>
      <c r="C455" s="1" t="n">
        <v>46088</v>
      </c>
      <c r="D455" t="inlineStr">
        <is>
          <t>VÄSTERBOTTENS LÄN</t>
        </is>
      </c>
      <c r="E455" t="inlineStr">
        <is>
          <t>BJURHOLM</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55542-2022</t>
        </is>
      </c>
      <c r="B456" s="1" t="n">
        <v>44887</v>
      </c>
      <c r="C456" s="1" t="n">
        <v>46088</v>
      </c>
      <c r="D456" t="inlineStr">
        <is>
          <t>VÄSTERBOTTENS LÄN</t>
        </is>
      </c>
      <c r="E456" t="inlineStr">
        <is>
          <t>BJURHOLM</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1877-2024</t>
        </is>
      </c>
      <c r="B457" s="1" t="n">
        <v>45307</v>
      </c>
      <c r="C457" s="1" t="n">
        <v>46088</v>
      </c>
      <c r="D457" t="inlineStr">
        <is>
          <t>VÄSTERBOTTENS LÄN</t>
        </is>
      </c>
      <c r="E457" t="inlineStr">
        <is>
          <t>BJURHOLM</t>
        </is>
      </c>
      <c r="G457" t="n">
        <v>7.9</v>
      </c>
      <c r="H457" t="n">
        <v>0</v>
      </c>
      <c r="I457" t="n">
        <v>0</v>
      </c>
      <c r="J457" t="n">
        <v>0</v>
      </c>
      <c r="K457" t="n">
        <v>0</v>
      </c>
      <c r="L457" t="n">
        <v>0</v>
      </c>
      <c r="M457" t="n">
        <v>0</v>
      </c>
      <c r="N457" t="n">
        <v>0</v>
      </c>
      <c r="O457" t="n">
        <v>0</v>
      </c>
      <c r="P457" t="n">
        <v>0</v>
      </c>
      <c r="Q457" t="n">
        <v>0</v>
      </c>
      <c r="R457" s="2" t="inlineStr"/>
    </row>
    <row r="458" ht="15" customHeight="1">
      <c r="A458" t="inlineStr">
        <is>
          <t>A 47591-2024</t>
        </is>
      </c>
      <c r="B458" s="1" t="n">
        <v>45587.83815972223</v>
      </c>
      <c r="C458" s="1" t="n">
        <v>46088</v>
      </c>
      <c r="D458" t="inlineStr">
        <is>
          <t>VÄSTERBOTTENS LÄN</t>
        </is>
      </c>
      <c r="E458" t="inlineStr">
        <is>
          <t>BJURHOLM</t>
        </is>
      </c>
      <c r="G458" t="n">
        <v>5.4</v>
      </c>
      <c r="H458" t="n">
        <v>0</v>
      </c>
      <c r="I458" t="n">
        <v>0</v>
      </c>
      <c r="J458" t="n">
        <v>0</v>
      </c>
      <c r="K458" t="n">
        <v>0</v>
      </c>
      <c r="L458" t="n">
        <v>0</v>
      </c>
      <c r="M458" t="n">
        <v>0</v>
      </c>
      <c r="N458" t="n">
        <v>0</v>
      </c>
      <c r="O458" t="n">
        <v>0</v>
      </c>
      <c r="P458" t="n">
        <v>0</v>
      </c>
      <c r="Q458" t="n">
        <v>0</v>
      </c>
      <c r="R458" s="2" t="inlineStr"/>
    </row>
    <row r="459" ht="15" customHeight="1">
      <c r="A459" t="inlineStr">
        <is>
          <t>A 10984-2023</t>
        </is>
      </c>
      <c r="B459" s="1" t="n">
        <v>44985</v>
      </c>
      <c r="C459" s="1" t="n">
        <v>46088</v>
      </c>
      <c r="D459" t="inlineStr">
        <is>
          <t>VÄSTERBOTTENS LÄN</t>
        </is>
      </c>
      <c r="E459" t="inlineStr">
        <is>
          <t>BJURHOLM</t>
        </is>
      </c>
      <c r="G459" t="n">
        <v>4</v>
      </c>
      <c r="H459" t="n">
        <v>0</v>
      </c>
      <c r="I459" t="n">
        <v>0</v>
      </c>
      <c r="J459" t="n">
        <v>0</v>
      </c>
      <c r="K459" t="n">
        <v>0</v>
      </c>
      <c r="L459" t="n">
        <v>0</v>
      </c>
      <c r="M459" t="n">
        <v>0</v>
      </c>
      <c r="N459" t="n">
        <v>0</v>
      </c>
      <c r="O459" t="n">
        <v>0</v>
      </c>
      <c r="P459" t="n">
        <v>0</v>
      </c>
      <c r="Q459" t="n">
        <v>0</v>
      </c>
      <c r="R459" s="2" t="inlineStr"/>
    </row>
    <row r="460" ht="15" customHeight="1">
      <c r="A460" t="inlineStr">
        <is>
          <t>A 23184-2024</t>
        </is>
      </c>
      <c r="B460" s="1" t="n">
        <v>45450.94480324074</v>
      </c>
      <c r="C460" s="1" t="n">
        <v>46088</v>
      </c>
      <c r="D460" t="inlineStr">
        <is>
          <t>VÄSTERBOTTENS LÄN</t>
        </is>
      </c>
      <c r="E460" t="inlineStr">
        <is>
          <t>BJURHOLM</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6721-2024</t>
        </is>
      </c>
      <c r="B461" s="1" t="n">
        <v>45342</v>
      </c>
      <c r="C461" s="1" t="n">
        <v>46088</v>
      </c>
      <c r="D461" t="inlineStr">
        <is>
          <t>VÄSTERBOTTENS LÄN</t>
        </is>
      </c>
      <c r="E461" t="inlineStr">
        <is>
          <t>BJURHOLM</t>
        </is>
      </c>
      <c r="G461" t="n">
        <v>6.6</v>
      </c>
      <c r="H461" t="n">
        <v>0</v>
      </c>
      <c r="I461" t="n">
        <v>0</v>
      </c>
      <c r="J461" t="n">
        <v>0</v>
      </c>
      <c r="K461" t="n">
        <v>0</v>
      </c>
      <c r="L461" t="n">
        <v>0</v>
      </c>
      <c r="M461" t="n">
        <v>0</v>
      </c>
      <c r="N461" t="n">
        <v>0</v>
      </c>
      <c r="O461" t="n">
        <v>0</v>
      </c>
      <c r="P461" t="n">
        <v>0</v>
      </c>
      <c r="Q461" t="n">
        <v>0</v>
      </c>
      <c r="R461" s="2" t="inlineStr"/>
    </row>
    <row r="462" ht="15" customHeight="1">
      <c r="A462" t="inlineStr">
        <is>
          <t>A 8510-2024</t>
        </is>
      </c>
      <c r="B462" s="1" t="n">
        <v>45351</v>
      </c>
      <c r="C462" s="1" t="n">
        <v>46088</v>
      </c>
      <c r="D462" t="inlineStr">
        <is>
          <t>VÄSTERBOTTENS LÄN</t>
        </is>
      </c>
      <c r="E462" t="inlineStr">
        <is>
          <t>BJURHOLM</t>
        </is>
      </c>
      <c r="G462" t="n">
        <v>0.4</v>
      </c>
      <c r="H462" t="n">
        <v>0</v>
      </c>
      <c r="I462" t="n">
        <v>0</v>
      </c>
      <c r="J462" t="n">
        <v>0</v>
      </c>
      <c r="K462" t="n">
        <v>0</v>
      </c>
      <c r="L462" t="n">
        <v>0</v>
      </c>
      <c r="M462" t="n">
        <v>0</v>
      </c>
      <c r="N462" t="n">
        <v>0</v>
      </c>
      <c r="O462" t="n">
        <v>0</v>
      </c>
      <c r="P462" t="n">
        <v>0</v>
      </c>
      <c r="Q462" t="n">
        <v>0</v>
      </c>
      <c r="R462" s="2" t="inlineStr"/>
    </row>
    <row r="463" ht="15" customHeight="1">
      <c r="A463" t="inlineStr">
        <is>
          <t>A 20011-2024</t>
        </is>
      </c>
      <c r="B463" s="1" t="n">
        <v>45433.94342592593</v>
      </c>
      <c r="C463" s="1" t="n">
        <v>46088</v>
      </c>
      <c r="D463" t="inlineStr">
        <is>
          <t>VÄSTERBOTTENS LÄN</t>
        </is>
      </c>
      <c r="E463" t="inlineStr">
        <is>
          <t>BJURHOLM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61730-2024</t>
        </is>
      </c>
      <c r="B464" s="1" t="n">
        <v>45649</v>
      </c>
      <c r="C464" s="1" t="n">
        <v>46088</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61735-2024</t>
        </is>
      </c>
      <c r="B465" s="1" t="n">
        <v>45649.3635300926</v>
      </c>
      <c r="C465" s="1" t="n">
        <v>46088</v>
      </c>
      <c r="D465" t="inlineStr">
        <is>
          <t>VÄSTERBOTTENS LÄN</t>
        </is>
      </c>
      <c r="E465" t="inlineStr">
        <is>
          <t>BJURHOLM</t>
        </is>
      </c>
      <c r="G465" t="n">
        <v>7.8</v>
      </c>
      <c r="H465" t="n">
        <v>0</v>
      </c>
      <c r="I465" t="n">
        <v>0</v>
      </c>
      <c r="J465" t="n">
        <v>0</v>
      </c>
      <c r="K465" t="n">
        <v>0</v>
      </c>
      <c r="L465" t="n">
        <v>0</v>
      </c>
      <c r="M465" t="n">
        <v>0</v>
      </c>
      <c r="N465" t="n">
        <v>0</v>
      </c>
      <c r="O465" t="n">
        <v>0</v>
      </c>
      <c r="P465" t="n">
        <v>0</v>
      </c>
      <c r="Q465" t="n">
        <v>0</v>
      </c>
      <c r="R465" s="2" t="inlineStr"/>
    </row>
    <row r="466" ht="15" customHeight="1">
      <c r="A466" t="inlineStr">
        <is>
          <t>A 50762-2024</t>
        </is>
      </c>
      <c r="B466" s="1" t="n">
        <v>45602.4377662037</v>
      </c>
      <c r="C466" s="1" t="n">
        <v>46088</v>
      </c>
      <c r="D466" t="inlineStr">
        <is>
          <t>VÄSTERBOTTENS LÄN</t>
        </is>
      </c>
      <c r="E466" t="inlineStr">
        <is>
          <t>BJURHOLM</t>
        </is>
      </c>
      <c r="G466" t="n">
        <v>4.5</v>
      </c>
      <c r="H466" t="n">
        <v>0</v>
      </c>
      <c r="I466" t="n">
        <v>0</v>
      </c>
      <c r="J466" t="n">
        <v>0</v>
      </c>
      <c r="K466" t="n">
        <v>0</v>
      </c>
      <c r="L466" t="n">
        <v>0</v>
      </c>
      <c r="M466" t="n">
        <v>0</v>
      </c>
      <c r="N466" t="n">
        <v>0</v>
      </c>
      <c r="O466" t="n">
        <v>0</v>
      </c>
      <c r="P466" t="n">
        <v>0</v>
      </c>
      <c r="Q466" t="n">
        <v>0</v>
      </c>
      <c r="R466" s="2" t="inlineStr"/>
    </row>
    <row r="467" ht="15" customHeight="1">
      <c r="A467" t="inlineStr">
        <is>
          <t>A 59675-2021</t>
        </is>
      </c>
      <c r="B467" s="1" t="n">
        <v>44494</v>
      </c>
      <c r="C467" s="1" t="n">
        <v>46088</v>
      </c>
      <c r="D467" t="inlineStr">
        <is>
          <t>VÄSTERBOTTENS LÄN</t>
        </is>
      </c>
      <c r="E467" t="inlineStr">
        <is>
          <t>BJURHOLM</t>
        </is>
      </c>
      <c r="G467" t="n">
        <v>0.1</v>
      </c>
      <c r="H467" t="n">
        <v>0</v>
      </c>
      <c r="I467" t="n">
        <v>0</v>
      </c>
      <c r="J467" t="n">
        <v>0</v>
      </c>
      <c r="K467" t="n">
        <v>0</v>
      </c>
      <c r="L467" t="n">
        <v>0</v>
      </c>
      <c r="M467" t="n">
        <v>0</v>
      </c>
      <c r="N467" t="n">
        <v>0</v>
      </c>
      <c r="O467" t="n">
        <v>0</v>
      </c>
      <c r="P467" t="n">
        <v>0</v>
      </c>
      <c r="Q467" t="n">
        <v>0</v>
      </c>
      <c r="R467" s="2" t="inlineStr"/>
    </row>
    <row r="468" ht="15" customHeight="1">
      <c r="A468" t="inlineStr">
        <is>
          <t>A 7897-2022</t>
        </is>
      </c>
      <c r="B468" s="1" t="n">
        <v>44608</v>
      </c>
      <c r="C468" s="1" t="n">
        <v>46088</v>
      </c>
      <c r="D468" t="inlineStr">
        <is>
          <t>VÄSTERBOTTENS LÄN</t>
        </is>
      </c>
      <c r="E468" t="inlineStr">
        <is>
          <t>BJURHOLM</t>
        </is>
      </c>
      <c r="G468" t="n">
        <v>17.8</v>
      </c>
      <c r="H468" t="n">
        <v>0</v>
      </c>
      <c r="I468" t="n">
        <v>0</v>
      </c>
      <c r="J468" t="n">
        <v>0</v>
      </c>
      <c r="K468" t="n">
        <v>0</v>
      </c>
      <c r="L468" t="n">
        <v>0</v>
      </c>
      <c r="M468" t="n">
        <v>0</v>
      </c>
      <c r="N468" t="n">
        <v>0</v>
      </c>
      <c r="O468" t="n">
        <v>0</v>
      </c>
      <c r="P468" t="n">
        <v>0</v>
      </c>
      <c r="Q468" t="n">
        <v>0</v>
      </c>
      <c r="R468" s="2" t="inlineStr"/>
    </row>
    <row r="469" ht="15" customHeight="1">
      <c r="A469" t="inlineStr">
        <is>
          <t>A 7908-2022</t>
        </is>
      </c>
      <c r="B469" s="1" t="n">
        <v>44608.66927083334</v>
      </c>
      <c r="C469" s="1" t="n">
        <v>46088</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35829-2023</t>
        </is>
      </c>
      <c r="B470" s="1" t="n">
        <v>45148.47032407407</v>
      </c>
      <c r="C470" s="1" t="n">
        <v>46088</v>
      </c>
      <c r="D470" t="inlineStr">
        <is>
          <t>VÄSTERBOTTENS LÄN</t>
        </is>
      </c>
      <c r="E470" t="inlineStr">
        <is>
          <t>BJURHOLM</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35835-2023</t>
        </is>
      </c>
      <c r="B471" s="1" t="n">
        <v>45148</v>
      </c>
      <c r="C471" s="1" t="n">
        <v>46088</v>
      </c>
      <c r="D471" t="inlineStr">
        <is>
          <t>VÄSTERBOTTENS LÄN</t>
        </is>
      </c>
      <c r="E471" t="inlineStr">
        <is>
          <t>BJURHOLM</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38906-2024</t>
        </is>
      </c>
      <c r="B472" s="1" t="n">
        <v>45547</v>
      </c>
      <c r="C472" s="1" t="n">
        <v>46088</v>
      </c>
      <c r="D472" t="inlineStr">
        <is>
          <t>VÄSTERBOTTENS LÄN</t>
        </is>
      </c>
      <c r="E472" t="inlineStr">
        <is>
          <t>BJURHOLM</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44777-2023</t>
        </is>
      </c>
      <c r="B473" s="1" t="n">
        <v>45190</v>
      </c>
      <c r="C473" s="1" t="n">
        <v>46088</v>
      </c>
      <c r="D473" t="inlineStr">
        <is>
          <t>VÄSTERBOTTENS LÄN</t>
        </is>
      </c>
      <c r="E473" t="inlineStr">
        <is>
          <t>BJURHOLM</t>
        </is>
      </c>
      <c r="F473" t="inlineStr">
        <is>
          <t>Holmen skog AB</t>
        </is>
      </c>
      <c r="G473" t="n">
        <v>10.7</v>
      </c>
      <c r="H473" t="n">
        <v>0</v>
      </c>
      <c r="I473" t="n">
        <v>0</v>
      </c>
      <c r="J473" t="n">
        <v>0</v>
      </c>
      <c r="K473" t="n">
        <v>0</v>
      </c>
      <c r="L473" t="n">
        <v>0</v>
      </c>
      <c r="M473" t="n">
        <v>0</v>
      </c>
      <c r="N473" t="n">
        <v>0</v>
      </c>
      <c r="O473" t="n">
        <v>0</v>
      </c>
      <c r="P473" t="n">
        <v>0</v>
      </c>
      <c r="Q473" t="n">
        <v>0</v>
      </c>
      <c r="R473" s="2" t="inlineStr"/>
    </row>
    <row r="474" ht="15" customHeight="1">
      <c r="A474" t="inlineStr">
        <is>
          <t>A 50680-2024</t>
        </is>
      </c>
      <c r="B474" s="1" t="n">
        <v>45602</v>
      </c>
      <c r="C474" s="1" t="n">
        <v>46088</v>
      </c>
      <c r="D474" t="inlineStr">
        <is>
          <t>VÄSTERBOTTENS LÄN</t>
        </is>
      </c>
      <c r="E474" t="inlineStr">
        <is>
          <t>BJURHOLM</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16081-2024</t>
        </is>
      </c>
      <c r="B475" s="1" t="n">
        <v>45406</v>
      </c>
      <c r="C475" s="1" t="n">
        <v>46088</v>
      </c>
      <c r="D475" t="inlineStr">
        <is>
          <t>VÄSTERBOTTENS LÄN</t>
        </is>
      </c>
      <c r="E475" t="inlineStr">
        <is>
          <t>BJURHOLM</t>
        </is>
      </c>
      <c r="G475" t="n">
        <v>1.1</v>
      </c>
      <c r="H475" t="n">
        <v>0</v>
      </c>
      <c r="I475" t="n">
        <v>0</v>
      </c>
      <c r="J475" t="n">
        <v>0</v>
      </c>
      <c r="K475" t="n">
        <v>0</v>
      </c>
      <c r="L475" t="n">
        <v>0</v>
      </c>
      <c r="M475" t="n">
        <v>0</v>
      </c>
      <c r="N475" t="n">
        <v>0</v>
      </c>
      <c r="O475" t="n">
        <v>0</v>
      </c>
      <c r="P475" t="n">
        <v>0</v>
      </c>
      <c r="Q475" t="n">
        <v>0</v>
      </c>
      <c r="R475" s="2" t="inlineStr"/>
    </row>
    <row r="476" ht="15" customHeight="1">
      <c r="A476" t="inlineStr">
        <is>
          <t>A 8644-2023</t>
        </is>
      </c>
      <c r="B476" s="1" t="n">
        <v>44977</v>
      </c>
      <c r="C476" s="1" t="n">
        <v>46088</v>
      </c>
      <c r="D476" t="inlineStr">
        <is>
          <t>VÄSTERBOTTENS LÄN</t>
        </is>
      </c>
      <c r="E476" t="inlineStr">
        <is>
          <t>BJURHOLM</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41505-2021</t>
        </is>
      </c>
      <c r="B477" s="1" t="n">
        <v>44424.94164351852</v>
      </c>
      <c r="C477" s="1" t="n">
        <v>46088</v>
      </c>
      <c r="D477" t="inlineStr">
        <is>
          <t>VÄSTERBOTTENS LÄN</t>
        </is>
      </c>
      <c r="E477" t="inlineStr">
        <is>
          <t>BJURHOLM</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25944-2023</t>
        </is>
      </c>
      <c r="B478" s="1" t="n">
        <v>45090.70563657407</v>
      </c>
      <c r="C478" s="1" t="n">
        <v>46088</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5541-2025</t>
        </is>
      </c>
      <c r="B479" s="1" t="n">
        <v>45693.45158564814</v>
      </c>
      <c r="C479" s="1" t="n">
        <v>46088</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60224-2024</t>
        </is>
      </c>
      <c r="B480" s="1" t="n">
        <v>45642.70561342593</v>
      </c>
      <c r="C480" s="1" t="n">
        <v>46088</v>
      </c>
      <c r="D480" t="inlineStr">
        <is>
          <t>VÄSTERBOTTENS LÄN</t>
        </is>
      </c>
      <c r="E480" t="inlineStr">
        <is>
          <t>BJURHOLM</t>
        </is>
      </c>
      <c r="F480" t="inlineStr">
        <is>
          <t>Sveaskog</t>
        </is>
      </c>
      <c r="G480" t="n">
        <v>9.4</v>
      </c>
      <c r="H480" t="n">
        <v>0</v>
      </c>
      <c r="I480" t="n">
        <v>0</v>
      </c>
      <c r="J480" t="n">
        <v>0</v>
      </c>
      <c r="K480" t="n">
        <v>0</v>
      </c>
      <c r="L480" t="n">
        <v>0</v>
      </c>
      <c r="M480" t="n">
        <v>0</v>
      </c>
      <c r="N480" t="n">
        <v>0</v>
      </c>
      <c r="O480" t="n">
        <v>0</v>
      </c>
      <c r="P480" t="n">
        <v>0</v>
      </c>
      <c r="Q480" t="n">
        <v>0</v>
      </c>
      <c r="R480" s="2" t="inlineStr"/>
    </row>
    <row r="481" ht="15" customHeight="1">
      <c r="A481" t="inlineStr">
        <is>
          <t>A 44488-2023</t>
        </is>
      </c>
      <c r="B481" s="1" t="n">
        <v>45189.44546296296</v>
      </c>
      <c r="C481" s="1" t="n">
        <v>46088</v>
      </c>
      <c r="D481" t="inlineStr">
        <is>
          <t>VÄSTERBOTTENS LÄN</t>
        </is>
      </c>
      <c r="E481" t="inlineStr">
        <is>
          <t>BJURHOLM</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8860-2023</t>
        </is>
      </c>
      <c r="B482" s="1" t="n">
        <v>44978.92381944445</v>
      </c>
      <c r="C482" s="1" t="n">
        <v>46088</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60690-2022</t>
        </is>
      </c>
      <c r="B483" s="1" t="n">
        <v>44911</v>
      </c>
      <c r="C483" s="1" t="n">
        <v>46088</v>
      </c>
      <c r="D483" t="inlineStr">
        <is>
          <t>VÄSTERBOTTENS LÄN</t>
        </is>
      </c>
      <c r="E483" t="inlineStr">
        <is>
          <t>BJURHOLM</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46088</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32436-2024</t>
        </is>
      </c>
      <c r="B485" s="1" t="n">
        <v>45512</v>
      </c>
      <c r="C485" s="1" t="n">
        <v>46088</v>
      </c>
      <c r="D485" t="inlineStr">
        <is>
          <t>VÄSTERBOTTENS LÄN</t>
        </is>
      </c>
      <c r="E485" t="inlineStr">
        <is>
          <t>BJURHOLM</t>
        </is>
      </c>
      <c r="G485" t="n">
        <v>2.8</v>
      </c>
      <c r="H485" t="n">
        <v>0</v>
      </c>
      <c r="I485" t="n">
        <v>0</v>
      </c>
      <c r="J485" t="n">
        <v>0</v>
      </c>
      <c r="K485" t="n">
        <v>0</v>
      </c>
      <c r="L485" t="n">
        <v>0</v>
      </c>
      <c r="M485" t="n">
        <v>0</v>
      </c>
      <c r="N485" t="n">
        <v>0</v>
      </c>
      <c r="O485" t="n">
        <v>0</v>
      </c>
      <c r="P485" t="n">
        <v>0</v>
      </c>
      <c r="Q485" t="n">
        <v>0</v>
      </c>
      <c r="R485" s="2" t="inlineStr"/>
    </row>
    <row r="486" ht="15" customHeight="1">
      <c r="A486" t="inlineStr">
        <is>
          <t>A 36978-2024</t>
        </is>
      </c>
      <c r="B486" s="1" t="n">
        <v>45539</v>
      </c>
      <c r="C486" s="1" t="n">
        <v>46088</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80-2025</t>
        </is>
      </c>
      <c r="B487" s="1" t="n">
        <v>45659.44478009259</v>
      </c>
      <c r="C487" s="1" t="n">
        <v>46088</v>
      </c>
      <c r="D487" t="inlineStr">
        <is>
          <t>VÄSTERBOTTENS LÄN</t>
        </is>
      </c>
      <c r="E487" t="inlineStr">
        <is>
          <t>BJURHOLM</t>
        </is>
      </c>
      <c r="G487" t="n">
        <v>5.3</v>
      </c>
      <c r="H487" t="n">
        <v>0</v>
      </c>
      <c r="I487" t="n">
        <v>0</v>
      </c>
      <c r="J487" t="n">
        <v>0</v>
      </c>
      <c r="K487" t="n">
        <v>0</v>
      </c>
      <c r="L487" t="n">
        <v>0</v>
      </c>
      <c r="M487" t="n">
        <v>0</v>
      </c>
      <c r="N487" t="n">
        <v>0</v>
      </c>
      <c r="O487" t="n">
        <v>0</v>
      </c>
      <c r="P487" t="n">
        <v>0</v>
      </c>
      <c r="Q487" t="n">
        <v>0</v>
      </c>
      <c r="R487" s="2" t="inlineStr"/>
    </row>
    <row r="488" ht="15" customHeight="1">
      <c r="A488" t="inlineStr">
        <is>
          <t>A 62581-2022</t>
        </is>
      </c>
      <c r="B488" s="1" t="n">
        <v>44924</v>
      </c>
      <c r="C488" s="1" t="n">
        <v>46088</v>
      </c>
      <c r="D488" t="inlineStr">
        <is>
          <t>VÄSTERBOTTENS LÄN</t>
        </is>
      </c>
      <c r="E488" t="inlineStr">
        <is>
          <t>BJURHOLM</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52549-2024</t>
        </is>
      </c>
      <c r="B489" s="1" t="n">
        <v>45609.64043981482</v>
      </c>
      <c r="C489" s="1" t="n">
        <v>46088</v>
      </c>
      <c r="D489" t="inlineStr">
        <is>
          <t>VÄSTERBOTTENS LÄN</t>
        </is>
      </c>
      <c r="E489" t="inlineStr">
        <is>
          <t>BJURHOLM</t>
        </is>
      </c>
      <c r="G489" t="n">
        <v>1.4</v>
      </c>
      <c r="H489" t="n">
        <v>0</v>
      </c>
      <c r="I489" t="n">
        <v>0</v>
      </c>
      <c r="J489" t="n">
        <v>0</v>
      </c>
      <c r="K489" t="n">
        <v>0</v>
      </c>
      <c r="L489" t="n">
        <v>0</v>
      </c>
      <c r="M489" t="n">
        <v>0</v>
      </c>
      <c r="N489" t="n">
        <v>0</v>
      </c>
      <c r="O489" t="n">
        <v>0</v>
      </c>
      <c r="P489" t="n">
        <v>0</v>
      </c>
      <c r="Q489" t="n">
        <v>0</v>
      </c>
      <c r="R489" s="2" t="inlineStr"/>
    </row>
    <row r="490" ht="15" customHeight="1">
      <c r="A490" t="inlineStr">
        <is>
          <t>A 74152-2021</t>
        </is>
      </c>
      <c r="B490" s="1" t="n">
        <v>44557</v>
      </c>
      <c r="C490" s="1" t="n">
        <v>46088</v>
      </c>
      <c r="D490" t="inlineStr">
        <is>
          <t>VÄSTERBOTTENS LÄN</t>
        </is>
      </c>
      <c r="E490" t="inlineStr">
        <is>
          <t>BJURHOLM</t>
        </is>
      </c>
      <c r="G490" t="n">
        <v>1.4</v>
      </c>
      <c r="H490" t="n">
        <v>0</v>
      </c>
      <c r="I490" t="n">
        <v>0</v>
      </c>
      <c r="J490" t="n">
        <v>0</v>
      </c>
      <c r="K490" t="n">
        <v>0</v>
      </c>
      <c r="L490" t="n">
        <v>0</v>
      </c>
      <c r="M490" t="n">
        <v>0</v>
      </c>
      <c r="N490" t="n">
        <v>0</v>
      </c>
      <c r="O490" t="n">
        <v>0</v>
      </c>
      <c r="P490" t="n">
        <v>0</v>
      </c>
      <c r="Q490" t="n">
        <v>0</v>
      </c>
      <c r="R490" s="2" t="inlineStr"/>
    </row>
    <row r="491" ht="15" customHeight="1">
      <c r="A491" t="inlineStr">
        <is>
          <t>A 9158-2024</t>
        </is>
      </c>
      <c r="B491" s="1" t="n">
        <v>45357</v>
      </c>
      <c r="C491" s="1" t="n">
        <v>46088</v>
      </c>
      <c r="D491" t="inlineStr">
        <is>
          <t>VÄSTERBOTTENS LÄN</t>
        </is>
      </c>
      <c r="E491" t="inlineStr">
        <is>
          <t>BJURHOLM</t>
        </is>
      </c>
      <c r="G491" t="n">
        <v>2.1</v>
      </c>
      <c r="H491" t="n">
        <v>0</v>
      </c>
      <c r="I491" t="n">
        <v>0</v>
      </c>
      <c r="J491" t="n">
        <v>0</v>
      </c>
      <c r="K491" t="n">
        <v>0</v>
      </c>
      <c r="L491" t="n">
        <v>0</v>
      </c>
      <c r="M491" t="n">
        <v>0</v>
      </c>
      <c r="N491" t="n">
        <v>0</v>
      </c>
      <c r="O491" t="n">
        <v>0</v>
      </c>
      <c r="P491" t="n">
        <v>0</v>
      </c>
      <c r="Q491" t="n">
        <v>0</v>
      </c>
      <c r="R491" s="2" t="inlineStr"/>
    </row>
    <row r="492" ht="15" customHeight="1">
      <c r="A492" t="inlineStr">
        <is>
          <t>A 61654-2022</t>
        </is>
      </c>
      <c r="B492" s="1" t="n">
        <v>44916.9260300926</v>
      </c>
      <c r="C492" s="1" t="n">
        <v>46088</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19578-2024</t>
        </is>
      </c>
      <c r="B493" s="1" t="n">
        <v>45429.92396990741</v>
      </c>
      <c r="C493" s="1" t="n">
        <v>46088</v>
      </c>
      <c r="D493" t="inlineStr">
        <is>
          <t>VÄSTERBOTTENS LÄN</t>
        </is>
      </c>
      <c r="E493" t="inlineStr">
        <is>
          <t>BJURHOLM</t>
        </is>
      </c>
      <c r="G493" t="n">
        <v>0.8</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46088</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42402-2024</t>
        </is>
      </c>
      <c r="B495" s="1" t="n">
        <v>45565.34449074074</v>
      </c>
      <c r="C495" s="1" t="n">
        <v>46088</v>
      </c>
      <c r="D495" t="inlineStr">
        <is>
          <t>VÄSTERBOTTENS LÄN</t>
        </is>
      </c>
      <c r="E495" t="inlineStr">
        <is>
          <t>BJURHOLM</t>
        </is>
      </c>
      <c r="G495" t="n">
        <v>2.7</v>
      </c>
      <c r="H495" t="n">
        <v>0</v>
      </c>
      <c r="I495" t="n">
        <v>0</v>
      </c>
      <c r="J495" t="n">
        <v>0</v>
      </c>
      <c r="K495" t="n">
        <v>0</v>
      </c>
      <c r="L495" t="n">
        <v>0</v>
      </c>
      <c r="M495" t="n">
        <v>0</v>
      </c>
      <c r="N495" t="n">
        <v>0</v>
      </c>
      <c r="O495" t="n">
        <v>0</v>
      </c>
      <c r="P495" t="n">
        <v>0</v>
      </c>
      <c r="Q495" t="n">
        <v>0</v>
      </c>
      <c r="R495" s="2" t="inlineStr"/>
    </row>
    <row r="496" ht="15" customHeight="1">
      <c r="A496" t="inlineStr">
        <is>
          <t>A 16013-2025</t>
        </is>
      </c>
      <c r="B496" s="1" t="n">
        <v>45749.60484953703</v>
      </c>
      <c r="C496" s="1" t="n">
        <v>46088</v>
      </c>
      <c r="D496" t="inlineStr">
        <is>
          <t>VÄSTERBOTTENS LÄN</t>
        </is>
      </c>
      <c r="E496" t="inlineStr">
        <is>
          <t>BJURHOLM</t>
        </is>
      </c>
      <c r="G496" t="n">
        <v>3.7</v>
      </c>
      <c r="H496" t="n">
        <v>0</v>
      </c>
      <c r="I496" t="n">
        <v>0</v>
      </c>
      <c r="J496" t="n">
        <v>0</v>
      </c>
      <c r="K496" t="n">
        <v>0</v>
      </c>
      <c r="L496" t="n">
        <v>0</v>
      </c>
      <c r="M496" t="n">
        <v>0</v>
      </c>
      <c r="N496" t="n">
        <v>0</v>
      </c>
      <c r="O496" t="n">
        <v>0</v>
      </c>
      <c r="P496" t="n">
        <v>0</v>
      </c>
      <c r="Q496" t="n">
        <v>0</v>
      </c>
      <c r="R496" s="2" t="inlineStr"/>
    </row>
    <row r="497" ht="15" customHeight="1">
      <c r="A497" t="inlineStr">
        <is>
          <t>A 23325-2023</t>
        </is>
      </c>
      <c r="B497" s="1" t="n">
        <v>45076</v>
      </c>
      <c r="C497" s="1" t="n">
        <v>46088</v>
      </c>
      <c r="D497" t="inlineStr">
        <is>
          <t>VÄSTERBOTTENS LÄN</t>
        </is>
      </c>
      <c r="E497" t="inlineStr">
        <is>
          <t>BJURHOLM</t>
        </is>
      </c>
      <c r="G497" t="n">
        <v>3.3</v>
      </c>
      <c r="H497" t="n">
        <v>0</v>
      </c>
      <c r="I497" t="n">
        <v>0</v>
      </c>
      <c r="J497" t="n">
        <v>0</v>
      </c>
      <c r="K497" t="n">
        <v>0</v>
      </c>
      <c r="L497" t="n">
        <v>0</v>
      </c>
      <c r="M497" t="n">
        <v>0</v>
      </c>
      <c r="N497" t="n">
        <v>0</v>
      </c>
      <c r="O497" t="n">
        <v>0</v>
      </c>
      <c r="P497" t="n">
        <v>0</v>
      </c>
      <c r="Q497" t="n">
        <v>0</v>
      </c>
      <c r="R497" s="2" t="inlineStr"/>
    </row>
    <row r="498" ht="15" customHeight="1">
      <c r="A498" t="inlineStr">
        <is>
          <t>A 22852-2023</t>
        </is>
      </c>
      <c r="B498" s="1" t="n">
        <v>45072.47021990741</v>
      </c>
      <c r="C498" s="1" t="n">
        <v>46088</v>
      </c>
      <c r="D498" t="inlineStr">
        <is>
          <t>VÄSTERBOTTENS LÄN</t>
        </is>
      </c>
      <c r="E498" t="inlineStr">
        <is>
          <t>BJURHOLM</t>
        </is>
      </c>
      <c r="G498" t="n">
        <v>0.2</v>
      </c>
      <c r="H498" t="n">
        <v>0</v>
      </c>
      <c r="I498" t="n">
        <v>0</v>
      </c>
      <c r="J498" t="n">
        <v>0</v>
      </c>
      <c r="K498" t="n">
        <v>0</v>
      </c>
      <c r="L498" t="n">
        <v>0</v>
      </c>
      <c r="M498" t="n">
        <v>0</v>
      </c>
      <c r="N498" t="n">
        <v>0</v>
      </c>
      <c r="O498" t="n">
        <v>0</v>
      </c>
      <c r="P498" t="n">
        <v>0</v>
      </c>
      <c r="Q498" t="n">
        <v>0</v>
      </c>
      <c r="R498" s="2" t="inlineStr"/>
    </row>
    <row r="499" ht="15" customHeight="1">
      <c r="A499" t="inlineStr">
        <is>
          <t>A 34712-2023</t>
        </is>
      </c>
      <c r="B499" s="1" t="n">
        <v>45139</v>
      </c>
      <c r="C499" s="1" t="n">
        <v>46088</v>
      </c>
      <c r="D499" t="inlineStr">
        <is>
          <t>VÄSTERBOTTENS LÄN</t>
        </is>
      </c>
      <c r="E499" t="inlineStr">
        <is>
          <t>BJURHOLM</t>
        </is>
      </c>
      <c r="G499" t="n">
        <v>1.7</v>
      </c>
      <c r="H499" t="n">
        <v>0</v>
      </c>
      <c r="I499" t="n">
        <v>0</v>
      </c>
      <c r="J499" t="n">
        <v>0</v>
      </c>
      <c r="K499" t="n">
        <v>0</v>
      </c>
      <c r="L499" t="n">
        <v>0</v>
      </c>
      <c r="M499" t="n">
        <v>0</v>
      </c>
      <c r="N499" t="n">
        <v>0</v>
      </c>
      <c r="O499" t="n">
        <v>0</v>
      </c>
      <c r="P499" t="n">
        <v>0</v>
      </c>
      <c r="Q499" t="n">
        <v>0</v>
      </c>
      <c r="R499" s="2" t="inlineStr"/>
    </row>
    <row r="500" ht="15" customHeight="1">
      <c r="A500" t="inlineStr">
        <is>
          <t>A 51239-2022</t>
        </is>
      </c>
      <c r="B500" s="1" t="n">
        <v>44866</v>
      </c>
      <c r="C500" s="1" t="n">
        <v>46088</v>
      </c>
      <c r="D500" t="inlineStr">
        <is>
          <t>VÄSTERBOTTENS LÄN</t>
        </is>
      </c>
      <c r="E500" t="inlineStr">
        <is>
          <t>BJURHOLM</t>
        </is>
      </c>
      <c r="G500" t="n">
        <v>1.2</v>
      </c>
      <c r="H500" t="n">
        <v>0</v>
      </c>
      <c r="I500" t="n">
        <v>0</v>
      </c>
      <c r="J500" t="n">
        <v>0</v>
      </c>
      <c r="K500" t="n">
        <v>0</v>
      </c>
      <c r="L500" t="n">
        <v>0</v>
      </c>
      <c r="M500" t="n">
        <v>0</v>
      </c>
      <c r="N500" t="n">
        <v>0</v>
      </c>
      <c r="O500" t="n">
        <v>0</v>
      </c>
      <c r="P500" t="n">
        <v>0</v>
      </c>
      <c r="Q500" t="n">
        <v>0</v>
      </c>
      <c r="R500" s="2" t="inlineStr"/>
    </row>
    <row r="501" ht="15" customHeight="1">
      <c r="A501" t="inlineStr">
        <is>
          <t>A 52584-2024</t>
        </is>
      </c>
      <c r="B501" s="1" t="n">
        <v>45609.67881944445</v>
      </c>
      <c r="C501" s="1" t="n">
        <v>46088</v>
      </c>
      <c r="D501" t="inlineStr">
        <is>
          <t>VÄSTERBOTTENS LÄN</t>
        </is>
      </c>
      <c r="E501" t="inlineStr">
        <is>
          <t>BJURHOLM</t>
        </is>
      </c>
      <c r="G501" t="n">
        <v>0.4</v>
      </c>
      <c r="H501" t="n">
        <v>0</v>
      </c>
      <c r="I501" t="n">
        <v>0</v>
      </c>
      <c r="J501" t="n">
        <v>0</v>
      </c>
      <c r="K501" t="n">
        <v>0</v>
      </c>
      <c r="L501" t="n">
        <v>0</v>
      </c>
      <c r="M501" t="n">
        <v>0</v>
      </c>
      <c r="N501" t="n">
        <v>0</v>
      </c>
      <c r="O501" t="n">
        <v>0</v>
      </c>
      <c r="P501" t="n">
        <v>0</v>
      </c>
      <c r="Q501" t="n">
        <v>0</v>
      </c>
      <c r="R501" s="2" t="inlineStr"/>
    </row>
    <row r="502" ht="15" customHeight="1">
      <c r="A502" t="inlineStr">
        <is>
          <t>A 20778-2024</t>
        </is>
      </c>
      <c r="B502" s="1" t="n">
        <v>45436.94701388889</v>
      </c>
      <c r="C502" s="1" t="n">
        <v>46088</v>
      </c>
      <c r="D502" t="inlineStr">
        <is>
          <t>VÄSTERBOTTENS LÄN</t>
        </is>
      </c>
      <c r="E502" t="inlineStr">
        <is>
          <t>BJURHOLM</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40142-2023</t>
        </is>
      </c>
      <c r="B503" s="1" t="n">
        <v>45168</v>
      </c>
      <c r="C503" s="1" t="n">
        <v>46088</v>
      </c>
      <c r="D503" t="inlineStr">
        <is>
          <t>VÄSTERBOTTENS LÄN</t>
        </is>
      </c>
      <c r="E503" t="inlineStr">
        <is>
          <t>BJURHOLM</t>
        </is>
      </c>
      <c r="G503" t="n">
        <v>2.3</v>
      </c>
      <c r="H503" t="n">
        <v>0</v>
      </c>
      <c r="I503" t="n">
        <v>0</v>
      </c>
      <c r="J503" t="n">
        <v>0</v>
      </c>
      <c r="K503" t="n">
        <v>0</v>
      </c>
      <c r="L503" t="n">
        <v>0</v>
      </c>
      <c r="M503" t="n">
        <v>0</v>
      </c>
      <c r="N503" t="n">
        <v>0</v>
      </c>
      <c r="O503" t="n">
        <v>0</v>
      </c>
      <c r="P503" t="n">
        <v>0</v>
      </c>
      <c r="Q503" t="n">
        <v>0</v>
      </c>
      <c r="R503" s="2" t="inlineStr"/>
    </row>
    <row r="504" ht="15" customHeight="1">
      <c r="A504" t="inlineStr">
        <is>
          <t>A 45844-2021</t>
        </is>
      </c>
      <c r="B504" s="1" t="n">
        <v>44441</v>
      </c>
      <c r="C504" s="1" t="n">
        <v>46088</v>
      </c>
      <c r="D504" t="inlineStr">
        <is>
          <t>VÄSTERBOTTENS LÄN</t>
        </is>
      </c>
      <c r="E504" t="inlineStr">
        <is>
          <t>BJURHOLM</t>
        </is>
      </c>
      <c r="G504" t="n">
        <v>0.4</v>
      </c>
      <c r="H504" t="n">
        <v>0</v>
      </c>
      <c r="I504" t="n">
        <v>0</v>
      </c>
      <c r="J504" t="n">
        <v>0</v>
      </c>
      <c r="K504" t="n">
        <v>0</v>
      </c>
      <c r="L504" t="n">
        <v>0</v>
      </c>
      <c r="M504" t="n">
        <v>0</v>
      </c>
      <c r="N504" t="n">
        <v>0</v>
      </c>
      <c r="O504" t="n">
        <v>0</v>
      </c>
      <c r="P504" t="n">
        <v>0</v>
      </c>
      <c r="Q504" t="n">
        <v>0</v>
      </c>
      <c r="R504" s="2" t="inlineStr"/>
    </row>
    <row r="505" ht="15" customHeight="1">
      <c r="A505" t="inlineStr">
        <is>
          <t>A 50238-2024</t>
        </is>
      </c>
      <c r="B505" s="1" t="n">
        <v>45600.55559027778</v>
      </c>
      <c r="C505" s="1" t="n">
        <v>46088</v>
      </c>
      <c r="D505" t="inlineStr">
        <is>
          <t>VÄSTERBOTTENS LÄN</t>
        </is>
      </c>
      <c r="E505" t="inlineStr">
        <is>
          <t>BJURHOLM</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8663-2025</t>
        </is>
      </c>
      <c r="B506" s="1" t="n">
        <v>45712.39594907407</v>
      </c>
      <c r="C506" s="1" t="n">
        <v>46088</v>
      </c>
      <c r="D506" t="inlineStr">
        <is>
          <t>VÄSTERBOTTENS LÄN</t>
        </is>
      </c>
      <c r="E506" t="inlineStr">
        <is>
          <t>BJURHOLM</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61170-2024</t>
        </is>
      </c>
      <c r="B507" s="1" t="n">
        <v>45645.60092592592</v>
      </c>
      <c r="C507" s="1" t="n">
        <v>46088</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15910-2025</t>
        </is>
      </c>
      <c r="B508" s="1" t="n">
        <v>45749.44096064815</v>
      </c>
      <c r="C508" s="1" t="n">
        <v>46088</v>
      </c>
      <c r="D508" t="inlineStr">
        <is>
          <t>VÄSTERBOTTENS LÄN</t>
        </is>
      </c>
      <c r="E508" t="inlineStr">
        <is>
          <t>BJURHOLM</t>
        </is>
      </c>
      <c r="G508" t="n">
        <v>6</v>
      </c>
      <c r="H508" t="n">
        <v>0</v>
      </c>
      <c r="I508" t="n">
        <v>0</v>
      </c>
      <c r="J508" t="n">
        <v>0</v>
      </c>
      <c r="K508" t="n">
        <v>0</v>
      </c>
      <c r="L508" t="n">
        <v>0</v>
      </c>
      <c r="M508" t="n">
        <v>0</v>
      </c>
      <c r="N508" t="n">
        <v>0</v>
      </c>
      <c r="O508" t="n">
        <v>0</v>
      </c>
      <c r="P508" t="n">
        <v>0</v>
      </c>
      <c r="Q508" t="n">
        <v>0</v>
      </c>
      <c r="R508" s="2" t="inlineStr"/>
    </row>
    <row r="509" ht="15" customHeight="1">
      <c r="A509" t="inlineStr">
        <is>
          <t>A 59553-2024</t>
        </is>
      </c>
      <c r="B509" s="1" t="n">
        <v>45638.63533564815</v>
      </c>
      <c r="C509" s="1" t="n">
        <v>46088</v>
      </c>
      <c r="D509" t="inlineStr">
        <is>
          <t>VÄSTERBOTTENS LÄN</t>
        </is>
      </c>
      <c r="E509" t="inlineStr">
        <is>
          <t>BJURHOLM</t>
        </is>
      </c>
      <c r="G509" t="n">
        <v>3.7</v>
      </c>
      <c r="H509" t="n">
        <v>0</v>
      </c>
      <c r="I509" t="n">
        <v>0</v>
      </c>
      <c r="J509" t="n">
        <v>0</v>
      </c>
      <c r="K509" t="n">
        <v>0</v>
      </c>
      <c r="L509" t="n">
        <v>0</v>
      </c>
      <c r="M509" t="n">
        <v>0</v>
      </c>
      <c r="N509" t="n">
        <v>0</v>
      </c>
      <c r="O509" t="n">
        <v>0</v>
      </c>
      <c r="P509" t="n">
        <v>0</v>
      </c>
      <c r="Q509" t="n">
        <v>0</v>
      </c>
      <c r="R509" s="2" t="inlineStr"/>
    </row>
    <row r="510" ht="15" customHeight="1">
      <c r="A510" t="inlineStr">
        <is>
          <t>A 21887-2025</t>
        </is>
      </c>
      <c r="B510" s="1" t="n">
        <v>45784.42898148148</v>
      </c>
      <c r="C510" s="1" t="n">
        <v>46088</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row r="511" ht="15" customHeight="1">
      <c r="A511" t="inlineStr">
        <is>
          <t>A 22095-2025</t>
        </is>
      </c>
      <c r="B511" s="1" t="n">
        <v>45785.46921296296</v>
      </c>
      <c r="C511" s="1" t="n">
        <v>46088</v>
      </c>
      <c r="D511" t="inlineStr">
        <is>
          <t>VÄSTERBOTTENS LÄN</t>
        </is>
      </c>
      <c r="E511" t="inlineStr">
        <is>
          <t>BJURHOLM</t>
        </is>
      </c>
      <c r="G511" t="n">
        <v>3.6</v>
      </c>
      <c r="H511" t="n">
        <v>0</v>
      </c>
      <c r="I511" t="n">
        <v>0</v>
      </c>
      <c r="J511" t="n">
        <v>0</v>
      </c>
      <c r="K511" t="n">
        <v>0</v>
      </c>
      <c r="L511" t="n">
        <v>0</v>
      </c>
      <c r="M511" t="n">
        <v>0</v>
      </c>
      <c r="N511" t="n">
        <v>0</v>
      </c>
      <c r="O511" t="n">
        <v>0</v>
      </c>
      <c r="P511" t="n">
        <v>0</v>
      </c>
      <c r="Q511" t="n">
        <v>0</v>
      </c>
      <c r="R511" s="2" t="inlineStr"/>
    </row>
    <row r="512" ht="15" customHeight="1">
      <c r="A512" t="inlineStr">
        <is>
          <t>A 22096-2025</t>
        </is>
      </c>
      <c r="B512" s="1" t="n">
        <v>45785.46922453704</v>
      </c>
      <c r="C512" s="1" t="n">
        <v>46088</v>
      </c>
      <c r="D512" t="inlineStr">
        <is>
          <t>VÄSTERBOTTENS LÄN</t>
        </is>
      </c>
      <c r="E512" t="inlineStr">
        <is>
          <t>BJURHOLM</t>
        </is>
      </c>
      <c r="G512" t="n">
        <v>1.1</v>
      </c>
      <c r="H512" t="n">
        <v>0</v>
      </c>
      <c r="I512" t="n">
        <v>0</v>
      </c>
      <c r="J512" t="n">
        <v>0</v>
      </c>
      <c r="K512" t="n">
        <v>0</v>
      </c>
      <c r="L512" t="n">
        <v>0</v>
      </c>
      <c r="M512" t="n">
        <v>0</v>
      </c>
      <c r="N512" t="n">
        <v>0</v>
      </c>
      <c r="O512" t="n">
        <v>0</v>
      </c>
      <c r="P512" t="n">
        <v>0</v>
      </c>
      <c r="Q512" t="n">
        <v>0</v>
      </c>
      <c r="R512" s="2" t="inlineStr"/>
    </row>
    <row r="513" ht="15" customHeight="1">
      <c r="A513" t="inlineStr">
        <is>
          <t>A 22266-2025</t>
        </is>
      </c>
      <c r="B513" s="1" t="n">
        <v>45785.84664351852</v>
      </c>
      <c r="C513" s="1" t="n">
        <v>46088</v>
      </c>
      <c r="D513" t="inlineStr">
        <is>
          <t>VÄSTERBOTTENS LÄN</t>
        </is>
      </c>
      <c r="E513" t="inlineStr">
        <is>
          <t>BJURHOLM</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22290-2025</t>
        </is>
      </c>
      <c r="B514" s="1" t="n">
        <v>45786.34450231482</v>
      </c>
      <c r="C514" s="1" t="n">
        <v>46088</v>
      </c>
      <c r="D514" t="inlineStr">
        <is>
          <t>VÄSTERBOTTENS LÄN</t>
        </is>
      </c>
      <c r="E514" t="inlineStr">
        <is>
          <t>BJURHOLM</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22265-2025</t>
        </is>
      </c>
      <c r="B515" s="1" t="n">
        <v>45785.84648148148</v>
      </c>
      <c r="C515" s="1" t="n">
        <v>46088</v>
      </c>
      <c r="D515" t="inlineStr">
        <is>
          <t>VÄSTERBOTTENS LÄN</t>
        </is>
      </c>
      <c r="E515" t="inlineStr">
        <is>
          <t>BJURHOLM</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23074-2025</t>
        </is>
      </c>
      <c r="B516" s="1" t="n">
        <v>45790</v>
      </c>
      <c r="C516" s="1" t="n">
        <v>46088</v>
      </c>
      <c r="D516" t="inlineStr">
        <is>
          <t>VÄSTERBOTTENS LÄN</t>
        </is>
      </c>
      <c r="E516" t="inlineStr">
        <is>
          <t>BJURHOLM</t>
        </is>
      </c>
      <c r="G516" t="n">
        <v>0.7</v>
      </c>
      <c r="H516" t="n">
        <v>0</v>
      </c>
      <c r="I516" t="n">
        <v>0</v>
      </c>
      <c r="J516" t="n">
        <v>0</v>
      </c>
      <c r="K516" t="n">
        <v>0</v>
      </c>
      <c r="L516" t="n">
        <v>0</v>
      </c>
      <c r="M516" t="n">
        <v>0</v>
      </c>
      <c r="N516" t="n">
        <v>0</v>
      </c>
      <c r="O516" t="n">
        <v>0</v>
      </c>
      <c r="P516" t="n">
        <v>0</v>
      </c>
      <c r="Q516" t="n">
        <v>0</v>
      </c>
      <c r="R516" s="2" t="inlineStr"/>
    </row>
    <row r="517">
      <c r="A517" t="inlineStr">
        <is>
          <t>A 29641-2024</t>
        </is>
      </c>
      <c r="B517" s="1" t="n">
        <v>45484.71327546296</v>
      </c>
      <c r="C517" s="1" t="n">
        <v>46088</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2026-03-07T11:23:06Z</dcterms:created>
  <dcterms:modified xmlns:dcterms="http://purl.org/dc/terms/" xmlns:xsi="http://www.w3.org/2001/XMLSchema-instance" xsi:type="dcterms:W3CDTF">2026-03-07T11:23:07Z</dcterms:modified>
</cp:coreProperties>
</file>