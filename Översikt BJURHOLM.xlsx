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45722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45722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45722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45722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45722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45722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45722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45722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45722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45722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45722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45722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45722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45722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45722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45722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45722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45722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45722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45722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45722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45722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45722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45722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45722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45722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33729-2020</t>
        </is>
      </c>
      <c r="B28" s="1" t="n">
        <v>44026</v>
      </c>
      <c r="C28" s="1" t="n">
        <v>45722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7.9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Stjärntagging
Violettgrå tagellav
Vitgrynig nållav</t>
        </is>
      </c>
      <c r="S28">
        <f>HYPERLINK("https://klasma.github.io/Logging_2403/artfynd/A 33729-2020 artfynd.xlsx", "A 33729-2020")</f>
        <v/>
      </c>
      <c r="T28">
        <f>HYPERLINK("https://klasma.github.io/Logging_2403/kartor/A 33729-2020 karta.png", "A 33729-2020")</f>
        <v/>
      </c>
      <c r="V28">
        <f>HYPERLINK("https://klasma.github.io/Logging_2403/klagomål/A 33729-2020 FSC-klagomål.docx", "A 33729-2020")</f>
        <v/>
      </c>
      <c r="W28">
        <f>HYPERLINK("https://klasma.github.io/Logging_2403/klagomålsmail/A 33729-2020 FSC-klagomål mail.docx", "A 33729-2020")</f>
        <v/>
      </c>
      <c r="X28">
        <f>HYPERLINK("https://klasma.github.io/Logging_2403/tillsyn/A 33729-2020 tillsynsbegäran.docx", "A 33729-2020")</f>
        <v/>
      </c>
      <c r="Y28">
        <f>HYPERLINK("https://klasma.github.io/Logging_2403/tillsynsmail/A 33729-2020 tillsynsbegäran mail.docx", "A 33729-2020")</f>
        <v/>
      </c>
    </row>
    <row r="29" ht="15" customHeight="1">
      <c r="A29" t="inlineStr">
        <is>
          <t>A 39772-2023</t>
        </is>
      </c>
      <c r="B29" s="1" t="n">
        <v>45167</v>
      </c>
      <c r="C29" s="1" t="n">
        <v>45722</v>
      </c>
      <c r="D29" t="inlineStr">
        <is>
          <t>VÄSTERBOTTENS LÄN</t>
        </is>
      </c>
      <c r="E29" t="inlineStr">
        <is>
          <t>BJURHOLM</t>
        </is>
      </c>
      <c r="F29" t="inlineStr">
        <is>
          <t>Sveaskog</t>
        </is>
      </c>
      <c r="G29" t="n">
        <v>19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Tallticka
Ullticka</t>
        </is>
      </c>
      <c r="S29">
        <f>HYPERLINK("https://klasma.github.io/Logging_2403/artfynd/A 39772-2023 artfynd.xlsx", "A 39772-2023")</f>
        <v/>
      </c>
      <c r="T29">
        <f>HYPERLINK("https://klasma.github.io/Logging_2403/kartor/A 39772-2023 karta.png", "A 39772-2023")</f>
        <v/>
      </c>
      <c r="V29">
        <f>HYPERLINK("https://klasma.github.io/Logging_2403/klagomål/A 39772-2023 FSC-klagomål.docx", "A 39772-2023")</f>
        <v/>
      </c>
      <c r="W29">
        <f>HYPERLINK("https://klasma.github.io/Logging_2403/klagomålsmail/A 39772-2023 FSC-klagomål mail.docx", "A 39772-2023")</f>
        <v/>
      </c>
      <c r="X29">
        <f>HYPERLINK("https://klasma.github.io/Logging_2403/tillsyn/A 39772-2023 tillsynsbegäran.docx", "A 39772-2023")</f>
        <v/>
      </c>
      <c r="Y29">
        <f>HYPERLINK("https://klasma.github.io/Logging_2403/tillsynsmail/A 39772-2023 tillsynsbegäran mail.docx", "A 39772-2023")</f>
        <v/>
      </c>
    </row>
    <row r="30" ht="15" customHeight="1">
      <c r="A30" t="inlineStr">
        <is>
          <t>A 64504-2023</t>
        </is>
      </c>
      <c r="B30" s="1" t="n">
        <v>45280</v>
      </c>
      <c r="C30" s="1" t="n">
        <v>45722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Vedskivlav
Skinnlav</t>
        </is>
      </c>
      <c r="S30">
        <f>HYPERLINK("https://klasma.github.io/Logging_2403/artfynd/A 64504-2023 artfynd.xlsx", "A 64504-2023")</f>
        <v/>
      </c>
      <c r="T30">
        <f>HYPERLINK("https://klasma.github.io/Logging_2403/kartor/A 64504-2023 karta.png", "A 64504-2023")</f>
        <v/>
      </c>
      <c r="V30">
        <f>HYPERLINK("https://klasma.github.io/Logging_2403/klagomål/A 64504-2023 FSC-klagomål.docx", "A 64504-2023")</f>
        <v/>
      </c>
      <c r="W30">
        <f>HYPERLINK("https://klasma.github.io/Logging_2403/klagomålsmail/A 64504-2023 FSC-klagomål mail.docx", "A 64504-2023")</f>
        <v/>
      </c>
      <c r="X30">
        <f>HYPERLINK("https://klasma.github.io/Logging_2403/tillsyn/A 64504-2023 tillsynsbegäran.docx", "A 64504-2023")</f>
        <v/>
      </c>
      <c r="Y30">
        <f>HYPERLINK("https://klasma.github.io/Logging_2403/tillsynsmail/A 64504-2023 tillsynsbegäran mail.docx", "A 64504-2023")</f>
        <v/>
      </c>
    </row>
    <row r="31" ht="15" customHeight="1">
      <c r="A31" t="inlineStr">
        <is>
          <t>A 982-2024</t>
        </is>
      </c>
      <c r="B31" s="1" t="n">
        <v>45301</v>
      </c>
      <c r="C31" s="1" t="n">
        <v>45722</v>
      </c>
      <c r="D31" t="inlineStr">
        <is>
          <t>VÄSTERBOTTENS LÄN</t>
        </is>
      </c>
      <c r="E31" t="inlineStr">
        <is>
          <t>BJURHOLM</t>
        </is>
      </c>
      <c r="G31" t="n">
        <v>13.4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Skarp dropptaggsvamp</t>
        </is>
      </c>
      <c r="S31">
        <f>HYPERLINK("https://klasma.github.io/Logging_2403/artfynd/A 982-2024 artfynd.xlsx", "A 982-2024")</f>
        <v/>
      </c>
      <c r="T31">
        <f>HYPERLINK("https://klasma.github.io/Logging_2403/kartor/A 982-2024 karta.png", "A 982-2024")</f>
        <v/>
      </c>
      <c r="U31">
        <f>HYPERLINK("https://klasma.github.io/Logging_2403/knärot/A 982-2024 karta knärot.png", "A 982-2024")</f>
        <v/>
      </c>
      <c r="V31">
        <f>HYPERLINK("https://klasma.github.io/Logging_2403/klagomål/A 982-2024 FSC-klagomål.docx", "A 982-2024")</f>
        <v/>
      </c>
      <c r="W31">
        <f>HYPERLINK("https://klasma.github.io/Logging_2403/klagomålsmail/A 982-2024 FSC-klagomål mail.docx", "A 982-2024")</f>
        <v/>
      </c>
      <c r="X31">
        <f>HYPERLINK("https://klasma.github.io/Logging_2403/tillsyn/A 982-2024 tillsynsbegäran.docx", "A 982-2024")</f>
        <v/>
      </c>
      <c r="Y31">
        <f>HYPERLINK("https://klasma.github.io/Logging_2403/tillsynsmail/A 982-2024 tillsynsbegäran mail.docx", "A 982-2024")</f>
        <v/>
      </c>
    </row>
    <row r="32" ht="15" customHeight="1">
      <c r="A32" t="inlineStr">
        <is>
          <t>A 20012-2024</t>
        </is>
      </c>
      <c r="B32" s="1" t="n">
        <v>45433</v>
      </c>
      <c r="C32" s="1" t="n">
        <v>45722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27.2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Revlummer</t>
        </is>
      </c>
      <c r="S32">
        <f>HYPERLINK("https://klasma.github.io/Logging_2403/artfynd/A 20012-2024 artfynd.xlsx", "A 20012-2024")</f>
        <v/>
      </c>
      <c r="T32">
        <f>HYPERLINK("https://klasma.github.io/Logging_2403/kartor/A 20012-2024 karta.png", "A 20012-2024")</f>
        <v/>
      </c>
      <c r="V32">
        <f>HYPERLINK("https://klasma.github.io/Logging_2403/klagomål/A 20012-2024 FSC-klagomål.docx", "A 20012-2024")</f>
        <v/>
      </c>
      <c r="W32">
        <f>HYPERLINK("https://klasma.github.io/Logging_2403/klagomålsmail/A 20012-2024 FSC-klagomål mail.docx", "A 20012-2024")</f>
        <v/>
      </c>
      <c r="X32">
        <f>HYPERLINK("https://klasma.github.io/Logging_2403/tillsyn/A 20012-2024 tillsynsbegäran.docx", "A 20012-2024")</f>
        <v/>
      </c>
      <c r="Y32">
        <f>HYPERLINK("https://klasma.github.io/Logging_2403/tillsynsmail/A 20012-2024 tillsynsbegäran mail.docx", "A 20012-2024")</f>
        <v/>
      </c>
      <c r="Z32">
        <f>HYPERLINK("https://klasma.github.io/Logging_2403/fåglar/A 20012-2024 prioriterade fågelarter.docx", "A 20012-2024")</f>
        <v/>
      </c>
    </row>
    <row r="33" ht="15" customHeight="1">
      <c r="A33" t="inlineStr">
        <is>
          <t>A 26049-2024</t>
        </is>
      </c>
      <c r="B33" s="1" t="n">
        <v>45468</v>
      </c>
      <c r="C33" s="1" t="n">
        <v>45722</v>
      </c>
      <c r="D33" t="inlineStr">
        <is>
          <t>VÄSTERBOTTENS LÄN</t>
        </is>
      </c>
      <c r="E33" t="inlineStr">
        <is>
          <t>BJURHOLM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Garnlav
Vedticka</t>
        </is>
      </c>
      <c r="S33">
        <f>HYPERLINK("https://klasma.github.io/Logging_2403/artfynd/A 26049-2024 artfynd.xlsx", "A 26049-2024")</f>
        <v/>
      </c>
      <c r="T33">
        <f>HYPERLINK("https://klasma.github.io/Logging_2403/kartor/A 26049-2024 karta.png", "A 26049-2024")</f>
        <v/>
      </c>
      <c r="V33">
        <f>HYPERLINK("https://klasma.github.io/Logging_2403/klagomål/A 26049-2024 FSC-klagomål.docx", "A 26049-2024")</f>
        <v/>
      </c>
      <c r="W33">
        <f>HYPERLINK("https://klasma.github.io/Logging_2403/klagomålsmail/A 26049-2024 FSC-klagomål mail.docx", "A 26049-2024")</f>
        <v/>
      </c>
      <c r="X33">
        <f>HYPERLINK("https://klasma.github.io/Logging_2403/tillsyn/A 26049-2024 tillsynsbegäran.docx", "A 26049-2024")</f>
        <v/>
      </c>
      <c r="Y33">
        <f>HYPERLINK("https://klasma.github.io/Logging_2403/tillsynsmail/A 26049-2024 tillsynsbegäran mail.docx", "A 26049-2024")</f>
        <v/>
      </c>
    </row>
    <row r="34" ht="15" customHeight="1">
      <c r="A34" t="inlineStr">
        <is>
          <t>A 38351-2024</t>
        </is>
      </c>
      <c r="B34" s="1" t="n">
        <v>45545</v>
      </c>
      <c r="C34" s="1" t="n">
        <v>45722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14.8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Motaggsvamp
Dropptaggsvamp</t>
        </is>
      </c>
      <c r="S34">
        <f>HYPERLINK("https://klasma.github.io/Logging_2403/artfynd/A 38351-2024 artfynd.xlsx", "A 38351-2024")</f>
        <v/>
      </c>
      <c r="T34">
        <f>HYPERLINK("https://klasma.github.io/Logging_2403/kartor/A 38351-2024 karta.png", "A 38351-2024")</f>
        <v/>
      </c>
      <c r="V34">
        <f>HYPERLINK("https://klasma.github.io/Logging_2403/klagomål/A 38351-2024 FSC-klagomål.docx", "A 38351-2024")</f>
        <v/>
      </c>
      <c r="W34">
        <f>HYPERLINK("https://klasma.github.io/Logging_2403/klagomålsmail/A 38351-2024 FSC-klagomål mail.docx", "A 38351-2024")</f>
        <v/>
      </c>
      <c r="X34">
        <f>HYPERLINK("https://klasma.github.io/Logging_2403/tillsyn/A 38351-2024 tillsynsbegäran.docx", "A 38351-2024")</f>
        <v/>
      </c>
      <c r="Y34">
        <f>HYPERLINK("https://klasma.github.io/Logging_2403/tillsynsmail/A 38351-2024 tillsynsbegäran mail.docx", "A 38351-2024")</f>
        <v/>
      </c>
    </row>
    <row r="35" ht="15" customHeight="1">
      <c r="A35" t="inlineStr">
        <is>
          <t>A 58398-2019</t>
        </is>
      </c>
      <c r="B35" s="1" t="n">
        <v>43772</v>
      </c>
      <c r="C35" s="1" t="n">
        <v>45722</v>
      </c>
      <c r="D35" t="inlineStr">
        <is>
          <t>VÄSTERBOTTENS LÄN</t>
        </is>
      </c>
      <c r="E35" t="inlineStr">
        <is>
          <t>BJURHOLM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Tallticka</t>
        </is>
      </c>
      <c r="S35">
        <f>HYPERLINK("https://klasma.github.io/Logging_2403/artfynd/A 58398-2019 artfynd.xlsx", "A 58398-2019")</f>
        <v/>
      </c>
      <c r="T35">
        <f>HYPERLINK("https://klasma.github.io/Logging_2403/kartor/A 58398-2019 karta.png", "A 58398-2019")</f>
        <v/>
      </c>
      <c r="V35">
        <f>HYPERLINK("https://klasma.github.io/Logging_2403/klagomål/A 58398-2019 FSC-klagomål.docx", "A 58398-2019")</f>
        <v/>
      </c>
      <c r="W35">
        <f>HYPERLINK("https://klasma.github.io/Logging_2403/klagomålsmail/A 58398-2019 FSC-klagomål mail.docx", "A 58398-2019")</f>
        <v/>
      </c>
      <c r="X35">
        <f>HYPERLINK("https://klasma.github.io/Logging_2403/tillsyn/A 58398-2019 tillsynsbegäran.docx", "A 58398-2019")</f>
        <v/>
      </c>
      <c r="Y35">
        <f>HYPERLINK("https://klasma.github.io/Logging_2403/tillsynsmail/A 58398-2019 tillsynsbegäran mail.docx", "A 58398-2019")</f>
        <v/>
      </c>
    </row>
    <row r="36" ht="15" customHeight="1">
      <c r="A36" t="inlineStr">
        <is>
          <t>A 61585-2020</t>
        </is>
      </c>
      <c r="B36" s="1" t="n">
        <v>44154</v>
      </c>
      <c r="C36" s="1" t="n">
        <v>45722</v>
      </c>
      <c r="D36" t="inlineStr">
        <is>
          <t>VÄSTERBOTTENS LÄN</t>
        </is>
      </c>
      <c r="E36" t="inlineStr">
        <is>
          <t>BJURHOLM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Vattenfladdermus</t>
        </is>
      </c>
      <c r="S36">
        <f>HYPERLINK("https://klasma.github.io/Logging_2403/artfynd/A 61585-2020 artfynd.xlsx", "A 61585-2020")</f>
        <v/>
      </c>
      <c r="T36">
        <f>HYPERLINK("https://klasma.github.io/Logging_2403/kartor/A 61585-2020 karta.png", "A 61585-2020")</f>
        <v/>
      </c>
      <c r="V36">
        <f>HYPERLINK("https://klasma.github.io/Logging_2403/klagomål/A 61585-2020 FSC-klagomål.docx", "A 61585-2020")</f>
        <v/>
      </c>
      <c r="W36">
        <f>HYPERLINK("https://klasma.github.io/Logging_2403/klagomålsmail/A 61585-2020 FSC-klagomål mail.docx", "A 61585-2020")</f>
        <v/>
      </c>
      <c r="X36">
        <f>HYPERLINK("https://klasma.github.io/Logging_2403/tillsyn/A 61585-2020 tillsynsbegäran.docx", "A 61585-2020")</f>
        <v/>
      </c>
      <c r="Y36">
        <f>HYPERLINK("https://klasma.github.io/Logging_2403/tillsynsmail/A 61585-2020 tillsynsbegäran mail.docx", "A 61585-2020")</f>
        <v/>
      </c>
    </row>
    <row r="37" ht="15" customHeight="1">
      <c r="A37" t="inlineStr">
        <is>
          <t>A 54823-2022</t>
        </is>
      </c>
      <c r="B37" s="1" t="n">
        <v>44883</v>
      </c>
      <c r="C37" s="1" t="n">
        <v>45722</v>
      </c>
      <c r="D37" t="inlineStr">
        <is>
          <t>VÄSTERBOTTENS LÄN</t>
        </is>
      </c>
      <c r="E37" t="inlineStr">
        <is>
          <t>BJURHOLM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Violettgrå tagellav</t>
        </is>
      </c>
      <c r="S37">
        <f>HYPERLINK("https://klasma.github.io/Logging_2403/artfynd/A 54823-2022 artfynd.xlsx", "A 54823-2022")</f>
        <v/>
      </c>
      <c r="T37">
        <f>HYPERLINK("https://klasma.github.io/Logging_2403/kartor/A 54823-2022 karta.png", "A 54823-2022")</f>
        <v/>
      </c>
      <c r="V37">
        <f>HYPERLINK("https://klasma.github.io/Logging_2403/klagomål/A 54823-2022 FSC-klagomål.docx", "A 54823-2022")</f>
        <v/>
      </c>
      <c r="W37">
        <f>HYPERLINK("https://klasma.github.io/Logging_2403/klagomålsmail/A 54823-2022 FSC-klagomål mail.docx", "A 54823-2022")</f>
        <v/>
      </c>
      <c r="X37">
        <f>HYPERLINK("https://klasma.github.io/Logging_2403/tillsyn/A 54823-2022 tillsynsbegäran.docx", "A 54823-2022")</f>
        <v/>
      </c>
      <c r="Y37">
        <f>HYPERLINK("https://klasma.github.io/Logging_2403/tillsynsmail/A 54823-2022 tillsynsbegäran mail.docx", "A 54823-2022")</f>
        <v/>
      </c>
    </row>
    <row r="38" ht="15" customHeight="1">
      <c r="A38" t="inlineStr">
        <is>
          <t>A 57634-2022</t>
        </is>
      </c>
      <c r="B38" s="1" t="n">
        <v>44897</v>
      </c>
      <c r="C38" s="1" t="n">
        <v>45722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4.1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HYPERLINK("https://klasma.github.io/Logging_2403/artfynd/A 57634-2022 artfynd.xlsx", "A 57634-2022")</f>
        <v/>
      </c>
      <c r="T38">
        <f>HYPERLINK("https://klasma.github.io/Logging_2403/kartor/A 57634-2022 karta.png", "A 57634-2022")</f>
        <v/>
      </c>
      <c r="V38">
        <f>HYPERLINK("https://klasma.github.io/Logging_2403/klagomål/A 57634-2022 FSC-klagomål.docx", "A 57634-2022")</f>
        <v/>
      </c>
      <c r="W38">
        <f>HYPERLINK("https://klasma.github.io/Logging_2403/klagomålsmail/A 57634-2022 FSC-klagomål mail.docx", "A 57634-2022")</f>
        <v/>
      </c>
      <c r="X38">
        <f>HYPERLINK("https://klasma.github.io/Logging_2403/tillsyn/A 57634-2022 tillsynsbegäran.docx", "A 57634-2022")</f>
        <v/>
      </c>
      <c r="Y38">
        <f>HYPERLINK("https://klasma.github.io/Logging_2403/tillsynsmail/A 57634-2022 tillsynsbegäran mail.docx", "A 57634-2022")</f>
        <v/>
      </c>
    </row>
    <row r="39" ht="15" customHeight="1">
      <c r="A39" t="inlineStr">
        <is>
          <t>A 60688-2022</t>
        </is>
      </c>
      <c r="B39" s="1" t="n">
        <v>44911</v>
      </c>
      <c r="C39" s="1" t="n">
        <v>45722</v>
      </c>
      <c r="D39" t="inlineStr">
        <is>
          <t>VÄSTERBOTTENS LÄN</t>
        </is>
      </c>
      <c r="E39" t="inlineStr">
        <is>
          <t>BJURHOLM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Talltaggsvamp
Stuplav</t>
        </is>
      </c>
      <c r="S39">
        <f>HYPERLINK("https://klasma.github.io/Logging_2403/artfynd/A 60688-2022 artfynd.xlsx", "A 60688-2022")</f>
        <v/>
      </c>
      <c r="T39">
        <f>HYPERLINK("https://klasma.github.io/Logging_2403/kartor/A 60688-2022 karta.png", "A 60688-2022")</f>
        <v/>
      </c>
      <c r="V39">
        <f>HYPERLINK("https://klasma.github.io/Logging_2403/klagomål/A 60688-2022 FSC-klagomål.docx", "A 60688-2022")</f>
        <v/>
      </c>
      <c r="W39">
        <f>HYPERLINK("https://klasma.github.io/Logging_2403/klagomålsmail/A 60688-2022 FSC-klagomål mail.docx", "A 60688-2022")</f>
        <v/>
      </c>
      <c r="X39">
        <f>HYPERLINK("https://klasma.github.io/Logging_2403/tillsyn/A 60688-2022 tillsynsbegäran.docx", "A 60688-2022")</f>
        <v/>
      </c>
      <c r="Y39">
        <f>HYPERLINK("https://klasma.github.io/Logging_2403/tillsynsmail/A 60688-2022 tillsynsbegäran mail.docx", "A 60688-2022")</f>
        <v/>
      </c>
    </row>
    <row r="40" ht="15" customHeight="1">
      <c r="A40" t="inlineStr">
        <is>
          <t>A 31206-2023</t>
        </is>
      </c>
      <c r="B40" s="1" t="n">
        <v>45113</v>
      </c>
      <c r="C40" s="1" t="n">
        <v>45722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Skarp dropptaggsvamp</t>
        </is>
      </c>
      <c r="S40">
        <f>HYPERLINK("https://klasma.github.io/Logging_2403/artfynd/A 31206-2023 artfynd.xlsx", "A 31206-2023")</f>
        <v/>
      </c>
      <c r="T40">
        <f>HYPERLINK("https://klasma.github.io/Logging_2403/kartor/A 31206-2023 karta.png", "A 31206-2023")</f>
        <v/>
      </c>
      <c r="U40">
        <f>HYPERLINK("https://klasma.github.io/Logging_2403/knärot/A 31206-2023 karta knärot.png", "A 31206-2023")</f>
        <v/>
      </c>
      <c r="V40">
        <f>HYPERLINK("https://klasma.github.io/Logging_2403/klagomål/A 31206-2023 FSC-klagomål.docx", "A 31206-2023")</f>
        <v/>
      </c>
      <c r="W40">
        <f>HYPERLINK("https://klasma.github.io/Logging_2403/klagomålsmail/A 31206-2023 FSC-klagomål mail.docx", "A 31206-2023")</f>
        <v/>
      </c>
      <c r="X40">
        <f>HYPERLINK("https://klasma.github.io/Logging_2403/tillsyn/A 31206-2023 tillsynsbegäran.docx", "A 31206-2023")</f>
        <v/>
      </c>
      <c r="Y40">
        <f>HYPERLINK("https://klasma.github.io/Logging_2403/tillsynsmail/A 31206-2023 tillsynsbegäran mail.docx", "A 31206-2023")</f>
        <v/>
      </c>
    </row>
    <row r="41" ht="15" customHeight="1">
      <c r="A41" t="inlineStr">
        <is>
          <t>A 31737-2023</t>
        </is>
      </c>
      <c r="B41" s="1" t="n">
        <v>45117</v>
      </c>
      <c r="C41" s="1" t="n">
        <v>45722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Vedskivlav</t>
        </is>
      </c>
      <c r="S41">
        <f>HYPERLINK("https://klasma.github.io/Logging_2403/artfynd/A 31737-2023 artfynd.xlsx", "A 31737-2023")</f>
        <v/>
      </c>
      <c r="T41">
        <f>HYPERLINK("https://klasma.github.io/Logging_2403/kartor/A 31737-2023 karta.png", "A 31737-2023")</f>
        <v/>
      </c>
      <c r="V41">
        <f>HYPERLINK("https://klasma.github.io/Logging_2403/klagomål/A 31737-2023 FSC-klagomål.docx", "A 31737-2023")</f>
        <v/>
      </c>
      <c r="W41">
        <f>HYPERLINK("https://klasma.github.io/Logging_2403/klagomålsmail/A 31737-2023 FSC-klagomål mail.docx", "A 31737-2023")</f>
        <v/>
      </c>
      <c r="X41">
        <f>HYPERLINK("https://klasma.github.io/Logging_2403/tillsyn/A 31737-2023 tillsynsbegäran.docx", "A 31737-2023")</f>
        <v/>
      </c>
      <c r="Y41">
        <f>HYPERLINK("https://klasma.github.io/Logging_2403/tillsynsmail/A 31737-2023 tillsynsbegäran mail.docx", "A 31737-2023")</f>
        <v/>
      </c>
    </row>
    <row r="42" ht="15" customHeight="1">
      <c r="A42" t="inlineStr">
        <is>
          <t>A 25668-2024</t>
        </is>
      </c>
      <c r="B42" s="1" t="n">
        <v>45463</v>
      </c>
      <c r="C42" s="1" t="n">
        <v>45722</v>
      </c>
      <c r="D42" t="inlineStr">
        <is>
          <t>VÄSTERBOTTENS LÄN</t>
        </is>
      </c>
      <c r="E42" t="inlineStr">
        <is>
          <t>BJURHOLM</t>
        </is>
      </c>
      <c r="G42" t="n">
        <v>9.699999999999999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Stjärntagging
Tibast</t>
        </is>
      </c>
      <c r="S42">
        <f>HYPERLINK("https://klasma.github.io/Logging_2403/artfynd/A 25668-2024 artfynd.xlsx", "A 25668-2024")</f>
        <v/>
      </c>
      <c r="T42">
        <f>HYPERLINK("https://klasma.github.io/Logging_2403/kartor/A 25668-2024 karta.png", "A 25668-2024")</f>
        <v/>
      </c>
      <c r="V42">
        <f>HYPERLINK("https://klasma.github.io/Logging_2403/klagomål/A 25668-2024 FSC-klagomål.docx", "A 25668-2024")</f>
        <v/>
      </c>
      <c r="W42">
        <f>HYPERLINK("https://klasma.github.io/Logging_2403/klagomålsmail/A 25668-2024 FSC-klagomål mail.docx", "A 25668-2024")</f>
        <v/>
      </c>
      <c r="X42">
        <f>HYPERLINK("https://klasma.github.io/Logging_2403/tillsyn/A 25668-2024 tillsynsbegäran.docx", "A 25668-2024")</f>
        <v/>
      </c>
      <c r="Y42">
        <f>HYPERLINK("https://klasma.github.io/Logging_2403/tillsynsmail/A 25668-2024 tillsynsbegäran mail.docx", "A 25668-2024")</f>
        <v/>
      </c>
    </row>
    <row r="43" ht="15" customHeight="1">
      <c r="A43" t="inlineStr">
        <is>
          <t>A 27295-2024</t>
        </is>
      </c>
      <c r="B43" s="1" t="n">
        <v>45472</v>
      </c>
      <c r="C43" s="1" t="n">
        <v>45722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HYPERLINK("https://klasma.github.io/Logging_2403/artfynd/A 27295-2024 artfynd.xlsx", "A 27295-2024")</f>
        <v/>
      </c>
      <c r="T43">
        <f>HYPERLINK("https://klasma.github.io/Logging_2403/kartor/A 27295-2024 karta.png", "A 27295-2024")</f>
        <v/>
      </c>
      <c r="V43">
        <f>HYPERLINK("https://klasma.github.io/Logging_2403/klagomål/A 27295-2024 FSC-klagomål.docx", "A 27295-2024")</f>
        <v/>
      </c>
      <c r="W43">
        <f>HYPERLINK("https://klasma.github.io/Logging_2403/klagomålsmail/A 27295-2024 FSC-klagomål mail.docx", "A 27295-2024")</f>
        <v/>
      </c>
      <c r="X43">
        <f>HYPERLINK("https://klasma.github.io/Logging_2403/tillsyn/A 27295-2024 tillsynsbegäran.docx", "A 27295-2024")</f>
        <v/>
      </c>
      <c r="Y43">
        <f>HYPERLINK("https://klasma.github.io/Logging_2403/tillsynsmail/A 27295-2024 tillsynsbegäran mail.docx", "A 27295-2024")</f>
        <v/>
      </c>
    </row>
    <row r="44" ht="15" customHeight="1">
      <c r="A44" t="inlineStr">
        <is>
          <t>A 61172-2024</t>
        </is>
      </c>
      <c r="B44" s="1" t="n">
        <v>45645</v>
      </c>
      <c r="C44" s="1" t="n">
        <v>45722</v>
      </c>
      <c r="D44" t="inlineStr">
        <is>
          <t>VÄSTERBOTTENS LÄN</t>
        </is>
      </c>
      <c r="E44" t="inlineStr">
        <is>
          <t>BJURHOLM</t>
        </is>
      </c>
      <c r="G44" t="n">
        <v>4.6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HYPERLINK("https://klasma.github.io/Logging_2403/artfynd/A 61172-2024 artfynd.xlsx", "A 61172-2024")</f>
        <v/>
      </c>
      <c r="T44">
        <f>HYPERLINK("https://klasma.github.io/Logging_2403/kartor/A 61172-2024 karta.png", "A 61172-2024")</f>
        <v/>
      </c>
      <c r="V44">
        <f>HYPERLINK("https://klasma.github.io/Logging_2403/klagomål/A 61172-2024 FSC-klagomål.docx", "A 61172-2024")</f>
        <v/>
      </c>
      <c r="W44">
        <f>HYPERLINK("https://klasma.github.io/Logging_2403/klagomålsmail/A 61172-2024 FSC-klagomål mail.docx", "A 61172-2024")</f>
        <v/>
      </c>
      <c r="X44">
        <f>HYPERLINK("https://klasma.github.io/Logging_2403/tillsyn/A 61172-2024 tillsynsbegäran.docx", "A 61172-2024")</f>
        <v/>
      </c>
      <c r="Y44">
        <f>HYPERLINK("https://klasma.github.io/Logging_2403/tillsynsmail/A 61172-2024 tillsynsbegäran mail.docx", "A 61172-2024")</f>
        <v/>
      </c>
    </row>
    <row r="45" ht="15" customHeight="1">
      <c r="A45" t="inlineStr">
        <is>
          <t>A 19106-2019</t>
        </is>
      </c>
      <c r="B45" s="1" t="n">
        <v>43564</v>
      </c>
      <c r="C45" s="1" t="n">
        <v>45722</v>
      </c>
      <c r="D45" t="inlineStr">
        <is>
          <t>VÄSTERBOTTENS LÄN</t>
        </is>
      </c>
      <c r="E45" t="inlineStr">
        <is>
          <t>BJURHOLM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HYPERLINK("https://klasma.github.io/Logging_2403/artfynd/A 19106-2019 artfynd.xlsx", "A 19106-2019")</f>
        <v/>
      </c>
      <c r="T45">
        <f>HYPERLINK("https://klasma.github.io/Logging_2403/kartor/A 19106-2019 karta.png", "A 19106-2019")</f>
        <v/>
      </c>
      <c r="V45">
        <f>HYPERLINK("https://klasma.github.io/Logging_2403/klagomål/A 19106-2019 FSC-klagomål.docx", "A 19106-2019")</f>
        <v/>
      </c>
      <c r="W45">
        <f>HYPERLINK("https://klasma.github.io/Logging_2403/klagomålsmail/A 19106-2019 FSC-klagomål mail.docx", "A 19106-2019")</f>
        <v/>
      </c>
      <c r="X45">
        <f>HYPERLINK("https://klasma.github.io/Logging_2403/tillsyn/A 19106-2019 tillsynsbegäran.docx", "A 19106-2019")</f>
        <v/>
      </c>
      <c r="Y45">
        <f>HYPERLINK("https://klasma.github.io/Logging_2403/tillsynsmail/A 19106-2019 tillsynsbegäran mail.docx", "A 19106-2019")</f>
        <v/>
      </c>
    </row>
    <row r="46" ht="15" customHeight="1">
      <c r="A46" t="inlineStr">
        <is>
          <t>A 39136-2019</t>
        </is>
      </c>
      <c r="B46" s="1" t="n">
        <v>43689</v>
      </c>
      <c r="C46" s="1" t="n">
        <v>45722</v>
      </c>
      <c r="D46" t="inlineStr">
        <is>
          <t>VÄSTERBOTTENS LÄN</t>
        </is>
      </c>
      <c r="E46" t="inlineStr">
        <is>
          <t>BJURHOLM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39136-2019 artfynd.xlsx", "A 39136-2019")</f>
        <v/>
      </c>
      <c r="T46">
        <f>HYPERLINK("https://klasma.github.io/Logging_2403/kartor/A 39136-2019 karta.png", "A 39136-2019")</f>
        <v/>
      </c>
      <c r="V46">
        <f>HYPERLINK("https://klasma.github.io/Logging_2403/klagomål/A 39136-2019 FSC-klagomål.docx", "A 39136-2019")</f>
        <v/>
      </c>
      <c r="W46">
        <f>HYPERLINK("https://klasma.github.io/Logging_2403/klagomålsmail/A 39136-2019 FSC-klagomål mail.docx", "A 39136-2019")</f>
        <v/>
      </c>
      <c r="X46">
        <f>HYPERLINK("https://klasma.github.io/Logging_2403/tillsyn/A 39136-2019 tillsynsbegäran.docx", "A 39136-2019")</f>
        <v/>
      </c>
      <c r="Y46">
        <f>HYPERLINK("https://klasma.github.io/Logging_2403/tillsynsmail/A 39136-2019 tillsynsbegäran mail.docx", "A 39136-2019")</f>
        <v/>
      </c>
    </row>
    <row r="47" ht="15" customHeight="1">
      <c r="A47" t="inlineStr">
        <is>
          <t>A 54215-2019</t>
        </is>
      </c>
      <c r="B47" s="1" t="n">
        <v>43753</v>
      </c>
      <c r="C47" s="1" t="n">
        <v>45722</v>
      </c>
      <c r="D47" t="inlineStr">
        <is>
          <t>VÄSTERBOTTENS LÄN</t>
        </is>
      </c>
      <c r="E47" t="inlineStr">
        <is>
          <t>BJURHOLM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HYPERLINK("https://klasma.github.io/Logging_2403/artfynd/A 54215-2019 artfynd.xlsx", "A 54215-2019")</f>
        <v/>
      </c>
      <c r="T47">
        <f>HYPERLINK("https://klasma.github.io/Logging_2403/kartor/A 54215-2019 karta.png", "A 54215-2019")</f>
        <v/>
      </c>
      <c r="U47">
        <f>HYPERLINK("https://klasma.github.io/Logging_2403/knärot/A 54215-2019 karta knärot.png", "A 54215-2019")</f>
        <v/>
      </c>
      <c r="V47">
        <f>HYPERLINK("https://klasma.github.io/Logging_2403/klagomål/A 54215-2019 FSC-klagomål.docx", "A 54215-2019")</f>
        <v/>
      </c>
      <c r="W47">
        <f>HYPERLINK("https://klasma.github.io/Logging_2403/klagomålsmail/A 54215-2019 FSC-klagomål mail.docx", "A 54215-2019")</f>
        <v/>
      </c>
      <c r="X47">
        <f>HYPERLINK("https://klasma.github.io/Logging_2403/tillsyn/A 54215-2019 tillsynsbegäran.docx", "A 54215-2019")</f>
        <v/>
      </c>
      <c r="Y47">
        <f>HYPERLINK("https://klasma.github.io/Logging_2403/tillsynsmail/A 54215-2019 tillsynsbegäran mail.docx", "A 54215-2019")</f>
        <v/>
      </c>
    </row>
    <row r="48" ht="15" customHeight="1">
      <c r="A48" t="inlineStr">
        <is>
          <t>A 495-2020</t>
        </is>
      </c>
      <c r="B48" s="1" t="n">
        <v>43837</v>
      </c>
      <c r="C48" s="1" t="n">
        <v>45722</v>
      </c>
      <c r="D48" t="inlineStr">
        <is>
          <t>VÄSTERBOTTENS LÄN</t>
        </is>
      </c>
      <c r="E48" t="inlineStr">
        <is>
          <t>BJURHOLM</t>
        </is>
      </c>
      <c r="F48" t="inlineStr">
        <is>
          <t>Sveaskog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495-2020 artfynd.xlsx", "A 495-2020")</f>
        <v/>
      </c>
      <c r="T48">
        <f>HYPERLINK("https://klasma.github.io/Logging_2403/kartor/A 495-2020 karta.png", "A 495-2020")</f>
        <v/>
      </c>
      <c r="V48">
        <f>HYPERLINK("https://klasma.github.io/Logging_2403/klagomål/A 495-2020 FSC-klagomål.docx", "A 495-2020")</f>
        <v/>
      </c>
      <c r="W48">
        <f>HYPERLINK("https://klasma.github.io/Logging_2403/klagomålsmail/A 495-2020 FSC-klagomål mail.docx", "A 495-2020")</f>
        <v/>
      </c>
      <c r="X48">
        <f>HYPERLINK("https://klasma.github.io/Logging_2403/tillsyn/A 495-2020 tillsynsbegäran.docx", "A 495-2020")</f>
        <v/>
      </c>
      <c r="Y48">
        <f>HYPERLINK("https://klasma.github.io/Logging_2403/tillsynsmail/A 495-2020 tillsynsbegäran mail.docx", "A 495-2020")</f>
        <v/>
      </c>
    </row>
    <row r="49" ht="15" customHeight="1">
      <c r="A49" t="inlineStr">
        <is>
          <t>A 19295-2020</t>
        </is>
      </c>
      <c r="B49" s="1" t="n">
        <v>43937</v>
      </c>
      <c r="C49" s="1" t="n">
        <v>45722</v>
      </c>
      <c r="D49" t="inlineStr">
        <is>
          <t>VÄSTERBOTTENS LÄN</t>
        </is>
      </c>
      <c r="E49" t="inlineStr">
        <is>
          <t>BJURHOLM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HYPERLINK("https://klasma.github.io/Logging_2403/artfynd/A 19295-2020 artfynd.xlsx", "A 19295-2020")</f>
        <v/>
      </c>
      <c r="T49">
        <f>HYPERLINK("https://klasma.github.io/Logging_2403/kartor/A 19295-2020 karta.png", "A 19295-2020")</f>
        <v/>
      </c>
      <c r="V49">
        <f>HYPERLINK("https://klasma.github.io/Logging_2403/klagomål/A 19295-2020 FSC-klagomål.docx", "A 19295-2020")</f>
        <v/>
      </c>
      <c r="W49">
        <f>HYPERLINK("https://klasma.github.io/Logging_2403/klagomålsmail/A 19295-2020 FSC-klagomål mail.docx", "A 19295-2020")</f>
        <v/>
      </c>
      <c r="X49">
        <f>HYPERLINK("https://klasma.github.io/Logging_2403/tillsyn/A 19295-2020 tillsynsbegäran.docx", "A 19295-2020")</f>
        <v/>
      </c>
      <c r="Y49">
        <f>HYPERLINK("https://klasma.github.io/Logging_2403/tillsynsmail/A 19295-2020 tillsynsbegäran mail.docx", "A 19295-2020")</f>
        <v/>
      </c>
    </row>
    <row r="50" ht="15" customHeight="1">
      <c r="A50" t="inlineStr">
        <is>
          <t>A 14083-2021</t>
        </is>
      </c>
      <c r="B50" s="1" t="n">
        <v>44277</v>
      </c>
      <c r="C50" s="1" t="n">
        <v>45722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15.1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HYPERLINK("https://klasma.github.io/Logging_2403/artfynd/A 14083-2021 artfynd.xlsx", "A 14083-2021")</f>
        <v/>
      </c>
      <c r="T50">
        <f>HYPERLINK("https://klasma.github.io/Logging_2403/kartor/A 14083-2021 karta.png", "A 14083-2021")</f>
        <v/>
      </c>
      <c r="V50">
        <f>HYPERLINK("https://klasma.github.io/Logging_2403/klagomål/A 14083-2021 FSC-klagomål.docx", "A 14083-2021")</f>
        <v/>
      </c>
      <c r="W50">
        <f>HYPERLINK("https://klasma.github.io/Logging_2403/klagomålsmail/A 14083-2021 FSC-klagomål mail.docx", "A 14083-2021")</f>
        <v/>
      </c>
      <c r="X50">
        <f>HYPERLINK("https://klasma.github.io/Logging_2403/tillsyn/A 14083-2021 tillsynsbegäran.docx", "A 14083-2021")</f>
        <v/>
      </c>
      <c r="Y50">
        <f>HYPERLINK("https://klasma.github.io/Logging_2403/tillsynsmail/A 14083-2021 tillsynsbegäran mail.docx", "A 14083-2021")</f>
        <v/>
      </c>
    </row>
    <row r="51" ht="15" customHeight="1">
      <c r="A51" t="inlineStr">
        <is>
          <t>A 14088-2021</t>
        </is>
      </c>
      <c r="B51" s="1" t="n">
        <v>44277</v>
      </c>
      <c r="C51" s="1" t="n">
        <v>45722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7.6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14088-2021 artfynd.xlsx", "A 14088-2021")</f>
        <v/>
      </c>
      <c r="T51">
        <f>HYPERLINK("https://klasma.github.io/Logging_2403/kartor/A 14088-2021 karta.png", "A 14088-2021")</f>
        <v/>
      </c>
      <c r="V51">
        <f>HYPERLINK("https://klasma.github.io/Logging_2403/klagomål/A 14088-2021 FSC-klagomål.docx", "A 14088-2021")</f>
        <v/>
      </c>
      <c r="W51">
        <f>HYPERLINK("https://klasma.github.io/Logging_2403/klagomålsmail/A 14088-2021 FSC-klagomål mail.docx", "A 14088-2021")</f>
        <v/>
      </c>
      <c r="X51">
        <f>HYPERLINK("https://klasma.github.io/Logging_2403/tillsyn/A 14088-2021 tillsynsbegäran.docx", "A 14088-2021")</f>
        <v/>
      </c>
      <c r="Y51">
        <f>HYPERLINK("https://klasma.github.io/Logging_2403/tillsynsmail/A 14088-2021 tillsynsbegäran mail.docx", "A 14088-2021")</f>
        <v/>
      </c>
    </row>
    <row r="52" ht="15" customHeight="1">
      <c r="A52" t="inlineStr">
        <is>
          <t>A 51723-2021</t>
        </is>
      </c>
      <c r="B52" s="1" t="n">
        <v>44462</v>
      </c>
      <c r="C52" s="1" t="n">
        <v>45722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HYPERLINK("https://klasma.github.io/Logging_2403/artfynd/A 51723-2021 artfynd.xlsx", "A 51723-2021")</f>
        <v/>
      </c>
      <c r="T52">
        <f>HYPERLINK("https://klasma.github.io/Logging_2403/kartor/A 51723-2021 karta.png", "A 51723-2021")</f>
        <v/>
      </c>
      <c r="V52">
        <f>HYPERLINK("https://klasma.github.io/Logging_2403/klagomål/A 51723-2021 FSC-klagomål.docx", "A 51723-2021")</f>
        <v/>
      </c>
      <c r="W52">
        <f>HYPERLINK("https://klasma.github.io/Logging_2403/klagomålsmail/A 51723-2021 FSC-klagomål mail.docx", "A 51723-2021")</f>
        <v/>
      </c>
      <c r="X52">
        <f>HYPERLINK("https://klasma.github.io/Logging_2403/tillsyn/A 51723-2021 tillsynsbegäran.docx", "A 51723-2021")</f>
        <v/>
      </c>
      <c r="Y52">
        <f>HYPERLINK("https://klasma.github.io/Logging_2403/tillsynsmail/A 51723-2021 tillsynsbegäran mail.docx", "A 51723-2021")</f>
        <v/>
      </c>
    </row>
    <row r="53" ht="15" customHeight="1">
      <c r="A53" t="inlineStr">
        <is>
          <t>A 57865-2021</t>
        </is>
      </c>
      <c r="B53" s="1" t="n">
        <v>44484</v>
      </c>
      <c r="C53" s="1" t="n">
        <v>45722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57865-2021 artfynd.xlsx", "A 57865-2021")</f>
        <v/>
      </c>
      <c r="T53">
        <f>HYPERLINK("https://klasma.github.io/Logging_2403/kartor/A 57865-2021 karta.png", "A 57865-2021")</f>
        <v/>
      </c>
      <c r="V53">
        <f>HYPERLINK("https://klasma.github.io/Logging_2403/klagomål/A 57865-2021 FSC-klagomål.docx", "A 57865-2021")</f>
        <v/>
      </c>
      <c r="W53">
        <f>HYPERLINK("https://klasma.github.io/Logging_2403/klagomålsmail/A 57865-2021 FSC-klagomål mail.docx", "A 57865-2021")</f>
        <v/>
      </c>
      <c r="X53">
        <f>HYPERLINK("https://klasma.github.io/Logging_2403/tillsyn/A 57865-2021 tillsynsbegäran.docx", "A 57865-2021")</f>
        <v/>
      </c>
      <c r="Y53">
        <f>HYPERLINK("https://klasma.github.io/Logging_2403/tillsynsmail/A 57865-2021 tillsynsbegäran mail.docx", "A 57865-2021")</f>
        <v/>
      </c>
    </row>
    <row r="54" ht="15" customHeight="1">
      <c r="A54" t="inlineStr">
        <is>
          <t>A 16145-2022</t>
        </is>
      </c>
      <c r="B54" s="1" t="n">
        <v>44665</v>
      </c>
      <c r="C54" s="1" t="n">
        <v>45722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5.9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16145-2022 artfynd.xlsx", "A 16145-2022")</f>
        <v/>
      </c>
      <c r="T54">
        <f>HYPERLINK("https://klasma.github.io/Logging_2403/kartor/A 16145-2022 karta.png", "A 16145-2022")</f>
        <v/>
      </c>
      <c r="V54">
        <f>HYPERLINK("https://klasma.github.io/Logging_2403/klagomål/A 16145-2022 FSC-klagomål.docx", "A 16145-2022")</f>
        <v/>
      </c>
      <c r="W54">
        <f>HYPERLINK("https://klasma.github.io/Logging_2403/klagomålsmail/A 16145-2022 FSC-klagomål mail.docx", "A 16145-2022")</f>
        <v/>
      </c>
      <c r="X54">
        <f>HYPERLINK("https://klasma.github.io/Logging_2403/tillsyn/A 16145-2022 tillsynsbegäran.docx", "A 16145-2022")</f>
        <v/>
      </c>
      <c r="Y54">
        <f>HYPERLINK("https://klasma.github.io/Logging_2403/tillsynsmail/A 16145-2022 tillsynsbegäran mail.docx", "A 16145-2022")</f>
        <v/>
      </c>
    </row>
    <row r="55" ht="15" customHeight="1">
      <c r="A55" t="inlineStr">
        <is>
          <t>A 43969-2022</t>
        </is>
      </c>
      <c r="B55" s="1" t="n">
        <v>44837</v>
      </c>
      <c r="C55" s="1" t="n">
        <v>45722</v>
      </c>
      <c r="D55" t="inlineStr">
        <is>
          <t>VÄSTERBOTTENS LÄN</t>
        </is>
      </c>
      <c r="E55" t="inlineStr">
        <is>
          <t>BJURHOLM</t>
        </is>
      </c>
      <c r="G55" t="n">
        <v>2.3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HYPERLINK("https://klasma.github.io/Logging_2403/artfynd/A 43969-2022 artfynd.xlsx", "A 43969-2022")</f>
        <v/>
      </c>
      <c r="T55">
        <f>HYPERLINK("https://klasma.github.io/Logging_2403/kartor/A 43969-2022 karta.png", "A 43969-2022")</f>
        <v/>
      </c>
      <c r="V55">
        <f>HYPERLINK("https://klasma.github.io/Logging_2403/klagomål/A 43969-2022 FSC-klagomål.docx", "A 43969-2022")</f>
        <v/>
      </c>
      <c r="W55">
        <f>HYPERLINK("https://klasma.github.io/Logging_2403/klagomålsmail/A 43969-2022 FSC-klagomål mail.docx", "A 43969-2022")</f>
        <v/>
      </c>
      <c r="X55">
        <f>HYPERLINK("https://klasma.github.io/Logging_2403/tillsyn/A 43969-2022 tillsynsbegäran.docx", "A 43969-2022")</f>
        <v/>
      </c>
      <c r="Y55">
        <f>HYPERLINK("https://klasma.github.io/Logging_2403/tillsynsmail/A 43969-2022 tillsynsbegäran mail.docx", "A 43969-2022")</f>
        <v/>
      </c>
    </row>
    <row r="56" ht="15" customHeight="1">
      <c r="A56" t="inlineStr">
        <is>
          <t>A 52690-2022</t>
        </is>
      </c>
      <c r="B56" s="1" t="n">
        <v>44874</v>
      </c>
      <c r="C56" s="1" t="n">
        <v>45722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17.3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HYPERLINK("https://klasma.github.io/Logging_2403/artfynd/A 52690-2022 artfynd.xlsx", "A 52690-2022")</f>
        <v/>
      </c>
      <c r="T56">
        <f>HYPERLINK("https://klasma.github.io/Logging_2403/kartor/A 52690-2022 karta.png", "A 52690-2022")</f>
        <v/>
      </c>
      <c r="V56">
        <f>HYPERLINK("https://klasma.github.io/Logging_2403/klagomål/A 52690-2022 FSC-klagomål.docx", "A 52690-2022")</f>
        <v/>
      </c>
      <c r="W56">
        <f>HYPERLINK("https://klasma.github.io/Logging_2403/klagomålsmail/A 52690-2022 FSC-klagomål mail.docx", "A 52690-2022")</f>
        <v/>
      </c>
      <c r="X56">
        <f>HYPERLINK("https://klasma.github.io/Logging_2403/tillsyn/A 52690-2022 tillsynsbegäran.docx", "A 52690-2022")</f>
        <v/>
      </c>
      <c r="Y56">
        <f>HYPERLINK("https://klasma.github.io/Logging_2403/tillsynsmail/A 52690-2022 tillsynsbegäran mail.docx", "A 52690-2022")</f>
        <v/>
      </c>
    </row>
    <row r="57" ht="15" customHeight="1">
      <c r="A57" t="inlineStr">
        <is>
          <t>A 62112-2022</t>
        </is>
      </c>
      <c r="B57" s="1" t="n">
        <v>44920</v>
      </c>
      <c r="C57" s="1" t="n">
        <v>45722</v>
      </c>
      <c r="D57" t="inlineStr">
        <is>
          <t>VÄSTERBOTTENS LÄN</t>
        </is>
      </c>
      <c r="E57" t="inlineStr">
        <is>
          <t>BJURHOLM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HYPERLINK("https://klasma.github.io/Logging_2403/artfynd/A 62112-2022 artfynd.xlsx", "A 62112-2022")</f>
        <v/>
      </c>
      <c r="T57">
        <f>HYPERLINK("https://klasma.github.io/Logging_2403/kartor/A 62112-2022 karta.png", "A 62112-2022")</f>
        <v/>
      </c>
      <c r="V57">
        <f>HYPERLINK("https://klasma.github.io/Logging_2403/klagomål/A 62112-2022 FSC-klagomål.docx", "A 62112-2022")</f>
        <v/>
      </c>
      <c r="W57">
        <f>HYPERLINK("https://klasma.github.io/Logging_2403/klagomålsmail/A 62112-2022 FSC-klagomål mail.docx", "A 62112-2022")</f>
        <v/>
      </c>
      <c r="X57">
        <f>HYPERLINK("https://klasma.github.io/Logging_2403/tillsyn/A 62112-2022 tillsynsbegäran.docx", "A 62112-2022")</f>
        <v/>
      </c>
      <c r="Y57">
        <f>HYPERLINK("https://klasma.github.io/Logging_2403/tillsynsmail/A 62112-2022 tillsynsbegäran mail.docx", "A 62112-2022")</f>
        <v/>
      </c>
    </row>
    <row r="58" ht="15" customHeight="1">
      <c r="A58" t="inlineStr">
        <is>
          <t>A 11819-2023</t>
        </is>
      </c>
      <c r="B58" s="1" t="n">
        <v>44994</v>
      </c>
      <c r="C58" s="1" t="n">
        <v>45722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11819-2023 artfynd.xlsx", "A 11819-2023")</f>
        <v/>
      </c>
      <c r="T58">
        <f>HYPERLINK("https://klasma.github.io/Logging_2403/kartor/A 11819-2023 karta.png", "A 11819-2023")</f>
        <v/>
      </c>
      <c r="V58">
        <f>HYPERLINK("https://klasma.github.io/Logging_2403/klagomål/A 11819-2023 FSC-klagomål.docx", "A 11819-2023")</f>
        <v/>
      </c>
      <c r="W58">
        <f>HYPERLINK("https://klasma.github.io/Logging_2403/klagomålsmail/A 11819-2023 FSC-klagomål mail.docx", "A 11819-2023")</f>
        <v/>
      </c>
      <c r="X58">
        <f>HYPERLINK("https://klasma.github.io/Logging_2403/tillsyn/A 11819-2023 tillsynsbegäran.docx", "A 11819-2023")</f>
        <v/>
      </c>
      <c r="Y58">
        <f>HYPERLINK("https://klasma.github.io/Logging_2403/tillsynsmail/A 11819-2023 tillsynsbegäran mail.docx", "A 11819-2023")</f>
        <v/>
      </c>
    </row>
    <row r="59" ht="15" customHeight="1">
      <c r="A59" t="inlineStr">
        <is>
          <t>A 20608-2023</t>
        </is>
      </c>
      <c r="B59" s="1" t="n">
        <v>45057</v>
      </c>
      <c r="C59" s="1" t="n">
        <v>45722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10.5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Goliatmusseron</t>
        </is>
      </c>
      <c r="S59">
        <f>HYPERLINK("https://klasma.github.io/Logging_2403/artfynd/A 20608-2023 artfynd.xlsx", "A 20608-2023")</f>
        <v/>
      </c>
      <c r="T59">
        <f>HYPERLINK("https://klasma.github.io/Logging_2403/kartor/A 20608-2023 karta.png", "A 20608-2023")</f>
        <v/>
      </c>
      <c r="V59">
        <f>HYPERLINK("https://klasma.github.io/Logging_2403/klagomål/A 20608-2023 FSC-klagomål.docx", "A 20608-2023")</f>
        <v/>
      </c>
      <c r="W59">
        <f>HYPERLINK("https://klasma.github.io/Logging_2403/klagomålsmail/A 20608-2023 FSC-klagomål mail.docx", "A 20608-2023")</f>
        <v/>
      </c>
      <c r="X59">
        <f>HYPERLINK("https://klasma.github.io/Logging_2403/tillsyn/A 20608-2023 tillsynsbegäran.docx", "A 20608-2023")</f>
        <v/>
      </c>
      <c r="Y59">
        <f>HYPERLINK("https://klasma.github.io/Logging_2403/tillsynsmail/A 20608-2023 tillsynsbegäran mail.docx", "A 20608-2023")</f>
        <v/>
      </c>
    </row>
    <row r="60" ht="15" customHeight="1">
      <c r="A60" t="inlineStr">
        <is>
          <t>A 35280-2023</t>
        </is>
      </c>
      <c r="B60" s="1" t="n">
        <v>45145</v>
      </c>
      <c r="C60" s="1" t="n">
        <v>45722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7.5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HYPERLINK("https://klasma.github.io/Logging_2403/artfynd/A 35280-2023 artfynd.xlsx", "A 35280-2023")</f>
        <v/>
      </c>
      <c r="T60">
        <f>HYPERLINK("https://klasma.github.io/Logging_2403/kartor/A 35280-2023 karta.png", "A 35280-2023")</f>
        <v/>
      </c>
      <c r="V60">
        <f>HYPERLINK("https://klasma.github.io/Logging_2403/klagomål/A 35280-2023 FSC-klagomål.docx", "A 35280-2023")</f>
        <v/>
      </c>
      <c r="W60">
        <f>HYPERLINK("https://klasma.github.io/Logging_2403/klagomålsmail/A 35280-2023 FSC-klagomål mail.docx", "A 35280-2023")</f>
        <v/>
      </c>
      <c r="X60">
        <f>HYPERLINK("https://klasma.github.io/Logging_2403/tillsyn/A 35280-2023 tillsynsbegäran.docx", "A 35280-2023")</f>
        <v/>
      </c>
      <c r="Y60">
        <f>HYPERLINK("https://klasma.github.io/Logging_2403/tillsynsmail/A 35280-2023 tillsynsbegäran mail.docx", "A 35280-2023")</f>
        <v/>
      </c>
    </row>
    <row r="61" ht="15" customHeight="1">
      <c r="A61" t="inlineStr">
        <is>
          <t>A 39628-2023</t>
        </is>
      </c>
      <c r="B61" s="1" t="n">
        <v>45167</v>
      </c>
      <c r="C61" s="1" t="n">
        <v>45722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6.8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HYPERLINK("https://klasma.github.io/Logging_2403/artfynd/A 39628-2023 artfynd.xlsx", "A 39628-2023")</f>
        <v/>
      </c>
      <c r="T61">
        <f>HYPERLINK("https://klasma.github.io/Logging_2403/kartor/A 39628-2023 karta.png", "A 39628-2023")</f>
        <v/>
      </c>
      <c r="V61">
        <f>HYPERLINK("https://klasma.github.io/Logging_2403/klagomål/A 39628-2023 FSC-klagomål.docx", "A 39628-2023")</f>
        <v/>
      </c>
      <c r="W61">
        <f>HYPERLINK("https://klasma.github.io/Logging_2403/klagomålsmail/A 39628-2023 FSC-klagomål mail.docx", "A 39628-2023")</f>
        <v/>
      </c>
      <c r="X61">
        <f>HYPERLINK("https://klasma.github.io/Logging_2403/tillsyn/A 39628-2023 tillsynsbegäran.docx", "A 39628-2023")</f>
        <v/>
      </c>
      <c r="Y61">
        <f>HYPERLINK("https://klasma.github.io/Logging_2403/tillsynsmail/A 39628-2023 tillsynsbegäran mail.docx", "A 39628-2023")</f>
        <v/>
      </c>
    </row>
    <row r="62" ht="15" customHeight="1">
      <c r="A62" t="inlineStr">
        <is>
          <t>A 44773-2023</t>
        </is>
      </c>
      <c r="B62" s="1" t="n">
        <v>45190</v>
      </c>
      <c r="C62" s="1" t="n">
        <v>45722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48.5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HYPERLINK("https://klasma.github.io/Logging_2403/artfynd/A 44773-2023 artfynd.xlsx", "A 44773-2023")</f>
        <v/>
      </c>
      <c r="T62">
        <f>HYPERLINK("https://klasma.github.io/Logging_2403/kartor/A 44773-2023 karta.png", "A 44773-2023")</f>
        <v/>
      </c>
      <c r="V62">
        <f>HYPERLINK("https://klasma.github.io/Logging_2403/klagomål/A 44773-2023 FSC-klagomål.docx", "A 44773-2023")</f>
        <v/>
      </c>
      <c r="W62">
        <f>HYPERLINK("https://klasma.github.io/Logging_2403/klagomålsmail/A 44773-2023 FSC-klagomål mail.docx", "A 44773-2023")</f>
        <v/>
      </c>
      <c r="X62">
        <f>HYPERLINK("https://klasma.github.io/Logging_2403/tillsyn/A 44773-2023 tillsynsbegäran.docx", "A 44773-2023")</f>
        <v/>
      </c>
      <c r="Y62">
        <f>HYPERLINK("https://klasma.github.io/Logging_2403/tillsynsmail/A 44773-2023 tillsynsbegäran mail.docx", "A 44773-2023")</f>
        <v/>
      </c>
    </row>
    <row r="63" ht="15" customHeight="1">
      <c r="A63" t="inlineStr">
        <is>
          <t>A 58232-2023</t>
        </is>
      </c>
      <c r="B63" s="1" t="n">
        <v>45245</v>
      </c>
      <c r="C63" s="1" t="n">
        <v>45722</v>
      </c>
      <c r="D63" t="inlineStr">
        <is>
          <t>VÄSTERBOTTENS LÄN</t>
        </is>
      </c>
      <c r="E63" t="inlineStr">
        <is>
          <t>BJURHOLM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HYPERLINK("https://klasma.github.io/Logging_2403/artfynd/A 58232-2023 artfynd.xlsx", "A 58232-2023")</f>
        <v/>
      </c>
      <c r="T63">
        <f>HYPERLINK("https://klasma.github.io/Logging_2403/kartor/A 58232-2023 karta.png", "A 58232-2023")</f>
        <v/>
      </c>
      <c r="V63">
        <f>HYPERLINK("https://klasma.github.io/Logging_2403/klagomål/A 58232-2023 FSC-klagomål.docx", "A 58232-2023")</f>
        <v/>
      </c>
      <c r="W63">
        <f>HYPERLINK("https://klasma.github.io/Logging_2403/klagomålsmail/A 58232-2023 FSC-klagomål mail.docx", "A 58232-2023")</f>
        <v/>
      </c>
      <c r="X63">
        <f>HYPERLINK("https://klasma.github.io/Logging_2403/tillsyn/A 58232-2023 tillsynsbegäran.docx", "A 58232-2023")</f>
        <v/>
      </c>
      <c r="Y63">
        <f>HYPERLINK("https://klasma.github.io/Logging_2403/tillsynsmail/A 58232-2023 tillsynsbegäran mail.docx", "A 58232-2023")</f>
        <v/>
      </c>
    </row>
    <row r="64" ht="15" customHeight="1">
      <c r="A64" t="inlineStr">
        <is>
          <t>A 57802-2023</t>
        </is>
      </c>
      <c r="B64" s="1" t="n">
        <v>45246</v>
      </c>
      <c r="C64" s="1" t="n">
        <v>45722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57802-2023 artfynd.xlsx", "A 57802-2023")</f>
        <v/>
      </c>
      <c r="T64">
        <f>HYPERLINK("https://klasma.github.io/Logging_2403/kartor/A 57802-2023 karta.png", "A 57802-2023")</f>
        <v/>
      </c>
      <c r="V64">
        <f>HYPERLINK("https://klasma.github.io/Logging_2403/klagomål/A 57802-2023 FSC-klagomål.docx", "A 57802-2023")</f>
        <v/>
      </c>
      <c r="W64">
        <f>HYPERLINK("https://klasma.github.io/Logging_2403/klagomålsmail/A 57802-2023 FSC-klagomål mail.docx", "A 57802-2023")</f>
        <v/>
      </c>
      <c r="X64">
        <f>HYPERLINK("https://klasma.github.io/Logging_2403/tillsyn/A 57802-2023 tillsynsbegäran.docx", "A 57802-2023")</f>
        <v/>
      </c>
      <c r="Y64">
        <f>HYPERLINK("https://klasma.github.io/Logging_2403/tillsynsmail/A 57802-2023 tillsynsbegäran mail.docx", "A 57802-2023")</f>
        <v/>
      </c>
    </row>
    <row r="65" ht="15" customHeight="1">
      <c r="A65" t="inlineStr">
        <is>
          <t>A 58948-2023</t>
        </is>
      </c>
      <c r="B65" s="1" t="n">
        <v>45252</v>
      </c>
      <c r="C65" s="1" t="n">
        <v>45722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58948-2023 artfynd.xlsx", "A 58948-2023")</f>
        <v/>
      </c>
      <c r="T65">
        <f>HYPERLINK("https://klasma.github.io/Logging_2403/kartor/A 58948-2023 karta.png", "A 58948-2023")</f>
        <v/>
      </c>
      <c r="V65">
        <f>HYPERLINK("https://klasma.github.io/Logging_2403/klagomål/A 58948-2023 FSC-klagomål.docx", "A 58948-2023")</f>
        <v/>
      </c>
      <c r="W65">
        <f>HYPERLINK("https://klasma.github.io/Logging_2403/klagomålsmail/A 58948-2023 FSC-klagomål mail.docx", "A 58948-2023")</f>
        <v/>
      </c>
      <c r="X65">
        <f>HYPERLINK("https://klasma.github.io/Logging_2403/tillsyn/A 58948-2023 tillsynsbegäran.docx", "A 58948-2023")</f>
        <v/>
      </c>
      <c r="Y65">
        <f>HYPERLINK("https://klasma.github.io/Logging_2403/tillsynsmail/A 58948-2023 tillsynsbegäran mail.docx", "A 58948-2023")</f>
        <v/>
      </c>
    </row>
    <row r="66" ht="15" customHeight="1">
      <c r="A66" t="inlineStr">
        <is>
          <t>A 64499-2023</t>
        </is>
      </c>
      <c r="B66" s="1" t="n">
        <v>45280</v>
      </c>
      <c r="C66" s="1" t="n">
        <v>45722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HYPERLINK("https://klasma.github.io/Logging_2403/artfynd/A 64499-2023 artfynd.xlsx", "A 64499-2023")</f>
        <v/>
      </c>
      <c r="T66">
        <f>HYPERLINK("https://klasma.github.io/Logging_2403/kartor/A 64499-2023 karta.png", "A 64499-2023")</f>
        <v/>
      </c>
      <c r="V66">
        <f>HYPERLINK("https://klasma.github.io/Logging_2403/klagomål/A 64499-2023 FSC-klagomål.docx", "A 64499-2023")</f>
        <v/>
      </c>
      <c r="W66">
        <f>HYPERLINK("https://klasma.github.io/Logging_2403/klagomålsmail/A 64499-2023 FSC-klagomål mail.docx", "A 64499-2023")</f>
        <v/>
      </c>
      <c r="X66">
        <f>HYPERLINK("https://klasma.github.io/Logging_2403/tillsyn/A 64499-2023 tillsynsbegäran.docx", "A 64499-2023")</f>
        <v/>
      </c>
      <c r="Y66">
        <f>HYPERLINK("https://klasma.github.io/Logging_2403/tillsynsmail/A 64499-2023 tillsynsbegäran mail.docx", "A 64499-2023")</f>
        <v/>
      </c>
    </row>
    <row r="67" ht="15" customHeight="1">
      <c r="A67" t="inlineStr">
        <is>
          <t>A 9119-2024</t>
        </is>
      </c>
      <c r="B67" s="1" t="n">
        <v>45358</v>
      </c>
      <c r="C67" s="1" t="n">
        <v>45722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9119-2024 artfynd.xlsx", "A 9119-2024")</f>
        <v/>
      </c>
      <c r="T67">
        <f>HYPERLINK("https://klasma.github.io/Logging_2403/kartor/A 9119-2024 karta.png", "A 9119-2024")</f>
        <v/>
      </c>
      <c r="V67">
        <f>HYPERLINK("https://klasma.github.io/Logging_2403/klagomål/A 9119-2024 FSC-klagomål.docx", "A 9119-2024")</f>
        <v/>
      </c>
      <c r="W67">
        <f>HYPERLINK("https://klasma.github.io/Logging_2403/klagomålsmail/A 9119-2024 FSC-klagomål mail.docx", "A 9119-2024")</f>
        <v/>
      </c>
      <c r="X67">
        <f>HYPERLINK("https://klasma.github.io/Logging_2403/tillsyn/A 9119-2024 tillsynsbegäran.docx", "A 9119-2024")</f>
        <v/>
      </c>
      <c r="Y67">
        <f>HYPERLINK("https://klasma.github.io/Logging_2403/tillsynsmail/A 9119-2024 tillsynsbegäran mail.docx", "A 9119-2024")</f>
        <v/>
      </c>
    </row>
    <row r="68" ht="15" customHeight="1">
      <c r="A68" t="inlineStr">
        <is>
          <t>A 15699-2024</t>
        </is>
      </c>
      <c r="B68" s="1" t="n">
        <v>45404</v>
      </c>
      <c r="C68" s="1" t="n">
        <v>45722</v>
      </c>
      <c r="D68" t="inlineStr">
        <is>
          <t>VÄSTERBOTTENS LÄN</t>
        </is>
      </c>
      <c r="E68" t="inlineStr">
        <is>
          <t>BJURHOLM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HYPERLINK("https://klasma.github.io/Logging_2403/artfynd/A 15699-2024 artfynd.xlsx", "A 15699-2024")</f>
        <v/>
      </c>
      <c r="T68">
        <f>HYPERLINK("https://klasma.github.io/Logging_2403/kartor/A 15699-2024 karta.png", "A 15699-2024")</f>
        <v/>
      </c>
      <c r="V68">
        <f>HYPERLINK("https://klasma.github.io/Logging_2403/klagomål/A 15699-2024 FSC-klagomål.docx", "A 15699-2024")</f>
        <v/>
      </c>
      <c r="W68">
        <f>HYPERLINK("https://klasma.github.io/Logging_2403/klagomålsmail/A 15699-2024 FSC-klagomål mail.docx", "A 15699-2024")</f>
        <v/>
      </c>
      <c r="X68">
        <f>HYPERLINK("https://klasma.github.io/Logging_2403/tillsyn/A 15699-2024 tillsynsbegäran.docx", "A 15699-2024")</f>
        <v/>
      </c>
      <c r="Y68">
        <f>HYPERLINK("https://klasma.github.io/Logging_2403/tillsynsmail/A 15699-2024 tillsynsbegäran mail.docx", "A 15699-2024")</f>
        <v/>
      </c>
    </row>
    <row r="69" ht="15" customHeight="1">
      <c r="A69" t="inlineStr">
        <is>
          <t>A 21386-2024</t>
        </is>
      </c>
      <c r="B69" s="1" t="n">
        <v>45440</v>
      </c>
      <c r="C69" s="1" t="n">
        <v>45722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21386-2024 artfynd.xlsx", "A 21386-2024")</f>
        <v/>
      </c>
      <c r="T69">
        <f>HYPERLINK("https://klasma.github.io/Logging_2403/kartor/A 21386-2024 karta.png", "A 21386-2024")</f>
        <v/>
      </c>
      <c r="V69">
        <f>HYPERLINK("https://klasma.github.io/Logging_2403/klagomål/A 21386-2024 FSC-klagomål.docx", "A 21386-2024")</f>
        <v/>
      </c>
      <c r="W69">
        <f>HYPERLINK("https://klasma.github.io/Logging_2403/klagomålsmail/A 21386-2024 FSC-klagomål mail.docx", "A 21386-2024")</f>
        <v/>
      </c>
      <c r="X69">
        <f>HYPERLINK("https://klasma.github.io/Logging_2403/tillsyn/A 21386-2024 tillsynsbegäran.docx", "A 21386-2024")</f>
        <v/>
      </c>
      <c r="Y69">
        <f>HYPERLINK("https://klasma.github.io/Logging_2403/tillsynsmail/A 21386-2024 tillsynsbegäran mail.docx", "A 21386-2024")</f>
        <v/>
      </c>
    </row>
    <row r="70" ht="15" customHeight="1">
      <c r="A70" t="inlineStr">
        <is>
          <t>A 27300-2024</t>
        </is>
      </c>
      <c r="B70" s="1" t="n">
        <v>45472</v>
      </c>
      <c r="C70" s="1" t="n">
        <v>45722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27300-2024 artfynd.xlsx", "A 27300-2024")</f>
        <v/>
      </c>
      <c r="T70">
        <f>HYPERLINK("https://klasma.github.io/Logging_2403/kartor/A 27300-2024 karta.png", "A 27300-2024")</f>
        <v/>
      </c>
      <c r="V70">
        <f>HYPERLINK("https://klasma.github.io/Logging_2403/klagomål/A 27300-2024 FSC-klagomål.docx", "A 27300-2024")</f>
        <v/>
      </c>
      <c r="W70">
        <f>HYPERLINK("https://klasma.github.io/Logging_2403/klagomålsmail/A 27300-2024 FSC-klagomål mail.docx", "A 27300-2024")</f>
        <v/>
      </c>
      <c r="X70">
        <f>HYPERLINK("https://klasma.github.io/Logging_2403/tillsyn/A 27300-2024 tillsynsbegäran.docx", "A 27300-2024")</f>
        <v/>
      </c>
      <c r="Y70">
        <f>HYPERLINK("https://klasma.github.io/Logging_2403/tillsynsmail/A 27300-2024 tillsynsbegäran mail.docx", "A 27300-2024")</f>
        <v/>
      </c>
    </row>
    <row r="71" ht="15" customHeight="1">
      <c r="A71" t="inlineStr">
        <is>
          <t>A 32506-2024</t>
        </is>
      </c>
      <c r="B71" s="1" t="n">
        <v>45513</v>
      </c>
      <c r="C71" s="1" t="n">
        <v>45722</v>
      </c>
      <c r="D71" t="inlineStr">
        <is>
          <t>VÄSTERBOTTENS LÄN</t>
        </is>
      </c>
      <c r="E71" t="inlineStr">
        <is>
          <t>BJURHOLM</t>
        </is>
      </c>
      <c r="G71" t="n">
        <v>3.5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HYPERLINK("https://klasma.github.io/Logging_2403/artfynd/A 32506-2024 artfynd.xlsx", "A 32506-2024")</f>
        <v/>
      </c>
      <c r="T71">
        <f>HYPERLINK("https://klasma.github.io/Logging_2403/kartor/A 32506-2024 karta.png", "A 32506-2024")</f>
        <v/>
      </c>
      <c r="V71">
        <f>HYPERLINK("https://klasma.github.io/Logging_2403/klagomål/A 32506-2024 FSC-klagomål.docx", "A 32506-2024")</f>
        <v/>
      </c>
      <c r="W71">
        <f>HYPERLINK("https://klasma.github.io/Logging_2403/klagomålsmail/A 32506-2024 FSC-klagomål mail.docx", "A 32506-2024")</f>
        <v/>
      </c>
      <c r="X71">
        <f>HYPERLINK("https://klasma.github.io/Logging_2403/tillsyn/A 32506-2024 tillsynsbegäran.docx", "A 32506-2024")</f>
        <v/>
      </c>
      <c r="Y71">
        <f>HYPERLINK("https://klasma.github.io/Logging_2403/tillsynsmail/A 32506-2024 tillsynsbegäran mail.docx", "A 32506-2024")</f>
        <v/>
      </c>
      <c r="Z71">
        <f>HYPERLINK("https://klasma.github.io/Logging_2403/fåglar/A 32506-2024 prioriterade fågelarter.docx", "A 32506-2024")</f>
        <v/>
      </c>
    </row>
    <row r="72" ht="15" customHeight="1">
      <c r="A72" t="inlineStr">
        <is>
          <t>A 33362-2024</t>
        </is>
      </c>
      <c r="B72" s="1" t="n">
        <v>45519</v>
      </c>
      <c r="C72" s="1" t="n">
        <v>45722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33362-2024 artfynd.xlsx", "A 33362-2024")</f>
        <v/>
      </c>
      <c r="T72">
        <f>HYPERLINK("https://klasma.github.io/Logging_2403/kartor/A 33362-2024 karta.png", "A 33362-2024")</f>
        <v/>
      </c>
      <c r="V72">
        <f>HYPERLINK("https://klasma.github.io/Logging_2403/klagomål/A 33362-2024 FSC-klagomål.docx", "A 33362-2024")</f>
        <v/>
      </c>
      <c r="W72">
        <f>HYPERLINK("https://klasma.github.io/Logging_2403/klagomålsmail/A 33362-2024 FSC-klagomål mail.docx", "A 33362-2024")</f>
        <v/>
      </c>
      <c r="X72">
        <f>HYPERLINK("https://klasma.github.io/Logging_2403/tillsyn/A 33362-2024 tillsynsbegäran.docx", "A 33362-2024")</f>
        <v/>
      </c>
      <c r="Y72">
        <f>HYPERLINK("https://klasma.github.io/Logging_2403/tillsynsmail/A 33362-2024 tillsynsbegäran mail.docx", "A 33362-2024")</f>
        <v/>
      </c>
    </row>
    <row r="73" ht="15" customHeight="1">
      <c r="A73" t="inlineStr">
        <is>
          <t>A 33355-2024</t>
        </is>
      </c>
      <c r="B73" s="1" t="n">
        <v>45519</v>
      </c>
      <c r="C73" s="1" t="n">
        <v>45722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33355-2024 artfynd.xlsx", "A 33355-2024")</f>
        <v/>
      </c>
      <c r="T73">
        <f>HYPERLINK("https://klasma.github.io/Logging_2403/kartor/A 33355-2024 karta.png", "A 33355-2024")</f>
        <v/>
      </c>
      <c r="V73">
        <f>HYPERLINK("https://klasma.github.io/Logging_2403/klagomål/A 33355-2024 FSC-klagomål.docx", "A 33355-2024")</f>
        <v/>
      </c>
      <c r="W73">
        <f>HYPERLINK("https://klasma.github.io/Logging_2403/klagomålsmail/A 33355-2024 FSC-klagomål mail.docx", "A 33355-2024")</f>
        <v/>
      </c>
      <c r="X73">
        <f>HYPERLINK("https://klasma.github.io/Logging_2403/tillsyn/A 33355-2024 tillsynsbegäran.docx", "A 33355-2024")</f>
        <v/>
      </c>
      <c r="Y73">
        <f>HYPERLINK("https://klasma.github.io/Logging_2403/tillsynsmail/A 33355-2024 tillsynsbegäran mail.docx", "A 33355-2024")</f>
        <v/>
      </c>
    </row>
    <row r="74" ht="15" customHeight="1">
      <c r="A74" t="inlineStr">
        <is>
          <t>A 38457-2024</t>
        </is>
      </c>
      <c r="B74" s="1" t="n">
        <v>45546</v>
      </c>
      <c r="C74" s="1" t="n">
        <v>45722</v>
      </c>
      <c r="D74" t="inlineStr">
        <is>
          <t>VÄSTERBOTTENS LÄN</t>
        </is>
      </c>
      <c r="E74" t="inlineStr">
        <is>
          <t>BJURHOLM</t>
        </is>
      </c>
      <c r="G74" t="n">
        <v>27.1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38457-2024 artfynd.xlsx", "A 38457-2024")</f>
        <v/>
      </c>
      <c r="T74">
        <f>HYPERLINK("https://klasma.github.io/Logging_2403/kartor/A 38457-2024 karta.png", "A 38457-2024")</f>
        <v/>
      </c>
      <c r="V74">
        <f>HYPERLINK("https://klasma.github.io/Logging_2403/klagomål/A 38457-2024 FSC-klagomål.docx", "A 38457-2024")</f>
        <v/>
      </c>
      <c r="W74">
        <f>HYPERLINK("https://klasma.github.io/Logging_2403/klagomålsmail/A 38457-2024 FSC-klagomål mail.docx", "A 38457-2024")</f>
        <v/>
      </c>
      <c r="X74">
        <f>HYPERLINK("https://klasma.github.io/Logging_2403/tillsyn/A 38457-2024 tillsynsbegäran.docx", "A 38457-2024")</f>
        <v/>
      </c>
      <c r="Y74">
        <f>HYPERLINK("https://klasma.github.io/Logging_2403/tillsynsmail/A 38457-2024 tillsynsbegäran mail.docx", "A 38457-2024")</f>
        <v/>
      </c>
    </row>
    <row r="75" ht="15" customHeight="1">
      <c r="A75" t="inlineStr">
        <is>
          <t>A 57640-2024</t>
        </is>
      </c>
      <c r="B75" s="1" t="n">
        <v>45630</v>
      </c>
      <c r="C75" s="1" t="n">
        <v>45722</v>
      </c>
      <c r="D75" t="inlineStr">
        <is>
          <t>VÄSTERBOTTENS LÄN</t>
        </is>
      </c>
      <c r="E75" t="inlineStr">
        <is>
          <t>BJURHOLM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HYPERLINK("https://klasma.github.io/Logging_2403/artfynd/A 57640-2024 artfynd.xlsx", "A 57640-2024")</f>
        <v/>
      </c>
      <c r="T75">
        <f>HYPERLINK("https://klasma.github.io/Logging_2403/kartor/A 57640-2024 karta.png", "A 57640-2024")</f>
        <v/>
      </c>
      <c r="V75">
        <f>HYPERLINK("https://klasma.github.io/Logging_2403/klagomål/A 57640-2024 FSC-klagomål.docx", "A 57640-2024")</f>
        <v/>
      </c>
      <c r="W75">
        <f>HYPERLINK("https://klasma.github.io/Logging_2403/klagomålsmail/A 57640-2024 FSC-klagomål mail.docx", "A 57640-2024")</f>
        <v/>
      </c>
      <c r="X75">
        <f>HYPERLINK("https://klasma.github.io/Logging_2403/tillsyn/A 57640-2024 tillsynsbegäran.docx", "A 57640-2024")</f>
        <v/>
      </c>
      <c r="Y75">
        <f>HYPERLINK("https://klasma.github.io/Logging_2403/tillsynsmail/A 57640-2024 tillsynsbegäran mail.docx", "A 57640-2024")</f>
        <v/>
      </c>
    </row>
    <row r="76" ht="15" customHeight="1">
      <c r="A76" t="inlineStr">
        <is>
          <t>A 62046-2024</t>
        </is>
      </c>
      <c r="B76" s="1" t="n">
        <v>45656</v>
      </c>
      <c r="C76" s="1" t="n">
        <v>45722</v>
      </c>
      <c r="D76" t="inlineStr">
        <is>
          <t>VÄSTERBOTTENS LÄN</t>
        </is>
      </c>
      <c r="E76" t="inlineStr">
        <is>
          <t>BJURHOLM</t>
        </is>
      </c>
      <c r="G76" t="n">
        <v>21.9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HYPERLINK("https://klasma.github.io/Logging_2403/artfynd/A 62046-2024 artfynd.xlsx", "A 62046-2024")</f>
        <v/>
      </c>
      <c r="T76">
        <f>HYPERLINK("https://klasma.github.io/Logging_2403/kartor/A 62046-2024 karta.png", "A 62046-2024")</f>
        <v/>
      </c>
      <c r="V76">
        <f>HYPERLINK("https://klasma.github.io/Logging_2403/klagomål/A 62046-2024 FSC-klagomål.docx", "A 62046-2024")</f>
        <v/>
      </c>
      <c r="W76">
        <f>HYPERLINK("https://klasma.github.io/Logging_2403/klagomålsmail/A 62046-2024 FSC-klagomål mail.docx", "A 62046-2024")</f>
        <v/>
      </c>
      <c r="X76">
        <f>HYPERLINK("https://klasma.github.io/Logging_2403/tillsyn/A 62046-2024 tillsynsbegäran.docx", "A 62046-2024")</f>
        <v/>
      </c>
      <c r="Y76">
        <f>HYPERLINK("https://klasma.github.io/Logging_2403/tillsynsmail/A 62046-2024 tillsynsbegäran mail.docx", "A 62046-2024")</f>
        <v/>
      </c>
    </row>
    <row r="77" ht="15" customHeight="1">
      <c r="A77" t="inlineStr">
        <is>
          <t>A 94-2025</t>
        </is>
      </c>
      <c r="B77" s="1" t="n">
        <v>45659</v>
      </c>
      <c r="C77" s="1" t="n">
        <v>45722</v>
      </c>
      <c r="D77" t="inlineStr">
        <is>
          <t>VÄSTERBOTTENS LÄN</t>
        </is>
      </c>
      <c r="E77" t="inlineStr">
        <is>
          <t>BJURHOLM</t>
        </is>
      </c>
      <c r="G77" t="n">
        <v>1.5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HYPERLINK("https://klasma.github.io/Logging_2403/artfynd/A 94-2025 artfynd.xlsx", "A 94-2025")</f>
        <v/>
      </c>
      <c r="T77">
        <f>HYPERLINK("https://klasma.github.io/Logging_2403/kartor/A 94-2025 karta.png", "A 94-2025")</f>
        <v/>
      </c>
      <c r="V77">
        <f>HYPERLINK("https://klasma.github.io/Logging_2403/klagomål/A 94-2025 FSC-klagomål.docx", "A 94-2025")</f>
        <v/>
      </c>
      <c r="W77">
        <f>HYPERLINK("https://klasma.github.io/Logging_2403/klagomålsmail/A 94-2025 FSC-klagomål mail.docx", "A 94-2025")</f>
        <v/>
      </c>
      <c r="X77">
        <f>HYPERLINK("https://klasma.github.io/Logging_2403/tillsyn/A 94-2025 tillsynsbegäran.docx", "A 94-2025")</f>
        <v/>
      </c>
      <c r="Y77">
        <f>HYPERLINK("https://klasma.github.io/Logging_2403/tillsynsmail/A 94-2025 tillsynsbegäran mail.docx", "A 94-2025")</f>
        <v/>
      </c>
    </row>
    <row r="78" ht="15" customHeight="1">
      <c r="A78" t="inlineStr">
        <is>
          <t>A 17898-2019</t>
        </is>
      </c>
      <c r="B78" s="1" t="n">
        <v>43557</v>
      </c>
      <c r="C78" s="1" t="n">
        <v>45722</v>
      </c>
      <c r="D78" t="inlineStr">
        <is>
          <t>VÄSTERBOTTENS LÄN</t>
        </is>
      </c>
      <c r="E78" t="inlineStr">
        <is>
          <t>BJURHOLM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17891-2019</t>
        </is>
      </c>
      <c r="B79" s="1" t="n">
        <v>43557</v>
      </c>
      <c r="C79" s="1" t="n">
        <v>45722</v>
      </c>
      <c r="D79" t="inlineStr">
        <is>
          <t>VÄSTERBOTTENS LÄN</t>
        </is>
      </c>
      <c r="E79" t="inlineStr">
        <is>
          <t>BJURHOLM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20103-2019</t>
        </is>
      </c>
      <c r="B80" s="1" t="n">
        <v>43570</v>
      </c>
      <c r="C80" s="1" t="n">
        <v>45722</v>
      </c>
      <c r="D80" t="inlineStr">
        <is>
          <t>VÄSTERBOTTENS LÄN</t>
        </is>
      </c>
      <c r="E80" t="inlineStr">
        <is>
          <t>BJURHOLM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20842-2019</t>
        </is>
      </c>
      <c r="B81" s="1" t="n">
        <v>43577</v>
      </c>
      <c r="C81" s="1" t="n">
        <v>45722</v>
      </c>
      <c r="D81" t="inlineStr">
        <is>
          <t>VÄSTERBOTTENS LÄN</t>
        </is>
      </c>
      <c r="E81" t="inlineStr">
        <is>
          <t>BJURHOLM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21104-2019</t>
        </is>
      </c>
      <c r="B82" s="1" t="n">
        <v>43578</v>
      </c>
      <c r="C82" s="1" t="n">
        <v>45722</v>
      </c>
      <c r="D82" t="inlineStr">
        <is>
          <t>VÄSTERBOTTENS LÄN</t>
        </is>
      </c>
      <c r="E82" t="inlineStr">
        <is>
          <t>BJURHOLM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21325-2019</t>
        </is>
      </c>
      <c r="B83" s="1" t="n">
        <v>43579</v>
      </c>
      <c r="C83" s="1" t="n">
        <v>45722</v>
      </c>
      <c r="D83" t="inlineStr">
        <is>
          <t>VÄSTERBOTTENS LÄN</t>
        </is>
      </c>
      <c r="E83" t="inlineStr">
        <is>
          <t>BJURHOLM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22370-2019</t>
        </is>
      </c>
      <c r="B84" s="1" t="n">
        <v>43585</v>
      </c>
      <c r="C84" s="1" t="n">
        <v>45722</v>
      </c>
      <c r="D84" t="inlineStr">
        <is>
          <t>VÄSTERBOTTENS LÄN</t>
        </is>
      </c>
      <c r="E84" t="inlineStr">
        <is>
          <t>BJURHOLM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24259-2019</t>
        </is>
      </c>
      <c r="B85" s="1" t="n">
        <v>43597</v>
      </c>
      <c r="C85" s="1" t="n">
        <v>45722</v>
      </c>
      <c r="D85" t="inlineStr">
        <is>
          <t>VÄSTERBOTTENS LÄN</t>
        </is>
      </c>
      <c r="E85" t="inlineStr">
        <is>
          <t>BJURHOLM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25935-2019</t>
        </is>
      </c>
      <c r="B86" s="1" t="n">
        <v>43608</v>
      </c>
      <c r="C86" s="1" t="n">
        <v>45722</v>
      </c>
      <c r="D86" t="inlineStr">
        <is>
          <t>VÄSTERBOTTENS LÄN</t>
        </is>
      </c>
      <c r="E86" t="inlineStr">
        <is>
          <t>BJURHOLM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28945-2019</t>
        </is>
      </c>
      <c r="B87" s="1" t="n">
        <v>43619</v>
      </c>
      <c r="C87" s="1" t="n">
        <v>45722</v>
      </c>
      <c r="D87" t="inlineStr">
        <is>
          <t>VÄSTERBOTTENS LÄN</t>
        </is>
      </c>
      <c r="E87" t="inlineStr">
        <is>
          <t>BJURHOLM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28946-2019</t>
        </is>
      </c>
      <c r="B88" s="1" t="n">
        <v>43619</v>
      </c>
      <c r="C88" s="1" t="n">
        <v>45722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28941-2019</t>
        </is>
      </c>
      <c r="B89" s="1" t="n">
        <v>43619</v>
      </c>
      <c r="C89" s="1" t="n">
        <v>45722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29348-2019</t>
        </is>
      </c>
      <c r="B90" s="1" t="n">
        <v>43626</v>
      </c>
      <c r="C90" s="1" t="n">
        <v>45722</v>
      </c>
      <c r="D90" t="inlineStr">
        <is>
          <t>VÄSTERBOTTENS LÄN</t>
        </is>
      </c>
      <c r="E90" t="inlineStr">
        <is>
          <t>BJURHOLM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29657-2019</t>
        </is>
      </c>
      <c r="B91" s="1" t="n">
        <v>43628</v>
      </c>
      <c r="C91" s="1" t="n">
        <v>45722</v>
      </c>
      <c r="D91" t="inlineStr">
        <is>
          <t>VÄSTERBOTTENS LÄN</t>
        </is>
      </c>
      <c r="E91" t="inlineStr">
        <is>
          <t>BJURHOLM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30354-2019</t>
        </is>
      </c>
      <c r="B92" s="1" t="n">
        <v>43634</v>
      </c>
      <c r="C92" s="1" t="n">
        <v>45722</v>
      </c>
      <c r="D92" t="inlineStr">
        <is>
          <t>VÄSTERBOTTENS LÄN</t>
        </is>
      </c>
      <c r="E92" t="inlineStr">
        <is>
          <t>BJURHOLM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30882-2019</t>
        </is>
      </c>
      <c r="B93" s="1" t="n">
        <v>43636</v>
      </c>
      <c r="C93" s="1" t="n">
        <v>45722</v>
      </c>
      <c r="D93" t="inlineStr">
        <is>
          <t>VÄSTERBOTTENS LÄN</t>
        </is>
      </c>
      <c r="E93" t="inlineStr">
        <is>
          <t>BJURHOLM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38007-2019</t>
        </is>
      </c>
      <c r="B94" s="1" t="n">
        <v>43683</v>
      </c>
      <c r="C94" s="1" t="n">
        <v>45722</v>
      </c>
      <c r="D94" t="inlineStr">
        <is>
          <t>VÄSTERBOTTENS LÄN</t>
        </is>
      </c>
      <c r="E94" t="inlineStr">
        <is>
          <t>BJURHOLM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38011-2019</t>
        </is>
      </c>
      <c r="B95" s="1" t="n">
        <v>43683</v>
      </c>
      <c r="C95" s="1" t="n">
        <v>45722</v>
      </c>
      <c r="D95" t="inlineStr">
        <is>
          <t>VÄSTERBOTTENS LÄN</t>
        </is>
      </c>
      <c r="E95" t="inlineStr">
        <is>
          <t>BJURHOLM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38018-2019</t>
        </is>
      </c>
      <c r="B96" s="1" t="n">
        <v>43683</v>
      </c>
      <c r="C96" s="1" t="n">
        <v>45722</v>
      </c>
      <c r="D96" t="inlineStr">
        <is>
          <t>VÄSTERBOTTENS LÄN</t>
        </is>
      </c>
      <c r="E96" t="inlineStr">
        <is>
          <t>BJURHOLM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38022-2019</t>
        </is>
      </c>
      <c r="B97" s="1" t="n">
        <v>43683</v>
      </c>
      <c r="C97" s="1" t="n">
        <v>45722</v>
      </c>
      <c r="D97" t="inlineStr">
        <is>
          <t>VÄSTERBOTTENS LÄN</t>
        </is>
      </c>
      <c r="E97" t="inlineStr">
        <is>
          <t>BJURHOLM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40932-2019</t>
        </is>
      </c>
      <c r="B98" s="1" t="n">
        <v>43693</v>
      </c>
      <c r="C98" s="1" t="n">
        <v>45722</v>
      </c>
      <c r="D98" t="inlineStr">
        <is>
          <t>VÄSTERBOTTENS LÄN</t>
        </is>
      </c>
      <c r="E98" t="inlineStr">
        <is>
          <t>BJURHOLM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41080-2019</t>
        </is>
      </c>
      <c r="B99" s="1" t="n">
        <v>43698</v>
      </c>
      <c r="C99" s="1" t="n">
        <v>45722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41287-2019</t>
        </is>
      </c>
      <c r="B100" s="1" t="n">
        <v>43698</v>
      </c>
      <c r="C100" s="1" t="n">
        <v>45722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42482-2019</t>
        </is>
      </c>
      <c r="B101" s="1" t="n">
        <v>43703</v>
      </c>
      <c r="C101" s="1" t="n">
        <v>45722</v>
      </c>
      <c r="D101" t="inlineStr">
        <is>
          <t>VÄSTERBOTTENS LÄN</t>
        </is>
      </c>
      <c r="E101" t="inlineStr">
        <is>
          <t>BJURHOLM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45134-2019</t>
        </is>
      </c>
      <c r="B102" s="1" t="n">
        <v>43713</v>
      </c>
      <c r="C102" s="1" t="n">
        <v>45722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Holmen skog AB</t>
        </is>
      </c>
      <c r="G102" t="n">
        <v>11.9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48427-2019</t>
        </is>
      </c>
      <c r="B103" s="1" t="n">
        <v>43727</v>
      </c>
      <c r="C103" s="1" t="n">
        <v>45722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48513-2019</t>
        </is>
      </c>
      <c r="B104" s="1" t="n">
        <v>43727</v>
      </c>
      <c r="C104" s="1" t="n">
        <v>45722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48853-2019</t>
        </is>
      </c>
      <c r="B105" s="1" t="n">
        <v>43728</v>
      </c>
      <c r="C105" s="1" t="n">
        <v>45722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Sveaskog</t>
        </is>
      </c>
      <c r="G105" t="n">
        <v>32.9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50124-2019</t>
        </is>
      </c>
      <c r="B106" s="1" t="n">
        <v>43734</v>
      </c>
      <c r="C106" s="1" t="n">
        <v>45722</v>
      </c>
      <c r="D106" t="inlineStr">
        <is>
          <t>VÄSTERBOTTENS LÄN</t>
        </is>
      </c>
      <c r="E106" t="inlineStr">
        <is>
          <t>BJURHOLM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53154-2019</t>
        </is>
      </c>
      <c r="B107" s="1" t="n">
        <v>43747</v>
      </c>
      <c r="C107" s="1" t="n">
        <v>45722</v>
      </c>
      <c r="D107" t="inlineStr">
        <is>
          <t>VÄSTERBOTTENS LÄN</t>
        </is>
      </c>
      <c r="E107" t="inlineStr">
        <is>
          <t>BJURHOLM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53378-2019</t>
        </is>
      </c>
      <c r="B108" s="1" t="n">
        <v>43748</v>
      </c>
      <c r="C108" s="1" t="n">
        <v>45722</v>
      </c>
      <c r="D108" t="inlineStr">
        <is>
          <t>VÄSTERBOTTENS LÄN</t>
        </is>
      </c>
      <c r="E108" t="inlineStr">
        <is>
          <t>BJURHOLM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53828-2019</t>
        </is>
      </c>
      <c r="B109" s="1" t="n">
        <v>43752</v>
      </c>
      <c r="C109" s="1" t="n">
        <v>45722</v>
      </c>
      <c r="D109" t="inlineStr">
        <is>
          <t>VÄSTERBOTTENS LÄN</t>
        </is>
      </c>
      <c r="E109" t="inlineStr">
        <is>
          <t>BJURHOLM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60023-2019</t>
        </is>
      </c>
      <c r="B110" s="1" t="n">
        <v>43777</v>
      </c>
      <c r="C110" s="1" t="n">
        <v>45722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61413-2019</t>
        </is>
      </c>
      <c r="B111" s="1" t="n">
        <v>43780</v>
      </c>
      <c r="C111" s="1" t="n">
        <v>45722</v>
      </c>
      <c r="D111" t="inlineStr">
        <is>
          <t>VÄSTERBOTTENS LÄN</t>
        </is>
      </c>
      <c r="E111" t="inlineStr">
        <is>
          <t>BJURHOLM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62097-2019</t>
        </is>
      </c>
      <c r="B112" s="1" t="n">
        <v>43787</v>
      </c>
      <c r="C112" s="1" t="n">
        <v>45722</v>
      </c>
      <c r="D112" t="inlineStr">
        <is>
          <t>VÄSTERBOTTENS LÄN</t>
        </is>
      </c>
      <c r="E112" t="inlineStr">
        <is>
          <t>BJURHOLM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64146-2019</t>
        </is>
      </c>
      <c r="B113" s="1" t="n">
        <v>43796</v>
      </c>
      <c r="C113" s="1" t="n">
        <v>45722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64156-2019</t>
        </is>
      </c>
      <c r="B114" s="1" t="n">
        <v>43796</v>
      </c>
      <c r="C114" s="1" t="n">
        <v>45722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64930-2019</t>
        </is>
      </c>
      <c r="B115" s="1" t="n">
        <v>43801</v>
      </c>
      <c r="C115" s="1" t="n">
        <v>45722</v>
      </c>
      <c r="D115" t="inlineStr">
        <is>
          <t>VÄSTERBOTTENS LÄN</t>
        </is>
      </c>
      <c r="E115" t="inlineStr">
        <is>
          <t>BJURHOLM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67964-2019</t>
        </is>
      </c>
      <c r="B116" s="1" t="n">
        <v>43811</v>
      </c>
      <c r="C116" s="1" t="n">
        <v>45722</v>
      </c>
      <c r="D116" t="inlineStr">
        <is>
          <t>VÄSTERBOTTENS LÄN</t>
        </is>
      </c>
      <c r="E116" t="inlineStr">
        <is>
          <t>BJURHOLM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830-2020</t>
        </is>
      </c>
      <c r="B117" s="1" t="n">
        <v>43839</v>
      </c>
      <c r="C117" s="1" t="n">
        <v>45722</v>
      </c>
      <c r="D117" t="inlineStr">
        <is>
          <t>VÄSTERBOTTENS LÄN</t>
        </is>
      </c>
      <c r="E117" t="inlineStr">
        <is>
          <t>BJURHOLM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3076-2020</t>
        </is>
      </c>
      <c r="B118" s="1" t="n">
        <v>43851</v>
      </c>
      <c r="C118" s="1" t="n">
        <v>45722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3924-2020</t>
        </is>
      </c>
      <c r="B119" s="1" t="n">
        <v>43854</v>
      </c>
      <c r="C119" s="1" t="n">
        <v>45722</v>
      </c>
      <c r="D119" t="inlineStr">
        <is>
          <t>VÄSTERBOTTENS LÄN</t>
        </is>
      </c>
      <c r="E119" t="inlineStr">
        <is>
          <t>BJURHOLM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8128-2020</t>
        </is>
      </c>
      <c r="B120" s="1" t="n">
        <v>43873</v>
      </c>
      <c r="C120" s="1" t="n">
        <v>45722</v>
      </c>
      <c r="D120" t="inlineStr">
        <is>
          <t>VÄSTERBOTTENS LÄN</t>
        </is>
      </c>
      <c r="E120" t="inlineStr">
        <is>
          <t>BJURHOLM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8867-2020</t>
        </is>
      </c>
      <c r="B121" s="1" t="n">
        <v>43878</v>
      </c>
      <c r="C121" s="1" t="n">
        <v>45722</v>
      </c>
      <c r="D121" t="inlineStr">
        <is>
          <t>VÄSTERBOTTENS LÄN</t>
        </is>
      </c>
      <c r="E121" t="inlineStr">
        <is>
          <t>BJURHOLM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9266-2020</t>
        </is>
      </c>
      <c r="B122" s="1" t="n">
        <v>43879</v>
      </c>
      <c r="C122" s="1" t="n">
        <v>45722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9265-2020</t>
        </is>
      </c>
      <c r="B123" s="1" t="n">
        <v>43879</v>
      </c>
      <c r="C123" s="1" t="n">
        <v>45722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10388-2020</t>
        </is>
      </c>
      <c r="B124" s="1" t="n">
        <v>43885</v>
      </c>
      <c r="C124" s="1" t="n">
        <v>45722</v>
      </c>
      <c r="D124" t="inlineStr">
        <is>
          <t>VÄSTERBOTTENS LÄN</t>
        </is>
      </c>
      <c r="E124" t="inlineStr">
        <is>
          <t>BJURHOLM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13110-2020</t>
        </is>
      </c>
      <c r="B125" s="1" t="n">
        <v>43901</v>
      </c>
      <c r="C125" s="1" t="n">
        <v>45722</v>
      </c>
      <c r="D125" t="inlineStr">
        <is>
          <t>VÄSTERBOTTENS LÄN</t>
        </is>
      </c>
      <c r="E125" t="inlineStr">
        <is>
          <t>BJURHOLM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14672-2020</t>
        </is>
      </c>
      <c r="B126" s="1" t="n">
        <v>43909</v>
      </c>
      <c r="C126" s="1" t="n">
        <v>45722</v>
      </c>
      <c r="D126" t="inlineStr">
        <is>
          <t>VÄSTERBOTTENS LÄN</t>
        </is>
      </c>
      <c r="E126" t="inlineStr">
        <is>
          <t>BJURHOLM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16193-2020</t>
        </is>
      </c>
      <c r="B127" s="1" t="n">
        <v>43917</v>
      </c>
      <c r="C127" s="1" t="n">
        <v>45722</v>
      </c>
      <c r="D127" t="inlineStr">
        <is>
          <t>VÄSTERBOTTENS LÄN</t>
        </is>
      </c>
      <c r="E127" t="inlineStr">
        <is>
          <t>BJURHOLM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16811-2020</t>
        </is>
      </c>
      <c r="B128" s="1" t="n">
        <v>43920</v>
      </c>
      <c r="C128" s="1" t="n">
        <v>45722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18647-2020</t>
        </is>
      </c>
      <c r="B129" s="1" t="n">
        <v>43929</v>
      </c>
      <c r="C129" s="1" t="n">
        <v>45722</v>
      </c>
      <c r="D129" t="inlineStr">
        <is>
          <t>VÄSTERBOTTENS LÄN</t>
        </is>
      </c>
      <c r="E129" t="inlineStr">
        <is>
          <t>BJURHOLM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19652-2020</t>
        </is>
      </c>
      <c r="B130" s="1" t="n">
        <v>43937</v>
      </c>
      <c r="C130" s="1" t="n">
        <v>45722</v>
      </c>
      <c r="D130" t="inlineStr">
        <is>
          <t>VÄSTERBOTTENS LÄN</t>
        </is>
      </c>
      <c r="E130" t="inlineStr">
        <is>
          <t>BJURHOLM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20403-2020</t>
        </is>
      </c>
      <c r="B131" s="1" t="n">
        <v>43945</v>
      </c>
      <c r="C131" s="1" t="n">
        <v>45722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Holmen skog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20851-2020</t>
        </is>
      </c>
      <c r="B132" s="1" t="n">
        <v>43948</v>
      </c>
      <c r="C132" s="1" t="n">
        <v>45722</v>
      </c>
      <c r="D132" t="inlineStr">
        <is>
          <t>VÄSTERBOTTENS LÄN</t>
        </is>
      </c>
      <c r="E132" t="inlineStr">
        <is>
          <t>BJURHOLM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25244-2020</t>
        </is>
      </c>
      <c r="B133" s="1" t="n">
        <v>43980</v>
      </c>
      <c r="C133" s="1" t="n">
        <v>45722</v>
      </c>
      <c r="D133" t="inlineStr">
        <is>
          <t>VÄSTERBOTTENS LÄN</t>
        </is>
      </c>
      <c r="E133" t="inlineStr">
        <is>
          <t>BJURHOLM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25883-2020</t>
        </is>
      </c>
      <c r="B134" s="1" t="n">
        <v>43984</v>
      </c>
      <c r="C134" s="1" t="n">
        <v>45722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26566-2020</t>
        </is>
      </c>
      <c r="B135" s="1" t="n">
        <v>43987</v>
      </c>
      <c r="C135" s="1" t="n">
        <v>45722</v>
      </c>
      <c r="D135" t="inlineStr">
        <is>
          <t>VÄSTERBOTTENS LÄN</t>
        </is>
      </c>
      <c r="E135" t="inlineStr">
        <is>
          <t>BJURHOLM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26758-2020</t>
        </is>
      </c>
      <c r="B136" s="1" t="n">
        <v>43990</v>
      </c>
      <c r="C136" s="1" t="n">
        <v>45722</v>
      </c>
      <c r="D136" t="inlineStr">
        <is>
          <t>VÄSTERBOTTENS LÄN</t>
        </is>
      </c>
      <c r="E136" t="inlineStr">
        <is>
          <t>BJURHOLM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27824-2020</t>
        </is>
      </c>
      <c r="B137" s="1" t="n">
        <v>43994</v>
      </c>
      <c r="C137" s="1" t="n">
        <v>45722</v>
      </c>
      <c r="D137" t="inlineStr">
        <is>
          <t>VÄSTERBOTTENS LÄN</t>
        </is>
      </c>
      <c r="E137" t="inlineStr">
        <is>
          <t>BJURHOLM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29132-2020</t>
        </is>
      </c>
      <c r="B138" s="1" t="n">
        <v>44004</v>
      </c>
      <c r="C138" s="1" t="n">
        <v>45722</v>
      </c>
      <c r="D138" t="inlineStr">
        <is>
          <t>VÄSTERBOTTENS LÄN</t>
        </is>
      </c>
      <c r="E138" t="inlineStr">
        <is>
          <t>BJURHOLM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29817-2020</t>
        </is>
      </c>
      <c r="B139" s="1" t="n">
        <v>44005</v>
      </c>
      <c r="C139" s="1" t="n">
        <v>45722</v>
      </c>
      <c r="D139" t="inlineStr">
        <is>
          <t>VÄSTERBOTTENS LÄN</t>
        </is>
      </c>
      <c r="E139" t="inlineStr">
        <is>
          <t>BJURHOLM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29846-2020</t>
        </is>
      </c>
      <c r="B140" s="1" t="n">
        <v>44006</v>
      </c>
      <c r="C140" s="1" t="n">
        <v>45722</v>
      </c>
      <c r="D140" t="inlineStr">
        <is>
          <t>VÄSTERBOTTENS LÄN</t>
        </is>
      </c>
      <c r="E140" t="inlineStr">
        <is>
          <t>BJURHOLM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30418-2020</t>
        </is>
      </c>
      <c r="B141" s="1" t="n">
        <v>44007</v>
      </c>
      <c r="C141" s="1" t="n">
        <v>45722</v>
      </c>
      <c r="D141" t="inlineStr">
        <is>
          <t>VÄSTERBOTTENS LÄN</t>
        </is>
      </c>
      <c r="E141" t="inlineStr">
        <is>
          <t>BJURHOLM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30251-2020</t>
        </is>
      </c>
      <c r="B142" s="1" t="n">
        <v>44007</v>
      </c>
      <c r="C142" s="1" t="n">
        <v>45722</v>
      </c>
      <c r="D142" t="inlineStr">
        <is>
          <t>VÄSTERBOTTENS LÄN</t>
        </is>
      </c>
      <c r="E142" t="inlineStr">
        <is>
          <t>BJURHOLM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45722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45722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45722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45722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45722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45722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45722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45722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45722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45722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45722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45722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45722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45722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45722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45722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45722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45722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45722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45722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45722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45722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45722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45722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45722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45722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45722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45722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45722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45722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45722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45722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45722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45722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45722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45722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45722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45722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45722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45722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45722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45722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45722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45722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45722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45722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45722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45722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45722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45722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45722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45722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45722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45722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45722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45722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45722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45722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45722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45722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45722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45722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45722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45722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45722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45722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45722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45722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45722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45722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45722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45722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45722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45722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45722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45722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45722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45722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45722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45722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45722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45722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45722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45722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45722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45722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45722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45722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45722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45722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45722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45722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45722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45722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45722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45722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45722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45722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45722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45722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45722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45722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45722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45722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45722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45722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45722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45722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45722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45722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45722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45722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45722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45722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45722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45722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45722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45722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45722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45722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45722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45722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45722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45722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45722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45722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45722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45722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45722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45722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45722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45722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45722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45722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45722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45722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45722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45722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45722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45722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45722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45722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45722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45722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45722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45722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45722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45722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45722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45722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45722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45722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45722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45722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45722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45722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45722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45722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45722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45722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45722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45722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45722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45722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45722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45722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45722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45722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45722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45722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45722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45722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45722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45722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45722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45722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45722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45722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45722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45722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45722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45722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45722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45722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45722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45722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45722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45722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45722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45722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45722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45722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45722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45722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45722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45722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45722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45722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45722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45722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45722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45722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45722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45722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45722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45722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45722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45722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45722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45722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45722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45722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45722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45722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45722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45722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45722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45722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45722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45722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45722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45722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45722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45722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45722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45722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45722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45722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45722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45722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45722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45722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45722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45722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45722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45722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45722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45722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45722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45722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45722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45722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45722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45722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45722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45722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45722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45722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45722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45722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45722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45722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45722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45722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45722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45722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45722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45722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45722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45722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45722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45722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45722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45722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45722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45722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45722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45722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45722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45722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45722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45722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45722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45722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45722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45722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45722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45722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45722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45722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45722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45722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45722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45722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45722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45722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45722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45722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45722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45722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45722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45722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45722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45722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45722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45722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45722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45722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45722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45722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45722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45722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45722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45722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45722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45722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45722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45722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45722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45722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45722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45722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45722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45722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45722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45722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45722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45722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45722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45722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45722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45722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45722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45722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45722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45722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45722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45722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45722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45722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45722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45722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45722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45722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45722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45722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45722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45722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45722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45722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45722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45722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45722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45722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45722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45722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45722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45722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45722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45722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45722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45722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45722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45722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45722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45722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45722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45722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45722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45722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45722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45722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45722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45722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45722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45722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45722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45722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45722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45722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45722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45722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45722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45722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45722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45722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45722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45722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45722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45722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45722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45722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45722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45722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45722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45722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45722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45722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45722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45722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45722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45722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45722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45722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45722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45722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45722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45722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45722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45722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45722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45722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45722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45722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45722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45722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45722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45722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45722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45722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45722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45722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45722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45722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45722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45722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45722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45722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45722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45722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45722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45722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45722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45722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45722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45722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45722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45722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45722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45722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45722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45722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45722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45722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45722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45722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45722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45722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45722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45722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45722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45722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45722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45722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45722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45722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45722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45722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45722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45722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45722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45722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45722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45722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45722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45722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45722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45722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45722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45722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45722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45722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45722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45722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45722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45722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45722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45722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45722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45722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45722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45722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45722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45722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45722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45722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45722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45722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45722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45722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45722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45722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45722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45722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45722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45722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45722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45722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45722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45722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45722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45722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45722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45722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45722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45722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45722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45722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45722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45722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45722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45722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45722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45722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45722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45722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45722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45722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45722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45722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HYPERLINK("https://klasma.github.io/Logging_2403/knärot/A 31135-2024 karta knärot.png", "A 31135-2024")</f>
        <v/>
      </c>
      <c r="V652">
        <f>HYPERLINK("https://klasma.github.io/Logging_2403/klagomål/A 31135-2024 FSC-klagomål.docx", "A 31135-2024")</f>
        <v/>
      </c>
      <c r="W652">
        <f>HYPERLINK("https://klasma.github.io/Logging_2403/klagomålsmail/A 31135-2024 FSC-klagomål mail.docx", "A 31135-2024")</f>
        <v/>
      </c>
      <c r="X652">
        <f>HYPERLINK("https://klasma.github.io/Logging_2403/tillsyn/A 31135-2024 tillsynsbegäran.docx", "A 31135-2024")</f>
        <v/>
      </c>
      <c r="Y652">
        <f>HYPERLINK("https://klasma.github.io/Logging_2403/tillsynsmail/A 31135-2024 tillsynsbegäran mail.docx", "A 31135-2024")</f>
        <v/>
      </c>
    </row>
    <row r="653" ht="15" customHeight="1">
      <c r="A653" t="inlineStr">
        <is>
          <t>A 31193-2024</t>
        </is>
      </c>
      <c r="B653" s="1" t="n">
        <v>45503</v>
      </c>
      <c r="C653" s="1" t="n">
        <v>45722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45722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45722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45722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45722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45722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45722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45722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45722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45722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45722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45722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45722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45722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45722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45722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45722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45722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45722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45722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45722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45722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45722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45722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45722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45722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45722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45722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45722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45722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45722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45722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45722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45722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45722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45722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45722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45722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45722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45722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45722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45722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45722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45722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45722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45722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45722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45722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45722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45722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45722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45722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45722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45722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45722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45722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45722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45722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45722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45722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45722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45722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45722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45722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45722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45722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45722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45722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45722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45722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45722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45722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45722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45722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45722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45722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45722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45722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45722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45722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45722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45722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45722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45722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45722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45722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45722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45722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45722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45722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45722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45722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45722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45722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45722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45722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45722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45722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45722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45722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45722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45722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45722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45722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45722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45722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45722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45722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45722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45722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45722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45722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45722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45722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45722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45722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45722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45722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45722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45722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45722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45722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45722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5541-2025</t>
        </is>
      </c>
      <c r="B776" s="1" t="n">
        <v>45693</v>
      </c>
      <c r="C776" s="1" t="n">
        <v>45722</v>
      </c>
      <c r="D776" t="inlineStr">
        <is>
          <t>VÄSTERBOTTENS LÄN</t>
        </is>
      </c>
      <c r="E776" t="inlineStr">
        <is>
          <t>BJURHOLM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5582-2025</t>
        </is>
      </c>
      <c r="B777" s="1" t="n">
        <v>45693</v>
      </c>
      <c r="C777" s="1" t="n">
        <v>45722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6998-2025</t>
        </is>
      </c>
      <c r="B778" s="1" t="n">
        <v>45701</v>
      </c>
      <c r="C778" s="1" t="n">
        <v>45722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7440-2025</t>
        </is>
      </c>
      <c r="B779" s="1" t="n">
        <v>45705</v>
      </c>
      <c r="C779" s="1" t="n">
        <v>45722</v>
      </c>
      <c r="D779" t="inlineStr">
        <is>
          <t>VÄSTERBOTTENS LÄN</t>
        </is>
      </c>
      <c r="E779" t="inlineStr">
        <is>
          <t>BJURHOLM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8663-2025</t>
        </is>
      </c>
      <c r="B780" s="1" t="n">
        <v>45712</v>
      </c>
      <c r="C780" s="1" t="n">
        <v>45722</v>
      </c>
      <c r="D780" t="inlineStr">
        <is>
          <t>VÄSTERBOTTENS LÄN</t>
        </is>
      </c>
      <c r="E780" t="inlineStr">
        <is>
          <t>BJURHOLM</t>
        </is>
      </c>
      <c r="F780" t="inlineStr">
        <is>
          <t>Holmen skog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9330-2025</t>
        </is>
      </c>
      <c r="B781" s="1" t="n">
        <v>45714</v>
      </c>
      <c r="C781" s="1" t="n">
        <v>45722</v>
      </c>
      <c r="D781" t="inlineStr">
        <is>
          <t>VÄSTERBOTTENS LÄN</t>
        </is>
      </c>
      <c r="E781" t="inlineStr">
        <is>
          <t>BJURHOLM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>
      <c r="A782" t="inlineStr">
        <is>
          <t>A 10527-2025</t>
        </is>
      </c>
      <c r="B782" s="1" t="n">
        <v>45721</v>
      </c>
      <c r="C782" s="1" t="n">
        <v>45722</v>
      </c>
      <c r="D782" t="inlineStr">
        <is>
          <t>VÄSTERBOTTENS LÄN</t>
        </is>
      </c>
      <c r="E782" t="inlineStr">
        <is>
          <t>BJURHOLM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2025-03-06T16:39:48Z</dcterms:created>
  <dcterms:modified xmlns:dcterms="http://purl.org/dc/terms/" xmlns:xsi="http://www.w3.org/2001/XMLSchema-instance" xsi:type="dcterms:W3CDTF">2025-03-06T16:39:49Z</dcterms:modified>
</cp:coreProperties>
</file>