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45999</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45999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45999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45999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45999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45999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45999</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45999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42207-2025</t>
        </is>
      </c>
      <c r="B10" s="1" t="n">
        <v>45904.49430555556</v>
      </c>
      <c r="C10" s="1" t="n">
        <v>45999</v>
      </c>
      <c r="D10" t="inlineStr">
        <is>
          <t>VÄSTERBOTTENS LÄN</t>
        </is>
      </c>
      <c r="E10" t="inlineStr">
        <is>
          <t>BJURHOLM</t>
        </is>
      </c>
      <c r="F10" t="inlineStr">
        <is>
          <t>Holmen skog AB</t>
        </is>
      </c>
      <c r="G10" t="n">
        <v>10.6</v>
      </c>
      <c r="H10" t="n">
        <v>4</v>
      </c>
      <c r="I10" t="n">
        <v>6</v>
      </c>
      <c r="J10" t="n">
        <v>12</v>
      </c>
      <c r="K10" t="n">
        <v>2</v>
      </c>
      <c r="L10" t="n">
        <v>0</v>
      </c>
      <c r="M10" t="n">
        <v>0</v>
      </c>
      <c r="N10" t="n">
        <v>0</v>
      </c>
      <c r="O10" t="n">
        <v>14</v>
      </c>
      <c r="P10" t="n">
        <v>2</v>
      </c>
      <c r="Q10" t="n">
        <v>21</v>
      </c>
      <c r="R10" s="2" t="inlineStr">
        <is>
          <t>Knärot
Rynkskinn
Garnlav
Granticka
Gränsticka
Kolflarnlav
Lunglav
Mörk kolflarnlav
Spillkråka
Tretåig hackspett
Ullticka
Veckticka
Vedflikmossa
Vedskivlav
Bårdlav
Luddlav
Mörk husmossa
Norrlandslav
Stuplav
Vedticka
Kungsfågel</t>
        </is>
      </c>
      <c r="S10">
        <f>HYPERLINK("https://klasma.github.io/Logging_2403/artfynd/A 42207-2025 artfynd.xlsx", "A 42207-2025")</f>
        <v/>
      </c>
      <c r="T10">
        <f>HYPERLINK("https://klasma.github.io/Logging_2403/kartor/A 42207-2025 karta.png", "A 42207-2025")</f>
        <v/>
      </c>
      <c r="U10">
        <f>HYPERLINK("https://klasma.github.io/Logging_2403/knärot/A 42207-2025 karta knärot.png", "A 42207-2025")</f>
        <v/>
      </c>
      <c r="V10">
        <f>HYPERLINK("https://klasma.github.io/Logging_2403/klagomål/A 42207-2025 FSC-klagomål.docx", "A 42207-2025")</f>
        <v/>
      </c>
      <c r="W10">
        <f>HYPERLINK("https://klasma.github.io/Logging_2403/klagomålsmail/A 42207-2025 FSC-klagomål mail.docx", "A 42207-2025")</f>
        <v/>
      </c>
      <c r="X10">
        <f>HYPERLINK("https://klasma.github.io/Logging_2403/tillsyn/A 42207-2025 tillsynsbegäran.docx", "A 42207-2025")</f>
        <v/>
      </c>
      <c r="Y10">
        <f>HYPERLINK("https://klasma.github.io/Logging_2403/tillsynsmail/A 42207-2025 tillsynsbegäran mail.docx", "A 42207-2025")</f>
        <v/>
      </c>
      <c r="Z10">
        <f>HYPERLINK("https://klasma.github.io/Logging_2403/fåglar/A 42207-2025 prioriterade fågelarter.docx", "A 42207-2025")</f>
        <v/>
      </c>
    </row>
    <row r="11" ht="15" customHeight="1">
      <c r="A11" t="inlineStr">
        <is>
          <t>A 19109-2022</t>
        </is>
      </c>
      <c r="B11" s="1" t="n">
        <v>44691</v>
      </c>
      <c r="C11" s="1" t="n">
        <v>45999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64501-2023</t>
        </is>
      </c>
      <c r="B12" s="1" t="n">
        <v>45280</v>
      </c>
      <c r="C12" s="1" t="n">
        <v>45999</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46978-2024</t>
        </is>
      </c>
      <c r="B13" s="1" t="n">
        <v>45586</v>
      </c>
      <c r="C13" s="1" t="n">
        <v>45999</v>
      </c>
      <c r="D13" t="inlineStr">
        <is>
          <t>VÄSTERBOTTENS LÄN</t>
        </is>
      </c>
      <c r="E13" t="inlineStr">
        <is>
          <t>BJURHOLM</t>
        </is>
      </c>
      <c r="F13" t="inlineStr">
        <is>
          <t>Holmen skog AB</t>
        </is>
      </c>
      <c r="G13" t="n">
        <v>6.7</v>
      </c>
      <c r="H13" t="n">
        <v>3</v>
      </c>
      <c r="I13" t="n">
        <v>2</v>
      </c>
      <c r="J13" t="n">
        <v>12</v>
      </c>
      <c r="K13" t="n">
        <v>1</v>
      </c>
      <c r="L13" t="n">
        <v>1</v>
      </c>
      <c r="M13" t="n">
        <v>0</v>
      </c>
      <c r="N13" t="n">
        <v>0</v>
      </c>
      <c r="O13" t="n">
        <v>14</v>
      </c>
      <c r="P13" t="n">
        <v>2</v>
      </c>
      <c r="Q13" t="n">
        <v>17</v>
      </c>
      <c r="R13" s="2" t="inlineStr">
        <is>
          <t>Tornseglare
Fläckporing
Blanksvart spiklav
Dvärgbägarlav
Garnlav
Granticka
Kolflarnlav
Mörk kolflarnlav
Nordtagging
Talltita
Vedflamlav
Vedskivlav
Violettgrå tagellav
Vitplätt
Dropptaggsvamp
Nästlav
Tjäder</t>
        </is>
      </c>
      <c r="S13">
        <f>HYPERLINK("https://klasma.github.io/Logging_2403/artfynd/A 46978-2024 artfynd.xlsx", "A 46978-2024")</f>
        <v/>
      </c>
      <c r="T13">
        <f>HYPERLINK("https://klasma.github.io/Logging_2403/kartor/A 46978-2024 karta.png", "A 46978-2024")</f>
        <v/>
      </c>
      <c r="V13">
        <f>HYPERLINK("https://klasma.github.io/Logging_2403/klagomål/A 46978-2024 FSC-klagomål.docx", "A 46978-2024")</f>
        <v/>
      </c>
      <c r="W13">
        <f>HYPERLINK("https://klasma.github.io/Logging_2403/klagomålsmail/A 46978-2024 FSC-klagomål mail.docx", "A 46978-2024")</f>
        <v/>
      </c>
      <c r="X13">
        <f>HYPERLINK("https://klasma.github.io/Logging_2403/tillsyn/A 46978-2024 tillsynsbegäran.docx", "A 46978-2024")</f>
        <v/>
      </c>
      <c r="Y13">
        <f>HYPERLINK("https://klasma.github.io/Logging_2403/tillsynsmail/A 46978-2024 tillsynsbegäran mail.docx", "A 46978-2024")</f>
        <v/>
      </c>
      <c r="Z13">
        <f>HYPERLINK("https://klasma.github.io/Logging_2403/fåglar/A 46978-2024 prioriterade fågelarter.docx", "A 46978-2024")</f>
        <v/>
      </c>
    </row>
    <row r="14" ht="15" customHeight="1">
      <c r="A14" t="inlineStr">
        <is>
          <t>A 57334-2022</t>
        </is>
      </c>
      <c r="B14" s="1" t="n">
        <v>44896.37280092593</v>
      </c>
      <c r="C14" s="1" t="n">
        <v>45999</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30467-2025</t>
        </is>
      </c>
      <c r="B15" s="1" t="n">
        <v>45827</v>
      </c>
      <c r="C15" s="1" t="n">
        <v>45999</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51874-2024</t>
        </is>
      </c>
      <c r="B16" s="1" t="n">
        <v>45607</v>
      </c>
      <c r="C16" s="1" t="n">
        <v>45999</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14646-2025</t>
        </is>
      </c>
      <c r="B17" s="1" t="n">
        <v>45742</v>
      </c>
      <c r="C17" s="1" t="n">
        <v>45999</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67029-2020</t>
        </is>
      </c>
      <c r="B18" s="1" t="n">
        <v>44180</v>
      </c>
      <c r="C18" s="1" t="n">
        <v>45999</v>
      </c>
      <c r="D18" t="inlineStr">
        <is>
          <t>VÄSTERBOTTENS LÄN</t>
        </is>
      </c>
      <c r="E18" t="inlineStr">
        <is>
          <t>BJURHOLM</t>
        </is>
      </c>
      <c r="G18" t="n">
        <v>18.4</v>
      </c>
      <c r="H18" t="n">
        <v>1</v>
      </c>
      <c r="I18" t="n">
        <v>4</v>
      </c>
      <c r="J18" t="n">
        <v>7</v>
      </c>
      <c r="K18" t="n">
        <v>0</v>
      </c>
      <c r="L18" t="n">
        <v>0</v>
      </c>
      <c r="M18" t="n">
        <v>0</v>
      </c>
      <c r="N18" t="n">
        <v>0</v>
      </c>
      <c r="O18" t="n">
        <v>7</v>
      </c>
      <c r="P18" t="n">
        <v>0</v>
      </c>
      <c r="Q18" t="n">
        <v>11</v>
      </c>
      <c r="R18" s="2" t="inlineStr">
        <is>
          <t>Garnlav
Kolflarnlav
Lunglav
Mörk kolflarnlav
Tretåig hackspett
Vedflamlav
Violettgrå tagellav
Dropptaggsvamp
Skarp dropptaggsvamp
Skinnlav
Stor aspticka</t>
        </is>
      </c>
      <c r="S18">
        <f>HYPERLINK("https://klasma.github.io/Logging_2403/artfynd/A 67029-2020 artfynd.xlsx", "A 67029-2020")</f>
        <v/>
      </c>
      <c r="T18">
        <f>HYPERLINK("https://klasma.github.io/Logging_2403/kartor/A 67029-2020 karta.png", "A 67029-2020")</f>
        <v/>
      </c>
      <c r="V18">
        <f>HYPERLINK("https://klasma.github.io/Logging_2403/klagomål/A 67029-2020 FSC-klagomål.docx", "A 67029-2020")</f>
        <v/>
      </c>
      <c r="W18">
        <f>HYPERLINK("https://klasma.github.io/Logging_2403/klagomålsmail/A 67029-2020 FSC-klagomål mail.docx", "A 67029-2020")</f>
        <v/>
      </c>
      <c r="X18">
        <f>HYPERLINK("https://klasma.github.io/Logging_2403/tillsyn/A 67029-2020 tillsynsbegäran.docx", "A 67029-2020")</f>
        <v/>
      </c>
      <c r="Y18">
        <f>HYPERLINK("https://klasma.github.io/Logging_2403/tillsynsmail/A 67029-2020 tillsynsbegäran mail.docx", "A 67029-2020")</f>
        <v/>
      </c>
      <c r="Z18">
        <f>HYPERLINK("https://klasma.github.io/Logging_2403/fåglar/A 67029-2020 prioriterade fågelarter.docx", "A 67029-2020")</f>
        <v/>
      </c>
    </row>
    <row r="19" ht="15" customHeight="1">
      <c r="A19" t="inlineStr">
        <is>
          <t>A 24124-2024</t>
        </is>
      </c>
      <c r="B19" s="1" t="n">
        <v>45456.62347222222</v>
      </c>
      <c r="C19" s="1" t="n">
        <v>45999</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20608-2023</t>
        </is>
      </c>
      <c r="B20" s="1" t="n">
        <v>45057</v>
      </c>
      <c r="C20" s="1" t="n">
        <v>45999</v>
      </c>
      <c r="D20" t="inlineStr">
        <is>
          <t>VÄSTERBOTTENS LÄN</t>
        </is>
      </c>
      <c r="E20" t="inlineStr">
        <is>
          <t>BJURHOLM</t>
        </is>
      </c>
      <c r="F20" t="inlineStr">
        <is>
          <t>SCA</t>
        </is>
      </c>
      <c r="G20" t="n">
        <v>10.5</v>
      </c>
      <c r="H20" t="n">
        <v>0</v>
      </c>
      <c r="I20" t="n">
        <v>1</v>
      </c>
      <c r="J20" t="n">
        <v>9</v>
      </c>
      <c r="K20" t="n">
        <v>1</v>
      </c>
      <c r="L20" t="n">
        <v>0</v>
      </c>
      <c r="M20" t="n">
        <v>0</v>
      </c>
      <c r="N20" t="n">
        <v>0</v>
      </c>
      <c r="O20" t="n">
        <v>10</v>
      </c>
      <c r="P20" t="n">
        <v>1</v>
      </c>
      <c r="Q20" t="n">
        <v>11</v>
      </c>
      <c r="R20" s="2" t="inlineStr">
        <is>
          <t>Goliatmusseron
Blå taggsvamp
Garnlav
Kolflarnlav
Kortskaftad ärgspik
Orange taggsvamp
Skrovlig taggsvamp
Svart taggsvamp
Vaddporing
Vedskivlav
Dropptaggsvamp</t>
        </is>
      </c>
      <c r="S20">
        <f>HYPERLINK("https://klasma.github.io/Logging_2403/artfynd/A 20608-2023 artfynd.xlsx", "A 20608-2023")</f>
        <v/>
      </c>
      <c r="T20">
        <f>HYPERLINK("https://klasma.github.io/Logging_2403/kartor/A 20608-2023 karta.png", "A 20608-2023")</f>
        <v/>
      </c>
      <c r="V20">
        <f>HYPERLINK("https://klasma.github.io/Logging_2403/klagomål/A 20608-2023 FSC-klagomål.docx", "A 20608-2023")</f>
        <v/>
      </c>
      <c r="W20">
        <f>HYPERLINK("https://klasma.github.io/Logging_2403/klagomålsmail/A 20608-2023 FSC-klagomål mail.docx", "A 20608-2023")</f>
        <v/>
      </c>
      <c r="X20">
        <f>HYPERLINK("https://klasma.github.io/Logging_2403/tillsyn/A 20608-2023 tillsynsbegäran.docx", "A 20608-2023")</f>
        <v/>
      </c>
      <c r="Y20">
        <f>HYPERLINK("https://klasma.github.io/Logging_2403/tillsynsmail/A 20608-2023 tillsynsbegäran mail.docx", "A 20608-2023")</f>
        <v/>
      </c>
    </row>
    <row r="21" ht="15" customHeight="1">
      <c r="A21" t="inlineStr">
        <is>
          <t>A 13605-2022</t>
        </is>
      </c>
      <c r="B21" s="1" t="n">
        <v>44648</v>
      </c>
      <c r="C21" s="1" t="n">
        <v>45999</v>
      </c>
      <c r="D21" t="inlineStr">
        <is>
          <t>VÄSTERBOTTENS LÄN</t>
        </is>
      </c>
      <c r="E21" t="inlineStr">
        <is>
          <t>BJURHOLM</t>
        </is>
      </c>
      <c r="G21" t="n">
        <v>7</v>
      </c>
      <c r="H21" t="n">
        <v>3</v>
      </c>
      <c r="I21" t="n">
        <v>3</v>
      </c>
      <c r="J21" t="n">
        <v>6</v>
      </c>
      <c r="K21" t="n">
        <v>1</v>
      </c>
      <c r="L21" t="n">
        <v>0</v>
      </c>
      <c r="M21" t="n">
        <v>0</v>
      </c>
      <c r="N21" t="n">
        <v>0</v>
      </c>
      <c r="O21" t="n">
        <v>7</v>
      </c>
      <c r="P21" t="n">
        <v>1</v>
      </c>
      <c r="Q21" t="n">
        <v>10</v>
      </c>
      <c r="R21" s="2" t="inlineStr">
        <is>
          <t>Knärot
Garnlav
Granticka
Rödvingetrast
Stiftgelélav
Talltita
Ullticka
Skinnlav
Stor aspticka
Vedticka</t>
        </is>
      </c>
      <c r="S21">
        <f>HYPERLINK("https://klasma.github.io/Logging_2403/artfynd/A 13605-2022 artfynd.xlsx", "A 13605-2022")</f>
        <v/>
      </c>
      <c r="T21">
        <f>HYPERLINK("https://klasma.github.io/Logging_2403/kartor/A 13605-2022 karta.png", "A 13605-2022")</f>
        <v/>
      </c>
      <c r="U21">
        <f>HYPERLINK("https://klasma.github.io/Logging_2403/knärot/A 13605-2022 karta knärot.png", "A 13605-2022")</f>
        <v/>
      </c>
      <c r="V21">
        <f>HYPERLINK("https://klasma.github.io/Logging_2403/klagomål/A 13605-2022 FSC-klagomål.docx", "A 13605-2022")</f>
        <v/>
      </c>
      <c r="W21">
        <f>HYPERLINK("https://klasma.github.io/Logging_2403/klagomålsmail/A 13605-2022 FSC-klagomål mail.docx", "A 13605-2022")</f>
        <v/>
      </c>
      <c r="X21">
        <f>HYPERLINK("https://klasma.github.io/Logging_2403/tillsyn/A 13605-2022 tillsynsbegäran.docx", "A 13605-2022")</f>
        <v/>
      </c>
      <c r="Y21">
        <f>HYPERLINK("https://klasma.github.io/Logging_2403/tillsynsmail/A 13605-2022 tillsynsbegäran mail.docx", "A 13605-2022")</f>
        <v/>
      </c>
      <c r="Z21">
        <f>HYPERLINK("https://klasma.github.io/Logging_2403/fåglar/A 13605-2022 prioriterade fågelarter.docx", "A 13605-2022")</f>
        <v/>
      </c>
    </row>
    <row r="22" ht="15" customHeight="1">
      <c r="A22" t="inlineStr">
        <is>
          <t>A 22677-2024</t>
        </is>
      </c>
      <c r="B22" s="1" t="n">
        <v>45447</v>
      </c>
      <c r="C22" s="1" t="n">
        <v>45999</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14083-2021</t>
        </is>
      </c>
      <c r="B23" s="1" t="n">
        <v>44277</v>
      </c>
      <c r="C23" s="1" t="n">
        <v>45999</v>
      </c>
      <c r="D23" t="inlineStr">
        <is>
          <t>VÄSTERBOTTENS LÄN</t>
        </is>
      </c>
      <c r="E23" t="inlineStr">
        <is>
          <t>BJURHOLM</t>
        </is>
      </c>
      <c r="F23" t="inlineStr">
        <is>
          <t>SCA</t>
        </is>
      </c>
      <c r="G23" t="n">
        <v>15.1</v>
      </c>
      <c r="H23" t="n">
        <v>0</v>
      </c>
      <c r="I23" t="n">
        <v>1</v>
      </c>
      <c r="J23" t="n">
        <v>6</v>
      </c>
      <c r="K23" t="n">
        <v>0</v>
      </c>
      <c r="L23" t="n">
        <v>0</v>
      </c>
      <c r="M23" t="n">
        <v>0</v>
      </c>
      <c r="N23" t="n">
        <v>0</v>
      </c>
      <c r="O23" t="n">
        <v>6</v>
      </c>
      <c r="P23" t="n">
        <v>0</v>
      </c>
      <c r="Q23" t="n">
        <v>7</v>
      </c>
      <c r="R23" s="2" t="inlineStr">
        <is>
          <t>Doftskinn
Dvärgbägarlav
Garnlav
Granticka
Kolflarnlav
Vedskivlav
Dropptaggsvamp</t>
        </is>
      </c>
      <c r="S23">
        <f>HYPERLINK("https://klasma.github.io/Logging_2403/artfynd/A 14083-2021 artfynd.xlsx", "A 14083-2021")</f>
        <v/>
      </c>
      <c r="T23">
        <f>HYPERLINK("https://klasma.github.io/Logging_2403/kartor/A 14083-2021 karta.png", "A 14083-2021")</f>
        <v/>
      </c>
      <c r="V23">
        <f>HYPERLINK("https://klasma.github.io/Logging_2403/klagomål/A 14083-2021 FSC-klagomål.docx", "A 14083-2021")</f>
        <v/>
      </c>
      <c r="W23">
        <f>HYPERLINK("https://klasma.github.io/Logging_2403/klagomålsmail/A 14083-2021 FSC-klagomål mail.docx", "A 14083-2021")</f>
        <v/>
      </c>
      <c r="X23">
        <f>HYPERLINK("https://klasma.github.io/Logging_2403/tillsyn/A 14083-2021 tillsynsbegäran.docx", "A 14083-2021")</f>
        <v/>
      </c>
      <c r="Y23">
        <f>HYPERLINK("https://klasma.github.io/Logging_2403/tillsynsmail/A 14083-2021 tillsynsbegäran mail.docx", "A 14083-2021")</f>
        <v/>
      </c>
    </row>
    <row r="24" ht="15" customHeight="1">
      <c r="A24" t="inlineStr">
        <is>
          <t>A 19644-2022</t>
        </is>
      </c>
      <c r="B24" s="1" t="n">
        <v>44694</v>
      </c>
      <c r="C24" s="1" t="n">
        <v>45999</v>
      </c>
      <c r="D24" t="inlineStr">
        <is>
          <t>VÄSTERBOTTENS LÄN</t>
        </is>
      </c>
      <c r="E24" t="inlineStr">
        <is>
          <t>BJURHOLM</t>
        </is>
      </c>
      <c r="F24" t="inlineStr">
        <is>
          <t>Kyrkan</t>
        </is>
      </c>
      <c r="G24" t="n">
        <v>3.1</v>
      </c>
      <c r="H24" t="n">
        <v>2</v>
      </c>
      <c r="I24" t="n">
        <v>2</v>
      </c>
      <c r="J24" t="n">
        <v>3</v>
      </c>
      <c r="K24" t="n">
        <v>0</v>
      </c>
      <c r="L24" t="n">
        <v>0</v>
      </c>
      <c r="M24" t="n">
        <v>0</v>
      </c>
      <c r="N24" t="n">
        <v>0</v>
      </c>
      <c r="O24" t="n">
        <v>3</v>
      </c>
      <c r="P24" t="n">
        <v>0</v>
      </c>
      <c r="Q24" t="n">
        <v>6</v>
      </c>
      <c r="R24" s="2" t="inlineStr">
        <is>
          <t>Granticka
Talltita
Ullticka
Skinnlav
Vedticka
Revlummer</t>
        </is>
      </c>
      <c r="S24">
        <f>HYPERLINK("https://klasma.github.io/Logging_2403/artfynd/A 19644-2022 artfynd.xlsx", "A 19644-2022")</f>
        <v/>
      </c>
      <c r="T24">
        <f>HYPERLINK("https://klasma.github.io/Logging_2403/kartor/A 19644-2022 karta.png", "A 19644-2022")</f>
        <v/>
      </c>
      <c r="V24">
        <f>HYPERLINK("https://klasma.github.io/Logging_2403/klagomål/A 19644-2022 FSC-klagomål.docx", "A 19644-2022")</f>
        <v/>
      </c>
      <c r="W24">
        <f>HYPERLINK("https://klasma.github.io/Logging_2403/klagomålsmail/A 19644-2022 FSC-klagomål mail.docx", "A 19644-2022")</f>
        <v/>
      </c>
      <c r="X24">
        <f>HYPERLINK("https://klasma.github.io/Logging_2403/tillsyn/A 19644-2022 tillsynsbegäran.docx", "A 19644-2022")</f>
        <v/>
      </c>
      <c r="Y24">
        <f>HYPERLINK("https://klasma.github.io/Logging_2403/tillsynsmail/A 19644-2022 tillsynsbegäran mail.docx", "A 19644-2022")</f>
        <v/>
      </c>
      <c r="Z24">
        <f>HYPERLINK("https://klasma.github.io/Logging_2403/fåglar/A 19644-2022 prioriterade fågelarter.docx", "A 19644-2022")</f>
        <v/>
      </c>
    </row>
    <row r="25" ht="15" customHeight="1">
      <c r="A25" t="inlineStr">
        <is>
          <t>A 38585-2025</t>
        </is>
      </c>
      <c r="B25" s="1" t="n">
        <v>45884.47008101852</v>
      </c>
      <c r="C25" s="1" t="n">
        <v>45999</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14108-2023</t>
        </is>
      </c>
      <c r="B26" s="1" t="n">
        <v>45009</v>
      </c>
      <c r="C26" s="1" t="n">
        <v>45999</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18046-2025</t>
        </is>
      </c>
      <c r="B27" s="1" t="n">
        <v>45761.4652199074</v>
      </c>
      <c r="C27" s="1" t="n">
        <v>45999</v>
      </c>
      <c r="D27" t="inlineStr">
        <is>
          <t>VÄSTERBOTTENS LÄN</t>
        </is>
      </c>
      <c r="E27" t="inlineStr">
        <is>
          <t>BJURHOLM</t>
        </is>
      </c>
      <c r="G27" t="n">
        <v>10.9</v>
      </c>
      <c r="H27" t="n">
        <v>2</v>
      </c>
      <c r="I27" t="n">
        <v>2</v>
      </c>
      <c r="J27" t="n">
        <v>3</v>
      </c>
      <c r="K27" t="n">
        <v>0</v>
      </c>
      <c r="L27" t="n">
        <v>0</v>
      </c>
      <c r="M27" t="n">
        <v>0</v>
      </c>
      <c r="N27" t="n">
        <v>0</v>
      </c>
      <c r="O27" t="n">
        <v>3</v>
      </c>
      <c r="P27" t="n">
        <v>0</v>
      </c>
      <c r="Q27" t="n">
        <v>6</v>
      </c>
      <c r="R27" s="2" t="inlineStr">
        <is>
          <t>Garnlav
Granticka
Ullticka
Spindelblomster
Vedticka
Fläcknycklar</t>
        </is>
      </c>
      <c r="S27">
        <f>HYPERLINK("https://klasma.github.io/Logging_2403/artfynd/A 18046-2025 artfynd.xlsx", "A 18046-2025")</f>
        <v/>
      </c>
      <c r="T27">
        <f>HYPERLINK("https://klasma.github.io/Logging_2403/kartor/A 18046-2025 karta.png", "A 18046-2025")</f>
        <v/>
      </c>
      <c r="V27">
        <f>HYPERLINK("https://klasma.github.io/Logging_2403/klagomål/A 18046-2025 FSC-klagomål.docx", "A 18046-2025")</f>
        <v/>
      </c>
      <c r="W27">
        <f>HYPERLINK("https://klasma.github.io/Logging_2403/klagomålsmail/A 18046-2025 FSC-klagomål mail.docx", "A 18046-2025")</f>
        <v/>
      </c>
      <c r="X27">
        <f>HYPERLINK("https://klasma.github.io/Logging_2403/tillsyn/A 18046-2025 tillsynsbegäran.docx", "A 18046-2025")</f>
        <v/>
      </c>
      <c r="Y27">
        <f>HYPERLINK("https://klasma.github.io/Logging_2403/tillsynsmail/A 18046-2025 tillsynsbegäran mail.docx", "A 18046-2025")</f>
        <v/>
      </c>
    </row>
    <row r="28" ht="15" customHeight="1">
      <c r="A28" t="inlineStr">
        <is>
          <t>A 55009-2022</t>
        </is>
      </c>
      <c r="B28" s="1" t="n">
        <v>44881</v>
      </c>
      <c r="C28" s="1" t="n">
        <v>45999</v>
      </c>
      <c r="D28" t="inlineStr">
        <is>
          <t>VÄSTERBOTTENS LÄN</t>
        </is>
      </c>
      <c r="E28" t="inlineStr">
        <is>
          <t>BJURHOLM</t>
        </is>
      </c>
      <c r="G28" t="n">
        <v>11.2</v>
      </c>
      <c r="H28" t="n">
        <v>0</v>
      </c>
      <c r="I28" t="n">
        <v>3</v>
      </c>
      <c r="J28" t="n">
        <v>2</v>
      </c>
      <c r="K28" t="n">
        <v>0</v>
      </c>
      <c r="L28" t="n">
        <v>0</v>
      </c>
      <c r="M28" t="n">
        <v>0</v>
      </c>
      <c r="N28" t="n">
        <v>0</v>
      </c>
      <c r="O28" t="n">
        <v>2</v>
      </c>
      <c r="P28" t="n">
        <v>0</v>
      </c>
      <c r="Q28" t="n">
        <v>5</v>
      </c>
      <c r="R28" s="2" t="inlineStr">
        <is>
          <t>Lunglav
Mörk kolflarnlav
Skinnlav
Stuplav
Vedticka</t>
        </is>
      </c>
      <c r="S28">
        <f>HYPERLINK("https://klasma.github.io/Logging_2403/artfynd/A 55009-2022 artfynd.xlsx", "A 55009-2022")</f>
        <v/>
      </c>
      <c r="T28">
        <f>HYPERLINK("https://klasma.github.io/Logging_2403/kartor/A 55009-2022 karta.png", "A 55009-2022")</f>
        <v/>
      </c>
      <c r="V28">
        <f>HYPERLINK("https://klasma.github.io/Logging_2403/klagomål/A 55009-2022 FSC-klagomål.docx", "A 55009-2022")</f>
        <v/>
      </c>
      <c r="W28">
        <f>HYPERLINK("https://klasma.github.io/Logging_2403/klagomålsmail/A 55009-2022 FSC-klagomål mail.docx", "A 55009-2022")</f>
        <v/>
      </c>
      <c r="X28">
        <f>HYPERLINK("https://klasma.github.io/Logging_2403/tillsyn/A 55009-2022 tillsynsbegäran.docx", "A 55009-2022")</f>
        <v/>
      </c>
      <c r="Y28">
        <f>HYPERLINK("https://klasma.github.io/Logging_2403/tillsynsmail/A 55009-2022 tillsynsbegäran mail.docx", "A 55009-2022")</f>
        <v/>
      </c>
    </row>
    <row r="29" ht="15" customHeight="1">
      <c r="A29" t="inlineStr">
        <is>
          <t>A 18951-2023</t>
        </is>
      </c>
      <c r="B29" s="1" t="n">
        <v>45043</v>
      </c>
      <c r="C29" s="1" t="n">
        <v>45999</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4365-2022</t>
        </is>
      </c>
      <c r="B30" s="1" t="n">
        <v>44588</v>
      </c>
      <c r="C30" s="1" t="n">
        <v>45999</v>
      </c>
      <c r="D30" t="inlineStr">
        <is>
          <t>VÄSTERBOTTENS LÄN</t>
        </is>
      </c>
      <c r="E30" t="inlineStr">
        <is>
          <t>BJURHOLM</t>
        </is>
      </c>
      <c r="G30" t="n">
        <v>14</v>
      </c>
      <c r="H30" t="n">
        <v>1</v>
      </c>
      <c r="I30" t="n">
        <v>0</v>
      </c>
      <c r="J30" t="n">
        <v>3</v>
      </c>
      <c r="K30" t="n">
        <v>1</v>
      </c>
      <c r="L30" t="n">
        <v>0</v>
      </c>
      <c r="M30" t="n">
        <v>0</v>
      </c>
      <c r="N30" t="n">
        <v>0</v>
      </c>
      <c r="O30" t="n">
        <v>4</v>
      </c>
      <c r="P30" t="n">
        <v>1</v>
      </c>
      <c r="Q30" t="n">
        <v>4</v>
      </c>
      <c r="R30" s="2" t="inlineStr">
        <is>
          <t>Rynkskinn
Garnlav
Spillkråka
Ullticka</t>
        </is>
      </c>
      <c r="S30">
        <f>HYPERLINK("https://klasma.github.io/Logging_2403/artfynd/A 4365-2022 artfynd.xlsx", "A 4365-2022")</f>
        <v/>
      </c>
      <c r="T30">
        <f>HYPERLINK("https://klasma.github.io/Logging_2403/kartor/A 4365-2022 karta.png", "A 4365-2022")</f>
        <v/>
      </c>
      <c r="V30">
        <f>HYPERLINK("https://klasma.github.io/Logging_2403/klagomål/A 4365-2022 FSC-klagomål.docx", "A 4365-2022")</f>
        <v/>
      </c>
      <c r="W30">
        <f>HYPERLINK("https://klasma.github.io/Logging_2403/klagomålsmail/A 4365-2022 FSC-klagomål mail.docx", "A 4365-2022")</f>
        <v/>
      </c>
      <c r="X30">
        <f>HYPERLINK("https://klasma.github.io/Logging_2403/tillsyn/A 4365-2022 tillsynsbegäran.docx", "A 4365-2022")</f>
        <v/>
      </c>
      <c r="Y30">
        <f>HYPERLINK("https://klasma.github.io/Logging_2403/tillsynsmail/A 4365-2022 tillsynsbegäran mail.docx", "A 4365-2022")</f>
        <v/>
      </c>
      <c r="Z30">
        <f>HYPERLINK("https://klasma.github.io/Logging_2403/fåglar/A 4365-2022 prioriterade fågelarter.docx", "A 4365-2022")</f>
        <v/>
      </c>
    </row>
    <row r="31" ht="15" customHeight="1">
      <c r="A31" t="inlineStr">
        <is>
          <t>A 58709-2024</t>
        </is>
      </c>
      <c r="B31" s="1" t="n">
        <v>45635</v>
      </c>
      <c r="C31" s="1" t="n">
        <v>45999</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56057-2025</t>
        </is>
      </c>
      <c r="B32" s="1" t="n">
        <v>45973.63479166666</v>
      </c>
      <c r="C32" s="1" t="n">
        <v>45999</v>
      </c>
      <c r="D32" t="inlineStr">
        <is>
          <t>VÄSTERBOTTENS LÄN</t>
        </is>
      </c>
      <c r="E32" t="inlineStr">
        <is>
          <t>BJURHOLM</t>
        </is>
      </c>
      <c r="G32" t="n">
        <v>8.6</v>
      </c>
      <c r="H32" t="n">
        <v>0</v>
      </c>
      <c r="I32" t="n">
        <v>0</v>
      </c>
      <c r="J32" t="n">
        <v>4</v>
      </c>
      <c r="K32" t="n">
        <v>0</v>
      </c>
      <c r="L32" t="n">
        <v>0</v>
      </c>
      <c r="M32" t="n">
        <v>0</v>
      </c>
      <c r="N32" t="n">
        <v>0</v>
      </c>
      <c r="O32" t="n">
        <v>4</v>
      </c>
      <c r="P32" t="n">
        <v>0</v>
      </c>
      <c r="Q32" t="n">
        <v>4</v>
      </c>
      <c r="R32" s="2" t="inlineStr">
        <is>
          <t>Gammelgransskål
Garnlav
Granticka
Violettgrå tagellav</t>
        </is>
      </c>
      <c r="S32">
        <f>HYPERLINK("https://klasma.github.io/Logging_2403/artfynd/A 56057-2025 artfynd.xlsx", "A 56057-2025")</f>
        <v/>
      </c>
      <c r="T32">
        <f>HYPERLINK("https://klasma.github.io/Logging_2403/kartor/A 56057-2025 karta.png", "A 56057-2025")</f>
        <v/>
      </c>
      <c r="V32">
        <f>HYPERLINK("https://klasma.github.io/Logging_2403/klagomål/A 56057-2025 FSC-klagomål.docx", "A 56057-2025")</f>
        <v/>
      </c>
      <c r="W32">
        <f>HYPERLINK("https://klasma.github.io/Logging_2403/klagomålsmail/A 56057-2025 FSC-klagomål mail.docx", "A 56057-2025")</f>
        <v/>
      </c>
      <c r="X32">
        <f>HYPERLINK("https://klasma.github.io/Logging_2403/tillsyn/A 56057-2025 tillsynsbegäran.docx", "A 56057-2025")</f>
        <v/>
      </c>
      <c r="Y32">
        <f>HYPERLINK("https://klasma.github.io/Logging_2403/tillsynsmail/A 56057-2025 tillsynsbegäran mail.docx", "A 56057-2025")</f>
        <v/>
      </c>
    </row>
    <row r="33" ht="15" customHeight="1">
      <c r="A33" t="inlineStr">
        <is>
          <t>A 57802-2023</t>
        </is>
      </c>
      <c r="B33" s="1" t="n">
        <v>45246</v>
      </c>
      <c r="C33" s="1" t="n">
        <v>45999</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45999</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61172-2024</t>
        </is>
      </c>
      <c r="B35" s="1" t="n">
        <v>45645</v>
      </c>
      <c r="C35" s="1" t="n">
        <v>45999</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27295-2024</t>
        </is>
      </c>
      <c r="B36" s="1" t="n">
        <v>45471.94290509259</v>
      </c>
      <c r="C36" s="1" t="n">
        <v>45999</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31206-2023</t>
        </is>
      </c>
      <c r="B37" s="1" t="n">
        <v>45113</v>
      </c>
      <c r="C37" s="1" t="n">
        <v>45999</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45999</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21386-2024</t>
        </is>
      </c>
      <c r="B39" s="1" t="n">
        <v>45440</v>
      </c>
      <c r="C39" s="1" t="n">
        <v>45999</v>
      </c>
      <c r="D39" t="inlineStr">
        <is>
          <t>VÄSTERBOTTENS LÄN</t>
        </is>
      </c>
      <c r="E39" t="inlineStr">
        <is>
          <t>BJURHOLM</t>
        </is>
      </c>
      <c r="F39" t="inlineStr">
        <is>
          <t>SCA</t>
        </is>
      </c>
      <c r="G39" t="n">
        <v>1.2</v>
      </c>
      <c r="H39" t="n">
        <v>0</v>
      </c>
      <c r="I39" t="n">
        <v>0</v>
      </c>
      <c r="J39" t="n">
        <v>1</v>
      </c>
      <c r="K39" t="n">
        <v>0</v>
      </c>
      <c r="L39" t="n">
        <v>0</v>
      </c>
      <c r="M39" t="n">
        <v>0</v>
      </c>
      <c r="N39" t="n">
        <v>0</v>
      </c>
      <c r="O39" t="n">
        <v>1</v>
      </c>
      <c r="P39" t="n">
        <v>0</v>
      </c>
      <c r="Q39" t="n">
        <v>1</v>
      </c>
      <c r="R39" s="2" t="inlineStr">
        <is>
          <t>Ullticka</t>
        </is>
      </c>
      <c r="S39">
        <f>HYPERLINK("https://klasma.github.io/Logging_2403/artfynd/A 21386-2024 artfynd.xlsx", "A 21386-2024")</f>
        <v/>
      </c>
      <c r="T39">
        <f>HYPERLINK("https://klasma.github.io/Logging_2403/kartor/A 21386-2024 karta.png", "A 21386-2024")</f>
        <v/>
      </c>
      <c r="V39">
        <f>HYPERLINK("https://klasma.github.io/Logging_2403/klagomål/A 21386-2024 FSC-klagomål.docx", "A 21386-2024")</f>
        <v/>
      </c>
      <c r="W39">
        <f>HYPERLINK("https://klasma.github.io/Logging_2403/klagomålsmail/A 21386-2024 FSC-klagomål mail.docx", "A 21386-2024")</f>
        <v/>
      </c>
      <c r="X39">
        <f>HYPERLINK("https://klasma.github.io/Logging_2403/tillsyn/A 21386-2024 tillsynsbegäran.docx", "A 21386-2024")</f>
        <v/>
      </c>
      <c r="Y39">
        <f>HYPERLINK("https://klasma.github.io/Logging_2403/tillsynsmail/A 21386-2024 tillsynsbegäran mail.docx", "A 21386-2024")</f>
        <v/>
      </c>
    </row>
    <row r="40" ht="15" customHeight="1">
      <c r="A40" t="inlineStr">
        <is>
          <t>A 57653-2022</t>
        </is>
      </c>
      <c r="B40" s="1" t="n">
        <v>44897.43052083333</v>
      </c>
      <c r="C40" s="1" t="n">
        <v>45999</v>
      </c>
      <c r="D40" t="inlineStr">
        <is>
          <t>VÄSTERBOTTENS LÄN</t>
        </is>
      </c>
      <c r="E40" t="inlineStr">
        <is>
          <t>BJURHOLM</t>
        </is>
      </c>
      <c r="F40" t="inlineStr">
        <is>
          <t>Holmen skog AB</t>
        </is>
      </c>
      <c r="G40" t="n">
        <v>4.9</v>
      </c>
      <c r="H40" t="n">
        <v>0</v>
      </c>
      <c r="I40" t="n">
        <v>0</v>
      </c>
      <c r="J40" t="n">
        <v>1</v>
      </c>
      <c r="K40" t="n">
        <v>0</v>
      </c>
      <c r="L40" t="n">
        <v>0</v>
      </c>
      <c r="M40" t="n">
        <v>0</v>
      </c>
      <c r="N40" t="n">
        <v>0</v>
      </c>
      <c r="O40" t="n">
        <v>1</v>
      </c>
      <c r="P40" t="n">
        <v>0</v>
      </c>
      <c r="Q40" t="n">
        <v>1</v>
      </c>
      <c r="R40" s="2" t="inlineStr">
        <is>
          <t>Garnlav</t>
        </is>
      </c>
      <c r="S40">
        <f>HYPERLINK("https://klasma.github.io/Logging_2403/artfynd/A 57653-2022 artfynd.xlsx", "A 57653-2022")</f>
        <v/>
      </c>
      <c r="T40">
        <f>HYPERLINK("https://klasma.github.io/Logging_2403/kartor/A 57653-2022 karta.png", "A 57653-2022")</f>
        <v/>
      </c>
      <c r="V40">
        <f>HYPERLINK("https://klasma.github.io/Logging_2403/klagomål/A 57653-2022 FSC-klagomål.docx", "A 57653-2022")</f>
        <v/>
      </c>
      <c r="W40">
        <f>HYPERLINK("https://klasma.github.io/Logging_2403/klagomålsmail/A 57653-2022 FSC-klagomål mail.docx", "A 57653-2022")</f>
        <v/>
      </c>
      <c r="X40">
        <f>HYPERLINK("https://klasma.github.io/Logging_2403/tillsyn/A 57653-2022 tillsynsbegäran.docx", "A 57653-2022")</f>
        <v/>
      </c>
      <c r="Y40">
        <f>HYPERLINK("https://klasma.github.io/Logging_2403/tillsynsmail/A 57653-2022 tillsynsbegäran mail.docx", "A 57653-2022")</f>
        <v/>
      </c>
    </row>
    <row r="41" ht="15" customHeight="1">
      <c r="A41" t="inlineStr">
        <is>
          <t>A 57865-2021</t>
        </is>
      </c>
      <c r="B41" s="1" t="n">
        <v>44484</v>
      </c>
      <c r="C41" s="1" t="n">
        <v>45999</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94-2025</t>
        </is>
      </c>
      <c r="B42" s="1" t="n">
        <v>45659</v>
      </c>
      <c r="C42" s="1" t="n">
        <v>45999</v>
      </c>
      <c r="D42" t="inlineStr">
        <is>
          <t>VÄSTERBOTTENS LÄN</t>
        </is>
      </c>
      <c r="E42" t="inlineStr">
        <is>
          <t>BJURHOLM</t>
        </is>
      </c>
      <c r="G42" t="n">
        <v>1.5</v>
      </c>
      <c r="H42" t="n">
        <v>0</v>
      </c>
      <c r="I42" t="n">
        <v>0</v>
      </c>
      <c r="J42" t="n">
        <v>1</v>
      </c>
      <c r="K42" t="n">
        <v>0</v>
      </c>
      <c r="L42" t="n">
        <v>0</v>
      </c>
      <c r="M42" t="n">
        <v>0</v>
      </c>
      <c r="N42" t="n">
        <v>0</v>
      </c>
      <c r="O42" t="n">
        <v>1</v>
      </c>
      <c r="P42" t="n">
        <v>0</v>
      </c>
      <c r="Q42" t="n">
        <v>1</v>
      </c>
      <c r="R42" s="2" t="inlineStr">
        <is>
          <t>Violettgrå tagellav</t>
        </is>
      </c>
      <c r="S42">
        <f>HYPERLINK("https://klasma.github.io/Logging_2403/artfynd/A 94-2025 artfynd.xlsx", "A 94-2025")</f>
        <v/>
      </c>
      <c r="T42">
        <f>HYPERLINK("https://klasma.github.io/Logging_2403/kartor/A 94-2025 karta.png", "A 94-2025")</f>
        <v/>
      </c>
      <c r="V42">
        <f>HYPERLINK("https://klasma.github.io/Logging_2403/klagomål/A 94-2025 FSC-klagomål.docx", "A 94-2025")</f>
        <v/>
      </c>
      <c r="W42">
        <f>HYPERLINK("https://klasma.github.io/Logging_2403/klagomålsmail/A 94-2025 FSC-klagomål mail.docx", "A 94-2025")</f>
        <v/>
      </c>
      <c r="X42">
        <f>HYPERLINK("https://klasma.github.io/Logging_2403/tillsyn/A 94-2025 tillsynsbegäran.docx", "A 94-2025")</f>
        <v/>
      </c>
      <c r="Y42">
        <f>HYPERLINK("https://klasma.github.io/Logging_2403/tillsynsmail/A 94-2025 tillsynsbegäran mail.docx", "A 94-2025")</f>
        <v/>
      </c>
    </row>
    <row r="43" ht="15" customHeight="1">
      <c r="A43" t="inlineStr">
        <is>
          <t>A 16145-2022</t>
        </is>
      </c>
      <c r="B43" s="1" t="n">
        <v>44665</v>
      </c>
      <c r="C43" s="1" t="n">
        <v>45999</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58948-2023</t>
        </is>
      </c>
      <c r="B44" s="1" t="n">
        <v>45252</v>
      </c>
      <c r="C44" s="1" t="n">
        <v>45999</v>
      </c>
      <c r="D44" t="inlineStr">
        <is>
          <t>VÄSTERBOTTENS LÄN</t>
        </is>
      </c>
      <c r="E44" t="inlineStr">
        <is>
          <t>BJURHOLM</t>
        </is>
      </c>
      <c r="F44" t="inlineStr">
        <is>
          <t>Sveaskog</t>
        </is>
      </c>
      <c r="G44" t="n">
        <v>7.9</v>
      </c>
      <c r="H44" t="n">
        <v>0</v>
      </c>
      <c r="I44" t="n">
        <v>0</v>
      </c>
      <c r="J44" t="n">
        <v>1</v>
      </c>
      <c r="K44" t="n">
        <v>0</v>
      </c>
      <c r="L44" t="n">
        <v>0</v>
      </c>
      <c r="M44" t="n">
        <v>0</v>
      </c>
      <c r="N44" t="n">
        <v>0</v>
      </c>
      <c r="O44" t="n">
        <v>1</v>
      </c>
      <c r="P44" t="n">
        <v>0</v>
      </c>
      <c r="Q44" t="n">
        <v>1</v>
      </c>
      <c r="R44" s="2" t="inlineStr">
        <is>
          <t>Lunglav</t>
        </is>
      </c>
      <c r="S44">
        <f>HYPERLINK("https://klasma.github.io/Logging_2403/artfynd/A 58948-2023 artfynd.xlsx", "A 58948-2023")</f>
        <v/>
      </c>
      <c r="T44">
        <f>HYPERLINK("https://klasma.github.io/Logging_2403/kartor/A 58948-2023 karta.png", "A 58948-2023")</f>
        <v/>
      </c>
      <c r="V44">
        <f>HYPERLINK("https://klasma.github.io/Logging_2403/klagomål/A 58948-2023 FSC-klagomål.docx", "A 58948-2023")</f>
        <v/>
      </c>
      <c r="W44">
        <f>HYPERLINK("https://klasma.github.io/Logging_2403/klagomålsmail/A 58948-2023 FSC-klagomål mail.docx", "A 58948-2023")</f>
        <v/>
      </c>
      <c r="X44">
        <f>HYPERLINK("https://klasma.github.io/Logging_2403/tillsyn/A 58948-2023 tillsynsbegäran.docx", "A 58948-2023")</f>
        <v/>
      </c>
      <c r="Y44">
        <f>HYPERLINK("https://klasma.github.io/Logging_2403/tillsynsmail/A 58948-2023 tillsynsbegäran mail.docx", "A 58948-2023")</f>
        <v/>
      </c>
    </row>
    <row r="45" ht="15" customHeight="1">
      <c r="A45" t="inlineStr">
        <is>
          <t>A 47014-2025</t>
        </is>
      </c>
      <c r="B45" s="1" t="n">
        <v>45929.5741087963</v>
      </c>
      <c r="C45" s="1" t="n">
        <v>45999</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15699-2024</t>
        </is>
      </c>
      <c r="B46" s="1" t="n">
        <v>45404</v>
      </c>
      <c r="C46" s="1" t="n">
        <v>45999</v>
      </c>
      <c r="D46" t="inlineStr">
        <is>
          <t>VÄSTERBOTTENS LÄN</t>
        </is>
      </c>
      <c r="E46" t="inlineStr">
        <is>
          <t>BJURHOLM</t>
        </is>
      </c>
      <c r="G46" t="n">
        <v>2.2</v>
      </c>
      <c r="H46" t="n">
        <v>0</v>
      </c>
      <c r="I46" t="n">
        <v>1</v>
      </c>
      <c r="J46" t="n">
        <v>0</v>
      </c>
      <c r="K46" t="n">
        <v>0</v>
      </c>
      <c r="L46" t="n">
        <v>0</v>
      </c>
      <c r="M46" t="n">
        <v>0</v>
      </c>
      <c r="N46" t="n">
        <v>0</v>
      </c>
      <c r="O46" t="n">
        <v>0</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15557-2025</t>
        </is>
      </c>
      <c r="B47" s="1" t="n">
        <v>45747.68127314815</v>
      </c>
      <c r="C47" s="1" t="n">
        <v>45999</v>
      </c>
      <c r="D47" t="inlineStr">
        <is>
          <t>VÄSTERBOTTENS LÄN</t>
        </is>
      </c>
      <c r="E47" t="inlineStr">
        <is>
          <t>BJURHOLM</t>
        </is>
      </c>
      <c r="G47" t="n">
        <v>11.3</v>
      </c>
      <c r="H47" t="n">
        <v>1</v>
      </c>
      <c r="I47" t="n">
        <v>0</v>
      </c>
      <c r="J47" t="n">
        <v>1</v>
      </c>
      <c r="K47" t="n">
        <v>0</v>
      </c>
      <c r="L47" t="n">
        <v>0</v>
      </c>
      <c r="M47" t="n">
        <v>0</v>
      </c>
      <c r="N47" t="n">
        <v>0</v>
      </c>
      <c r="O47" t="n">
        <v>1</v>
      </c>
      <c r="P47" t="n">
        <v>0</v>
      </c>
      <c r="Q47" t="n">
        <v>1</v>
      </c>
      <c r="R47" s="2" t="inlineStr">
        <is>
          <t>Talltita</t>
        </is>
      </c>
      <c r="S47">
        <f>HYPERLINK("https://klasma.github.io/Logging_2403/artfynd/A 15557-2025 artfynd.xlsx", "A 15557-2025")</f>
        <v/>
      </c>
      <c r="T47">
        <f>HYPERLINK("https://klasma.github.io/Logging_2403/kartor/A 15557-2025 karta.png", "A 15557-2025")</f>
        <v/>
      </c>
      <c r="V47">
        <f>HYPERLINK("https://klasma.github.io/Logging_2403/klagomål/A 15557-2025 FSC-klagomål.docx", "A 15557-2025")</f>
        <v/>
      </c>
      <c r="W47">
        <f>HYPERLINK("https://klasma.github.io/Logging_2403/klagomålsmail/A 15557-2025 FSC-klagomål mail.docx", "A 15557-2025")</f>
        <v/>
      </c>
      <c r="X47">
        <f>HYPERLINK("https://klasma.github.io/Logging_2403/tillsyn/A 15557-2025 tillsynsbegäran.docx", "A 15557-2025")</f>
        <v/>
      </c>
      <c r="Y47">
        <f>HYPERLINK("https://klasma.github.io/Logging_2403/tillsynsmail/A 15557-2025 tillsynsbegäran mail.docx", "A 15557-2025")</f>
        <v/>
      </c>
      <c r="Z47">
        <f>HYPERLINK("https://klasma.github.io/Logging_2403/fåglar/A 15557-2025 prioriterade fågelarter.docx", "A 15557-2025")</f>
        <v/>
      </c>
    </row>
    <row r="48" ht="15" customHeight="1">
      <c r="A48" t="inlineStr">
        <is>
          <t>A 32506-2024</t>
        </is>
      </c>
      <c r="B48" s="1" t="n">
        <v>45513</v>
      </c>
      <c r="C48" s="1" t="n">
        <v>45999</v>
      </c>
      <c r="D48" t="inlineStr">
        <is>
          <t>VÄSTERBOTTENS LÄN</t>
        </is>
      </c>
      <c r="E48" t="inlineStr">
        <is>
          <t>BJURHOLM</t>
        </is>
      </c>
      <c r="G48" t="n">
        <v>3.5</v>
      </c>
      <c r="H48" t="n">
        <v>1</v>
      </c>
      <c r="I48" t="n">
        <v>0</v>
      </c>
      <c r="J48" t="n">
        <v>1</v>
      </c>
      <c r="K48" t="n">
        <v>0</v>
      </c>
      <c r="L48" t="n">
        <v>0</v>
      </c>
      <c r="M48" t="n">
        <v>0</v>
      </c>
      <c r="N48" t="n">
        <v>0</v>
      </c>
      <c r="O48" t="n">
        <v>1</v>
      </c>
      <c r="P48" t="n">
        <v>0</v>
      </c>
      <c r="Q48" t="n">
        <v>1</v>
      </c>
      <c r="R48" s="2" t="inlineStr">
        <is>
          <t>Tretåig hackspett</t>
        </is>
      </c>
      <c r="S48">
        <f>HYPERLINK("https://klasma.github.io/Logging_2403/artfynd/A 32506-2024 artfynd.xlsx", "A 32506-2024")</f>
        <v/>
      </c>
      <c r="T48">
        <f>HYPERLINK("https://klasma.github.io/Logging_2403/kartor/A 32506-2024 karta.png", "A 32506-2024")</f>
        <v/>
      </c>
      <c r="V48">
        <f>HYPERLINK("https://klasma.github.io/Logging_2403/klagomål/A 32506-2024 FSC-klagomål.docx", "A 32506-2024")</f>
        <v/>
      </c>
      <c r="W48">
        <f>HYPERLINK("https://klasma.github.io/Logging_2403/klagomålsmail/A 32506-2024 FSC-klagomål mail.docx", "A 32506-2024")</f>
        <v/>
      </c>
      <c r="X48">
        <f>HYPERLINK("https://klasma.github.io/Logging_2403/tillsyn/A 32506-2024 tillsynsbegäran.docx", "A 32506-2024")</f>
        <v/>
      </c>
      <c r="Y48">
        <f>HYPERLINK("https://klasma.github.io/Logging_2403/tillsynsmail/A 32506-2024 tillsynsbegäran mail.docx", "A 32506-2024")</f>
        <v/>
      </c>
      <c r="Z48">
        <f>HYPERLINK("https://klasma.github.io/Logging_2403/fåglar/A 32506-2024 prioriterade fågelarter.docx", "A 32506-2024")</f>
        <v/>
      </c>
    </row>
    <row r="49" ht="15" customHeight="1">
      <c r="A49" t="inlineStr">
        <is>
          <t>A 56442-2025</t>
        </is>
      </c>
      <c r="B49" s="1" t="n">
        <v>45975.34778935185</v>
      </c>
      <c r="C49" s="1" t="n">
        <v>45999</v>
      </c>
      <c r="D49" t="inlineStr">
        <is>
          <t>VÄSTERBOTTENS LÄN</t>
        </is>
      </c>
      <c r="E49" t="inlineStr">
        <is>
          <t>BJURHOLM</t>
        </is>
      </c>
      <c r="F49" t="inlineStr">
        <is>
          <t>SCA</t>
        </is>
      </c>
      <c r="G49" t="n">
        <v>6.5</v>
      </c>
      <c r="H49" t="n">
        <v>0</v>
      </c>
      <c r="I49" t="n">
        <v>0</v>
      </c>
      <c r="J49" t="n">
        <v>1</v>
      </c>
      <c r="K49" t="n">
        <v>0</v>
      </c>
      <c r="L49" t="n">
        <v>0</v>
      </c>
      <c r="M49" t="n">
        <v>0</v>
      </c>
      <c r="N49" t="n">
        <v>0</v>
      </c>
      <c r="O49" t="n">
        <v>1</v>
      </c>
      <c r="P49" t="n">
        <v>0</v>
      </c>
      <c r="Q49" t="n">
        <v>1</v>
      </c>
      <c r="R49" s="2" t="inlineStr">
        <is>
          <t>Lunglav</t>
        </is>
      </c>
      <c r="S49">
        <f>HYPERLINK("https://klasma.github.io/Logging_2403/artfynd/A 56442-2025 artfynd.xlsx", "A 56442-2025")</f>
        <v/>
      </c>
      <c r="T49">
        <f>HYPERLINK("https://klasma.github.io/Logging_2403/kartor/A 56442-2025 karta.png", "A 56442-2025")</f>
        <v/>
      </c>
      <c r="V49">
        <f>HYPERLINK("https://klasma.github.io/Logging_2403/klagomål/A 56442-2025 FSC-klagomål.docx", "A 56442-2025")</f>
        <v/>
      </c>
      <c r="W49">
        <f>HYPERLINK("https://klasma.github.io/Logging_2403/klagomålsmail/A 56442-2025 FSC-klagomål mail.docx", "A 56442-2025")</f>
        <v/>
      </c>
      <c r="X49">
        <f>HYPERLINK("https://klasma.github.io/Logging_2403/tillsyn/A 56442-2025 tillsynsbegäran.docx", "A 56442-2025")</f>
        <v/>
      </c>
      <c r="Y49">
        <f>HYPERLINK("https://klasma.github.io/Logging_2403/tillsynsmail/A 56442-2025 tillsynsbegäran mail.docx", "A 56442-2025")</f>
        <v/>
      </c>
    </row>
    <row r="50" ht="15" customHeight="1">
      <c r="A50" t="inlineStr">
        <is>
          <t>A 57601-2025</t>
        </is>
      </c>
      <c r="B50" s="1" t="n">
        <v>45981.30391203704</v>
      </c>
      <c r="C50" s="1" t="n">
        <v>45999</v>
      </c>
      <c r="D50" t="inlineStr">
        <is>
          <t>VÄSTERBOTTENS LÄN</t>
        </is>
      </c>
      <c r="E50" t="inlineStr">
        <is>
          <t>BJURHOLM</t>
        </is>
      </c>
      <c r="F50" t="inlineStr">
        <is>
          <t>Holmen skog AB</t>
        </is>
      </c>
      <c r="G50" t="n">
        <v>6.3</v>
      </c>
      <c r="H50" t="n">
        <v>1</v>
      </c>
      <c r="I50" t="n">
        <v>0</v>
      </c>
      <c r="J50" t="n">
        <v>0</v>
      </c>
      <c r="K50" t="n">
        <v>0</v>
      </c>
      <c r="L50" t="n">
        <v>0</v>
      </c>
      <c r="M50" t="n">
        <v>0</v>
      </c>
      <c r="N50" t="n">
        <v>0</v>
      </c>
      <c r="O50" t="n">
        <v>0</v>
      </c>
      <c r="P50" t="n">
        <v>0</v>
      </c>
      <c r="Q50" t="n">
        <v>1</v>
      </c>
      <c r="R50" s="2" t="inlineStr">
        <is>
          <t>Fläcknycklar</t>
        </is>
      </c>
      <c r="S50">
        <f>HYPERLINK("https://klasma.github.io/Logging_2403/artfynd/A 57601-2025 artfynd.xlsx", "A 57601-2025")</f>
        <v/>
      </c>
      <c r="T50">
        <f>HYPERLINK("https://klasma.github.io/Logging_2403/kartor/A 57601-2025 karta.png", "A 57601-2025")</f>
        <v/>
      </c>
      <c r="V50">
        <f>HYPERLINK("https://klasma.github.io/Logging_2403/klagomål/A 57601-2025 FSC-klagomål.docx", "A 57601-2025")</f>
        <v/>
      </c>
      <c r="W50">
        <f>HYPERLINK("https://klasma.github.io/Logging_2403/klagomålsmail/A 57601-2025 FSC-klagomål mail.docx", "A 57601-2025")</f>
        <v/>
      </c>
      <c r="X50">
        <f>HYPERLINK("https://klasma.github.io/Logging_2403/tillsyn/A 57601-2025 tillsynsbegäran.docx", "A 57601-2025")</f>
        <v/>
      </c>
      <c r="Y50">
        <f>HYPERLINK("https://klasma.github.io/Logging_2403/tillsynsmail/A 57601-2025 tillsynsbegäran mail.docx", "A 57601-2025")</f>
        <v/>
      </c>
    </row>
    <row r="51" ht="15" customHeight="1">
      <c r="A51" t="inlineStr">
        <is>
          <t>A 44079-2025</t>
        </is>
      </c>
      <c r="B51" s="1" t="n">
        <v>45915.55253472222</v>
      </c>
      <c r="C51" s="1" t="n">
        <v>45999</v>
      </c>
      <c r="D51" t="inlineStr">
        <is>
          <t>VÄSTERBOTTENS LÄN</t>
        </is>
      </c>
      <c r="E51" t="inlineStr">
        <is>
          <t>BJURHOLM</t>
        </is>
      </c>
      <c r="F51" t="inlineStr">
        <is>
          <t>SCA</t>
        </is>
      </c>
      <c r="G51" t="n">
        <v>3.6</v>
      </c>
      <c r="H51" t="n">
        <v>0</v>
      </c>
      <c r="I51" t="n">
        <v>1</v>
      </c>
      <c r="J51" t="n">
        <v>0</v>
      </c>
      <c r="K51" t="n">
        <v>0</v>
      </c>
      <c r="L51" t="n">
        <v>0</v>
      </c>
      <c r="M51" t="n">
        <v>0</v>
      </c>
      <c r="N51" t="n">
        <v>0</v>
      </c>
      <c r="O51" t="n">
        <v>0</v>
      </c>
      <c r="P51" t="n">
        <v>0</v>
      </c>
      <c r="Q51" t="n">
        <v>1</v>
      </c>
      <c r="R51" s="2" t="inlineStr">
        <is>
          <t>Dropptaggsvamp</t>
        </is>
      </c>
      <c r="S51">
        <f>HYPERLINK("https://klasma.github.io/Logging_2403/artfynd/A 44079-2025 artfynd.xlsx", "A 44079-2025")</f>
        <v/>
      </c>
      <c r="T51">
        <f>HYPERLINK("https://klasma.github.io/Logging_2403/kartor/A 44079-2025 karta.png", "A 44079-2025")</f>
        <v/>
      </c>
      <c r="V51">
        <f>HYPERLINK("https://klasma.github.io/Logging_2403/klagomål/A 44079-2025 FSC-klagomål.docx", "A 44079-2025")</f>
        <v/>
      </c>
      <c r="W51">
        <f>HYPERLINK("https://klasma.github.io/Logging_2403/klagomålsmail/A 44079-2025 FSC-klagomål mail.docx", "A 44079-2025")</f>
        <v/>
      </c>
      <c r="X51">
        <f>HYPERLINK("https://klasma.github.io/Logging_2403/tillsyn/A 44079-2025 tillsynsbegäran.docx", "A 44079-2025")</f>
        <v/>
      </c>
      <c r="Y51">
        <f>HYPERLINK("https://klasma.github.io/Logging_2403/tillsynsmail/A 44079-2025 tillsynsbegäran mail.docx", "A 44079-2025")</f>
        <v/>
      </c>
    </row>
    <row r="52" ht="15" customHeight="1">
      <c r="A52" t="inlineStr">
        <is>
          <t>A 62046-2024</t>
        </is>
      </c>
      <c r="B52" s="1" t="n">
        <v>45656</v>
      </c>
      <c r="C52" s="1" t="n">
        <v>45999</v>
      </c>
      <c r="D52" t="inlineStr">
        <is>
          <t>VÄSTERBOTTENS LÄN</t>
        </is>
      </c>
      <c r="E52" t="inlineStr">
        <is>
          <t>BJURHOLM</t>
        </is>
      </c>
      <c r="G52" t="n">
        <v>21.9</v>
      </c>
      <c r="H52" t="n">
        <v>1</v>
      </c>
      <c r="I52" t="n">
        <v>0</v>
      </c>
      <c r="J52" t="n">
        <v>0</v>
      </c>
      <c r="K52" t="n">
        <v>0</v>
      </c>
      <c r="L52" t="n">
        <v>0</v>
      </c>
      <c r="M52" t="n">
        <v>0</v>
      </c>
      <c r="N52" t="n">
        <v>0</v>
      </c>
      <c r="O52" t="n">
        <v>0</v>
      </c>
      <c r="P52" t="n">
        <v>0</v>
      </c>
      <c r="Q52" t="n">
        <v>1</v>
      </c>
      <c r="R52" s="2" t="inlineStr">
        <is>
          <t>Fläcknycklar</t>
        </is>
      </c>
      <c r="S52">
        <f>HYPERLINK("https://klasma.github.io/Logging_2403/artfynd/A 62046-2024 artfynd.xlsx", "A 62046-2024")</f>
        <v/>
      </c>
      <c r="T52">
        <f>HYPERLINK("https://klasma.github.io/Logging_2403/kartor/A 62046-2024 karta.png", "A 62046-2024")</f>
        <v/>
      </c>
      <c r="V52">
        <f>HYPERLINK("https://klasma.github.io/Logging_2403/klagomål/A 62046-2024 FSC-klagomål.docx", "A 62046-2024")</f>
        <v/>
      </c>
      <c r="W52">
        <f>HYPERLINK("https://klasma.github.io/Logging_2403/klagomålsmail/A 62046-2024 FSC-klagomål mail.docx", "A 62046-2024")</f>
        <v/>
      </c>
      <c r="X52">
        <f>HYPERLINK("https://klasma.github.io/Logging_2403/tillsyn/A 62046-2024 tillsynsbegäran.docx", "A 62046-2024")</f>
        <v/>
      </c>
      <c r="Y52">
        <f>HYPERLINK("https://klasma.github.io/Logging_2403/tillsynsmail/A 62046-2024 tillsynsbegäran mail.docx", "A 62046-2024")</f>
        <v/>
      </c>
    </row>
    <row r="53" ht="15" customHeight="1">
      <c r="A53" t="inlineStr">
        <is>
          <t>A 14540-2021</t>
        </is>
      </c>
      <c r="B53" s="1" t="n">
        <v>44279</v>
      </c>
      <c r="C53" s="1" t="n">
        <v>45999</v>
      </c>
      <c r="D53" t="inlineStr">
        <is>
          <t>VÄSTERBOTTENS LÄN</t>
        </is>
      </c>
      <c r="E53" t="inlineStr">
        <is>
          <t>BJURHOLM</t>
        </is>
      </c>
      <c r="G53" t="n">
        <v>2.7</v>
      </c>
      <c r="H53" t="n">
        <v>0</v>
      </c>
      <c r="I53" t="n">
        <v>0</v>
      </c>
      <c r="J53" t="n">
        <v>0</v>
      </c>
      <c r="K53" t="n">
        <v>0</v>
      </c>
      <c r="L53" t="n">
        <v>0</v>
      </c>
      <c r="M53" t="n">
        <v>0</v>
      </c>
      <c r="N53" t="n">
        <v>0</v>
      </c>
      <c r="O53" t="n">
        <v>0</v>
      </c>
      <c r="P53" t="n">
        <v>0</v>
      </c>
      <c r="Q53" t="n">
        <v>0</v>
      </c>
      <c r="R53" s="2" t="inlineStr"/>
    </row>
    <row r="54" ht="15" customHeight="1">
      <c r="A54" t="inlineStr">
        <is>
          <t>A 17551-2022</t>
        </is>
      </c>
      <c r="B54" s="1" t="n">
        <v>44679</v>
      </c>
      <c r="C54" s="1" t="n">
        <v>45999</v>
      </c>
      <c r="D54" t="inlineStr">
        <is>
          <t>VÄSTERBOTTENS LÄN</t>
        </is>
      </c>
      <c r="E54" t="inlineStr">
        <is>
          <t>BJURHOLM</t>
        </is>
      </c>
      <c r="G54" t="n">
        <v>6.1</v>
      </c>
      <c r="H54" t="n">
        <v>0</v>
      </c>
      <c r="I54" t="n">
        <v>0</v>
      </c>
      <c r="J54" t="n">
        <v>0</v>
      </c>
      <c r="K54" t="n">
        <v>0</v>
      </c>
      <c r="L54" t="n">
        <v>0</v>
      </c>
      <c r="M54" t="n">
        <v>0</v>
      </c>
      <c r="N54" t="n">
        <v>0</v>
      </c>
      <c r="O54" t="n">
        <v>0</v>
      </c>
      <c r="P54" t="n">
        <v>0</v>
      </c>
      <c r="Q54" t="n">
        <v>0</v>
      </c>
      <c r="R54" s="2" t="inlineStr"/>
    </row>
    <row r="55" ht="15" customHeight="1">
      <c r="A55" t="inlineStr">
        <is>
          <t>A 67751-2021</t>
        </is>
      </c>
      <c r="B55" s="1" t="n">
        <v>44524</v>
      </c>
      <c r="C55" s="1" t="n">
        <v>45999</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17850-2021</t>
        </is>
      </c>
      <c r="B56" s="1" t="n">
        <v>44300.93118055556</v>
      </c>
      <c r="C56" s="1" t="n">
        <v>45999</v>
      </c>
      <c r="D56" t="inlineStr">
        <is>
          <t>VÄSTERBOTTENS LÄN</t>
        </is>
      </c>
      <c r="E56" t="inlineStr">
        <is>
          <t>BJURHOLM</t>
        </is>
      </c>
      <c r="F56" t="inlineStr">
        <is>
          <t>SCA</t>
        </is>
      </c>
      <c r="G56" t="n">
        <v>11.4</v>
      </c>
      <c r="H56" t="n">
        <v>0</v>
      </c>
      <c r="I56" t="n">
        <v>0</v>
      </c>
      <c r="J56" t="n">
        <v>0</v>
      </c>
      <c r="K56" t="n">
        <v>0</v>
      </c>
      <c r="L56" t="n">
        <v>0</v>
      </c>
      <c r="M56" t="n">
        <v>0</v>
      </c>
      <c r="N56" t="n">
        <v>0</v>
      </c>
      <c r="O56" t="n">
        <v>0</v>
      </c>
      <c r="P56" t="n">
        <v>0</v>
      </c>
      <c r="Q56" t="n">
        <v>0</v>
      </c>
      <c r="R56" s="2" t="inlineStr"/>
    </row>
    <row r="57" ht="15" customHeight="1">
      <c r="A57" t="inlineStr">
        <is>
          <t>A 28040-2022</t>
        </is>
      </c>
      <c r="B57" s="1" t="n">
        <v>44746</v>
      </c>
      <c r="C57" s="1" t="n">
        <v>45999</v>
      </c>
      <c r="D57" t="inlineStr">
        <is>
          <t>VÄSTERBOTTENS LÄN</t>
        </is>
      </c>
      <c r="E57" t="inlineStr">
        <is>
          <t>BJURHOLM</t>
        </is>
      </c>
      <c r="G57" t="n">
        <v>0.9</v>
      </c>
      <c r="H57" t="n">
        <v>0</v>
      </c>
      <c r="I57" t="n">
        <v>0</v>
      </c>
      <c r="J57" t="n">
        <v>0</v>
      </c>
      <c r="K57" t="n">
        <v>0</v>
      </c>
      <c r="L57" t="n">
        <v>0</v>
      </c>
      <c r="M57" t="n">
        <v>0</v>
      </c>
      <c r="N57" t="n">
        <v>0</v>
      </c>
      <c r="O57" t="n">
        <v>0</v>
      </c>
      <c r="P57" t="n">
        <v>0</v>
      </c>
      <c r="Q57" t="n">
        <v>0</v>
      </c>
      <c r="R57" s="2" t="inlineStr"/>
    </row>
    <row r="58" ht="15" customHeight="1">
      <c r="A58" t="inlineStr">
        <is>
          <t>A 31412-2022</t>
        </is>
      </c>
      <c r="B58" s="1" t="n">
        <v>44774</v>
      </c>
      <c r="C58" s="1" t="n">
        <v>45999</v>
      </c>
      <c r="D58" t="inlineStr">
        <is>
          <t>VÄSTERBOTTENS LÄN</t>
        </is>
      </c>
      <c r="E58" t="inlineStr">
        <is>
          <t>BJURHOLM</t>
        </is>
      </c>
      <c r="G58" t="n">
        <v>5.4</v>
      </c>
      <c r="H58" t="n">
        <v>0</v>
      </c>
      <c r="I58" t="n">
        <v>0</v>
      </c>
      <c r="J58" t="n">
        <v>0</v>
      </c>
      <c r="K58" t="n">
        <v>0</v>
      </c>
      <c r="L58" t="n">
        <v>0</v>
      </c>
      <c r="M58" t="n">
        <v>0</v>
      </c>
      <c r="N58" t="n">
        <v>0</v>
      </c>
      <c r="O58" t="n">
        <v>0</v>
      </c>
      <c r="P58" t="n">
        <v>0</v>
      </c>
      <c r="Q58" t="n">
        <v>0</v>
      </c>
      <c r="R58" s="2" t="inlineStr"/>
    </row>
    <row r="59" ht="15" customHeight="1">
      <c r="A59" t="inlineStr">
        <is>
          <t>A 42403-2022</t>
        </is>
      </c>
      <c r="B59" s="1" t="n">
        <v>44831.43211805556</v>
      </c>
      <c r="C59" s="1" t="n">
        <v>45999</v>
      </c>
      <c r="D59" t="inlineStr">
        <is>
          <t>VÄSTERBOTTENS LÄN</t>
        </is>
      </c>
      <c r="E59" t="inlineStr">
        <is>
          <t>BJURHOLM</t>
        </is>
      </c>
      <c r="G59" t="n">
        <v>2.6</v>
      </c>
      <c r="H59" t="n">
        <v>0</v>
      </c>
      <c r="I59" t="n">
        <v>0</v>
      </c>
      <c r="J59" t="n">
        <v>0</v>
      </c>
      <c r="K59" t="n">
        <v>0</v>
      </c>
      <c r="L59" t="n">
        <v>0</v>
      </c>
      <c r="M59" t="n">
        <v>0</v>
      </c>
      <c r="N59" t="n">
        <v>0</v>
      </c>
      <c r="O59" t="n">
        <v>0</v>
      </c>
      <c r="P59" t="n">
        <v>0</v>
      </c>
      <c r="Q59" t="n">
        <v>0</v>
      </c>
      <c r="R59" s="2" t="inlineStr"/>
    </row>
    <row r="60" ht="15" customHeight="1">
      <c r="A60" t="inlineStr">
        <is>
          <t>A 40000-2022</t>
        </is>
      </c>
      <c r="B60" s="1" t="n">
        <v>44818</v>
      </c>
      <c r="C60" s="1" t="n">
        <v>45999</v>
      </c>
      <c r="D60" t="inlineStr">
        <is>
          <t>VÄSTERBOTTENS LÄN</t>
        </is>
      </c>
      <c r="E60" t="inlineStr">
        <is>
          <t>BJURHOLM</t>
        </is>
      </c>
      <c r="G60" t="n">
        <v>1</v>
      </c>
      <c r="H60" t="n">
        <v>0</v>
      </c>
      <c r="I60" t="n">
        <v>0</v>
      </c>
      <c r="J60" t="n">
        <v>0</v>
      </c>
      <c r="K60" t="n">
        <v>0</v>
      </c>
      <c r="L60" t="n">
        <v>0</v>
      </c>
      <c r="M60" t="n">
        <v>0</v>
      </c>
      <c r="N60" t="n">
        <v>0</v>
      </c>
      <c r="O60" t="n">
        <v>0</v>
      </c>
      <c r="P60" t="n">
        <v>0</v>
      </c>
      <c r="Q60" t="n">
        <v>0</v>
      </c>
      <c r="R60" s="2" t="inlineStr"/>
    </row>
    <row r="61" ht="15" customHeight="1">
      <c r="A61" t="inlineStr">
        <is>
          <t>A 32081-2021</t>
        </is>
      </c>
      <c r="B61" s="1" t="n">
        <v>44370</v>
      </c>
      <c r="C61" s="1" t="n">
        <v>45999</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45999</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45999</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45999</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45999</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45418-2022</t>
        </is>
      </c>
      <c r="B66" s="1" t="n">
        <v>44844.92738425926</v>
      </c>
      <c r="C66" s="1" t="n">
        <v>45999</v>
      </c>
      <c r="D66" t="inlineStr">
        <is>
          <t>VÄSTERBOTTENS LÄN</t>
        </is>
      </c>
      <c r="E66" t="inlineStr">
        <is>
          <t>BJURHOLM</t>
        </is>
      </c>
      <c r="G66" t="n">
        <v>1.5</v>
      </c>
      <c r="H66" t="n">
        <v>0</v>
      </c>
      <c r="I66" t="n">
        <v>0</v>
      </c>
      <c r="J66" t="n">
        <v>0</v>
      </c>
      <c r="K66" t="n">
        <v>0</v>
      </c>
      <c r="L66" t="n">
        <v>0</v>
      </c>
      <c r="M66" t="n">
        <v>0</v>
      </c>
      <c r="N66" t="n">
        <v>0</v>
      </c>
      <c r="O66" t="n">
        <v>0</v>
      </c>
      <c r="P66" t="n">
        <v>0</v>
      </c>
      <c r="Q66" t="n">
        <v>0</v>
      </c>
      <c r="R66" s="2" t="inlineStr"/>
    </row>
    <row r="67" ht="15" customHeight="1">
      <c r="A67" t="inlineStr">
        <is>
          <t>A 51361-2021</t>
        </is>
      </c>
      <c r="B67" s="1" t="n">
        <v>44461</v>
      </c>
      <c r="C67" s="1" t="n">
        <v>45999</v>
      </c>
      <c r="D67" t="inlineStr">
        <is>
          <t>VÄSTERBOTTENS LÄN</t>
        </is>
      </c>
      <c r="E67" t="inlineStr">
        <is>
          <t>BJURHOLM</t>
        </is>
      </c>
      <c r="G67" t="n">
        <v>0.8</v>
      </c>
      <c r="H67" t="n">
        <v>0</v>
      </c>
      <c r="I67" t="n">
        <v>0</v>
      </c>
      <c r="J67" t="n">
        <v>0</v>
      </c>
      <c r="K67" t="n">
        <v>0</v>
      </c>
      <c r="L67" t="n">
        <v>0</v>
      </c>
      <c r="M67" t="n">
        <v>0</v>
      </c>
      <c r="N67" t="n">
        <v>0</v>
      </c>
      <c r="O67" t="n">
        <v>0</v>
      </c>
      <c r="P67" t="n">
        <v>0</v>
      </c>
      <c r="Q67" t="n">
        <v>0</v>
      </c>
      <c r="R67" s="2" t="inlineStr"/>
    </row>
    <row r="68" ht="15" customHeight="1">
      <c r="A68" t="inlineStr">
        <is>
          <t>A 51368-2021</t>
        </is>
      </c>
      <c r="B68" s="1" t="n">
        <v>44461</v>
      </c>
      <c r="C68" s="1" t="n">
        <v>45999</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52111-2021</t>
        </is>
      </c>
      <c r="B69" s="1" t="n">
        <v>44462</v>
      </c>
      <c r="C69" s="1" t="n">
        <v>45999</v>
      </c>
      <c r="D69" t="inlineStr">
        <is>
          <t>VÄSTERBOTTENS LÄN</t>
        </is>
      </c>
      <c r="E69" t="inlineStr">
        <is>
          <t>BJURHOLM</t>
        </is>
      </c>
      <c r="G69" t="n">
        <v>1.4</v>
      </c>
      <c r="H69" t="n">
        <v>0</v>
      </c>
      <c r="I69" t="n">
        <v>0</v>
      </c>
      <c r="J69" t="n">
        <v>0</v>
      </c>
      <c r="K69" t="n">
        <v>0</v>
      </c>
      <c r="L69" t="n">
        <v>0</v>
      </c>
      <c r="M69" t="n">
        <v>0</v>
      </c>
      <c r="N69" t="n">
        <v>0</v>
      </c>
      <c r="O69" t="n">
        <v>0</v>
      </c>
      <c r="P69" t="n">
        <v>0</v>
      </c>
      <c r="Q69" t="n">
        <v>0</v>
      </c>
      <c r="R69" s="2" t="inlineStr"/>
    </row>
    <row r="70" ht="15" customHeight="1">
      <c r="A70" t="inlineStr">
        <is>
          <t>A 67684-2020</t>
        </is>
      </c>
      <c r="B70" s="1" t="n">
        <v>44182</v>
      </c>
      <c r="C70" s="1" t="n">
        <v>45999</v>
      </c>
      <c r="D70" t="inlineStr">
        <is>
          <t>VÄSTERBOTTENS LÄN</t>
        </is>
      </c>
      <c r="E70" t="inlineStr">
        <is>
          <t>BJURHOLM</t>
        </is>
      </c>
      <c r="G70" t="n">
        <v>0.9</v>
      </c>
      <c r="H70" t="n">
        <v>0</v>
      </c>
      <c r="I70" t="n">
        <v>0</v>
      </c>
      <c r="J70" t="n">
        <v>0</v>
      </c>
      <c r="K70" t="n">
        <v>0</v>
      </c>
      <c r="L70" t="n">
        <v>0</v>
      </c>
      <c r="M70" t="n">
        <v>0</v>
      </c>
      <c r="N70" t="n">
        <v>0</v>
      </c>
      <c r="O70" t="n">
        <v>0</v>
      </c>
      <c r="P70" t="n">
        <v>0</v>
      </c>
      <c r="Q70" t="n">
        <v>0</v>
      </c>
      <c r="R70" s="2" t="inlineStr"/>
    </row>
    <row r="71" ht="15" customHeight="1">
      <c r="A71" t="inlineStr">
        <is>
          <t>A 62807-2021</t>
        </is>
      </c>
      <c r="B71" s="1" t="n">
        <v>44504.48643518519</v>
      </c>
      <c r="C71" s="1" t="n">
        <v>45999</v>
      </c>
      <c r="D71" t="inlineStr">
        <is>
          <t>VÄSTERBOTTENS LÄN</t>
        </is>
      </c>
      <c r="E71" t="inlineStr">
        <is>
          <t>BJURHOLM</t>
        </is>
      </c>
      <c r="F71" t="inlineStr">
        <is>
          <t>Holmen skog AB</t>
        </is>
      </c>
      <c r="G71" t="n">
        <v>0.4</v>
      </c>
      <c r="H71" t="n">
        <v>0</v>
      </c>
      <c r="I71" t="n">
        <v>0</v>
      </c>
      <c r="J71" t="n">
        <v>0</v>
      </c>
      <c r="K71" t="n">
        <v>0</v>
      </c>
      <c r="L71" t="n">
        <v>0</v>
      </c>
      <c r="M71" t="n">
        <v>0</v>
      </c>
      <c r="N71" t="n">
        <v>0</v>
      </c>
      <c r="O71" t="n">
        <v>0</v>
      </c>
      <c r="P71" t="n">
        <v>0</v>
      </c>
      <c r="Q71" t="n">
        <v>0</v>
      </c>
      <c r="R71" s="2" t="inlineStr"/>
    </row>
    <row r="72" ht="15" customHeight="1">
      <c r="A72" t="inlineStr">
        <is>
          <t>A 69008-2020</t>
        </is>
      </c>
      <c r="B72" s="1" t="n">
        <v>44187</v>
      </c>
      <c r="C72" s="1" t="n">
        <v>45999</v>
      </c>
      <c r="D72" t="inlineStr">
        <is>
          <t>VÄSTERBOTTENS LÄN</t>
        </is>
      </c>
      <c r="E72" t="inlineStr">
        <is>
          <t>BJURHOLM</t>
        </is>
      </c>
      <c r="G72" t="n">
        <v>4.7</v>
      </c>
      <c r="H72" t="n">
        <v>0</v>
      </c>
      <c r="I72" t="n">
        <v>0</v>
      </c>
      <c r="J72" t="n">
        <v>0</v>
      </c>
      <c r="K72" t="n">
        <v>0</v>
      </c>
      <c r="L72" t="n">
        <v>0</v>
      </c>
      <c r="M72" t="n">
        <v>0</v>
      </c>
      <c r="N72" t="n">
        <v>0</v>
      </c>
      <c r="O72" t="n">
        <v>0</v>
      </c>
      <c r="P72" t="n">
        <v>0</v>
      </c>
      <c r="Q72" t="n">
        <v>0</v>
      </c>
      <c r="R72" s="2" t="inlineStr"/>
    </row>
    <row r="73" ht="15" customHeight="1">
      <c r="A73" t="inlineStr">
        <is>
          <t>A 57866-2021</t>
        </is>
      </c>
      <c r="B73" s="1" t="n">
        <v>44484.98724537037</v>
      </c>
      <c r="C73" s="1" t="n">
        <v>45999</v>
      </c>
      <c r="D73" t="inlineStr">
        <is>
          <t>VÄSTERBOTTENS LÄN</t>
        </is>
      </c>
      <c r="E73" t="inlineStr">
        <is>
          <t>BJURHOLM</t>
        </is>
      </c>
      <c r="F73" t="inlineStr">
        <is>
          <t>SCA</t>
        </is>
      </c>
      <c r="G73" t="n">
        <v>6</v>
      </c>
      <c r="H73" t="n">
        <v>0</v>
      </c>
      <c r="I73" t="n">
        <v>0</v>
      </c>
      <c r="J73" t="n">
        <v>0</v>
      </c>
      <c r="K73" t="n">
        <v>0</v>
      </c>
      <c r="L73" t="n">
        <v>0</v>
      </c>
      <c r="M73" t="n">
        <v>0</v>
      </c>
      <c r="N73" t="n">
        <v>0</v>
      </c>
      <c r="O73" t="n">
        <v>0</v>
      </c>
      <c r="P73" t="n">
        <v>0</v>
      </c>
      <c r="Q73" t="n">
        <v>0</v>
      </c>
      <c r="R73" s="2" t="inlineStr"/>
    </row>
    <row r="74" ht="15" customHeight="1">
      <c r="A74" t="inlineStr">
        <is>
          <t>A 7910-2022</t>
        </is>
      </c>
      <c r="B74" s="1" t="n">
        <v>44608.67099537037</v>
      </c>
      <c r="C74" s="1" t="n">
        <v>45999</v>
      </c>
      <c r="D74" t="inlineStr">
        <is>
          <t>VÄSTERBOTTENS LÄN</t>
        </is>
      </c>
      <c r="E74" t="inlineStr">
        <is>
          <t>BJURHOLM</t>
        </is>
      </c>
      <c r="G74" t="n">
        <v>1.1</v>
      </c>
      <c r="H74" t="n">
        <v>0</v>
      </c>
      <c r="I74" t="n">
        <v>0</v>
      </c>
      <c r="J74" t="n">
        <v>0</v>
      </c>
      <c r="K74" t="n">
        <v>0</v>
      </c>
      <c r="L74" t="n">
        <v>0</v>
      </c>
      <c r="M74" t="n">
        <v>0</v>
      </c>
      <c r="N74" t="n">
        <v>0</v>
      </c>
      <c r="O74" t="n">
        <v>0</v>
      </c>
      <c r="P74" t="n">
        <v>0</v>
      </c>
      <c r="Q74" t="n">
        <v>0</v>
      </c>
      <c r="R74" s="2" t="inlineStr"/>
    </row>
    <row r="75" ht="15" customHeight="1">
      <c r="A75" t="inlineStr">
        <is>
          <t>A 59257-2021</t>
        </is>
      </c>
      <c r="B75" s="1" t="n">
        <v>44490.66326388889</v>
      </c>
      <c r="C75" s="1" t="n">
        <v>45999</v>
      </c>
      <c r="D75" t="inlineStr">
        <is>
          <t>VÄSTERBOTTENS LÄN</t>
        </is>
      </c>
      <c r="E75" t="inlineStr">
        <is>
          <t>BJURHOLM</t>
        </is>
      </c>
      <c r="F75" t="inlineStr">
        <is>
          <t>Holmen skog AB</t>
        </is>
      </c>
      <c r="G75" t="n">
        <v>5.5</v>
      </c>
      <c r="H75" t="n">
        <v>0</v>
      </c>
      <c r="I75" t="n">
        <v>0</v>
      </c>
      <c r="J75" t="n">
        <v>0</v>
      </c>
      <c r="K75" t="n">
        <v>0</v>
      </c>
      <c r="L75" t="n">
        <v>0</v>
      </c>
      <c r="M75" t="n">
        <v>0</v>
      </c>
      <c r="N75" t="n">
        <v>0</v>
      </c>
      <c r="O75" t="n">
        <v>0</v>
      </c>
      <c r="P75" t="n">
        <v>0</v>
      </c>
      <c r="Q75" t="n">
        <v>0</v>
      </c>
      <c r="R75" s="2" t="inlineStr"/>
    </row>
    <row r="76" ht="15" customHeight="1">
      <c r="A76" t="inlineStr">
        <is>
          <t>A 20830-2022</t>
        </is>
      </c>
      <c r="B76" s="1" t="n">
        <v>44701.45046296297</v>
      </c>
      <c r="C76" s="1" t="n">
        <v>45999</v>
      </c>
      <c r="D76" t="inlineStr">
        <is>
          <t>VÄSTERBOTTENS LÄN</t>
        </is>
      </c>
      <c r="E76" t="inlineStr">
        <is>
          <t>BJURHOLM</t>
        </is>
      </c>
      <c r="F76" t="inlineStr">
        <is>
          <t>Holmen skog AB</t>
        </is>
      </c>
      <c r="G76" t="n">
        <v>1.7</v>
      </c>
      <c r="H76" t="n">
        <v>0</v>
      </c>
      <c r="I76" t="n">
        <v>0</v>
      </c>
      <c r="J76" t="n">
        <v>0</v>
      </c>
      <c r="K76" t="n">
        <v>0</v>
      </c>
      <c r="L76" t="n">
        <v>0</v>
      </c>
      <c r="M76" t="n">
        <v>0</v>
      </c>
      <c r="N76" t="n">
        <v>0</v>
      </c>
      <c r="O76" t="n">
        <v>0</v>
      </c>
      <c r="P76" t="n">
        <v>0</v>
      </c>
      <c r="Q76" t="n">
        <v>0</v>
      </c>
      <c r="R76" s="2" t="inlineStr"/>
    </row>
    <row r="77" ht="15" customHeight="1">
      <c r="A77" t="inlineStr">
        <is>
          <t>A 37332-2021</t>
        </is>
      </c>
      <c r="B77" s="1" t="n">
        <v>44397</v>
      </c>
      <c r="C77" s="1" t="n">
        <v>45999</v>
      </c>
      <c r="D77" t="inlineStr">
        <is>
          <t>VÄSTERBOTTENS LÄN</t>
        </is>
      </c>
      <c r="E77" t="inlineStr">
        <is>
          <t>BJURHOLM</t>
        </is>
      </c>
      <c r="G77" t="n">
        <v>0.1</v>
      </c>
      <c r="H77" t="n">
        <v>0</v>
      </c>
      <c r="I77" t="n">
        <v>0</v>
      </c>
      <c r="J77" t="n">
        <v>0</v>
      </c>
      <c r="K77" t="n">
        <v>0</v>
      </c>
      <c r="L77" t="n">
        <v>0</v>
      </c>
      <c r="M77" t="n">
        <v>0</v>
      </c>
      <c r="N77" t="n">
        <v>0</v>
      </c>
      <c r="O77" t="n">
        <v>0</v>
      </c>
      <c r="P77" t="n">
        <v>0</v>
      </c>
      <c r="Q77" t="n">
        <v>0</v>
      </c>
      <c r="R77" s="2" t="inlineStr"/>
    </row>
    <row r="78" ht="15" customHeight="1">
      <c r="A78" t="inlineStr">
        <is>
          <t>A 7915-2022</t>
        </is>
      </c>
      <c r="B78" s="1" t="n">
        <v>44608</v>
      </c>
      <c r="C78" s="1" t="n">
        <v>45999</v>
      </c>
      <c r="D78" t="inlineStr">
        <is>
          <t>VÄSTERBOTTENS LÄN</t>
        </is>
      </c>
      <c r="E78" t="inlineStr">
        <is>
          <t>BJURHOLM</t>
        </is>
      </c>
      <c r="G78" t="n">
        <v>8.9</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45999</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45999</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2706-2022</t>
        </is>
      </c>
      <c r="B81" s="1" t="n">
        <v>44580</v>
      </c>
      <c r="C81" s="1" t="n">
        <v>45999</v>
      </c>
      <c r="D81" t="inlineStr">
        <is>
          <t>VÄSTERBOTTENS LÄN</t>
        </is>
      </c>
      <c r="E81" t="inlineStr">
        <is>
          <t>BJURHOLM</t>
        </is>
      </c>
      <c r="F81" t="inlineStr">
        <is>
          <t>Kommuner</t>
        </is>
      </c>
      <c r="G81" t="n">
        <v>0.5</v>
      </c>
      <c r="H81" t="n">
        <v>0</v>
      </c>
      <c r="I81" t="n">
        <v>0</v>
      </c>
      <c r="J81" t="n">
        <v>0</v>
      </c>
      <c r="K81" t="n">
        <v>0</v>
      </c>
      <c r="L81" t="n">
        <v>0</v>
      </c>
      <c r="M81" t="n">
        <v>0</v>
      </c>
      <c r="N81" t="n">
        <v>0</v>
      </c>
      <c r="O81" t="n">
        <v>0</v>
      </c>
      <c r="P81" t="n">
        <v>0</v>
      </c>
      <c r="Q81" t="n">
        <v>0</v>
      </c>
      <c r="R81" s="2" t="inlineStr"/>
    </row>
    <row r="82" ht="15" customHeight="1">
      <c r="A82" t="inlineStr">
        <is>
          <t>A 17609-2022</t>
        </is>
      </c>
      <c r="B82" s="1" t="n">
        <v>44680</v>
      </c>
      <c r="C82" s="1" t="n">
        <v>45999</v>
      </c>
      <c r="D82" t="inlineStr">
        <is>
          <t>VÄSTERBOTTENS LÄN</t>
        </is>
      </c>
      <c r="E82" t="inlineStr">
        <is>
          <t>BJURHOLM</t>
        </is>
      </c>
      <c r="G82" t="n">
        <v>10.2</v>
      </c>
      <c r="H82" t="n">
        <v>0</v>
      </c>
      <c r="I82" t="n">
        <v>0</v>
      </c>
      <c r="J82" t="n">
        <v>0</v>
      </c>
      <c r="K82" t="n">
        <v>0</v>
      </c>
      <c r="L82" t="n">
        <v>0</v>
      </c>
      <c r="M82" t="n">
        <v>0</v>
      </c>
      <c r="N82" t="n">
        <v>0</v>
      </c>
      <c r="O82" t="n">
        <v>0</v>
      </c>
      <c r="P82" t="n">
        <v>0</v>
      </c>
      <c r="Q82" t="n">
        <v>0</v>
      </c>
      <c r="R82" s="2" t="inlineStr"/>
    </row>
    <row r="83" ht="15" customHeight="1">
      <c r="A83" t="inlineStr">
        <is>
          <t>A 36021-2022</t>
        </is>
      </c>
      <c r="B83" s="1" t="n">
        <v>44802.65265046297</v>
      </c>
      <c r="C83" s="1" t="n">
        <v>45999</v>
      </c>
      <c r="D83" t="inlineStr">
        <is>
          <t>VÄSTERBOTTENS LÄN</t>
        </is>
      </c>
      <c r="E83" t="inlineStr">
        <is>
          <t>BJURHOLM</t>
        </is>
      </c>
      <c r="F83" t="inlineStr">
        <is>
          <t>Holmen skog AB</t>
        </is>
      </c>
      <c r="G83" t="n">
        <v>2.8</v>
      </c>
      <c r="H83" t="n">
        <v>0</v>
      </c>
      <c r="I83" t="n">
        <v>0</v>
      </c>
      <c r="J83" t="n">
        <v>0</v>
      </c>
      <c r="K83" t="n">
        <v>0</v>
      </c>
      <c r="L83" t="n">
        <v>0</v>
      </c>
      <c r="M83" t="n">
        <v>0</v>
      </c>
      <c r="N83" t="n">
        <v>0</v>
      </c>
      <c r="O83" t="n">
        <v>0</v>
      </c>
      <c r="P83" t="n">
        <v>0</v>
      </c>
      <c r="Q83" t="n">
        <v>0</v>
      </c>
      <c r="R83" s="2" t="inlineStr"/>
    </row>
    <row r="84" ht="15" customHeight="1">
      <c r="A84" t="inlineStr">
        <is>
          <t>A 42391-2022</t>
        </is>
      </c>
      <c r="B84" s="1" t="n">
        <v>44831.42108796296</v>
      </c>
      <c r="C84" s="1" t="n">
        <v>45999</v>
      </c>
      <c r="D84" t="inlineStr">
        <is>
          <t>VÄSTERBOTTENS LÄN</t>
        </is>
      </c>
      <c r="E84" t="inlineStr">
        <is>
          <t>BJURHOLM</t>
        </is>
      </c>
      <c r="G84" t="n">
        <v>2.9</v>
      </c>
      <c r="H84" t="n">
        <v>0</v>
      </c>
      <c r="I84" t="n">
        <v>0</v>
      </c>
      <c r="J84" t="n">
        <v>0</v>
      </c>
      <c r="K84" t="n">
        <v>0</v>
      </c>
      <c r="L84" t="n">
        <v>0</v>
      </c>
      <c r="M84" t="n">
        <v>0</v>
      </c>
      <c r="N84" t="n">
        <v>0</v>
      </c>
      <c r="O84" t="n">
        <v>0</v>
      </c>
      <c r="P84" t="n">
        <v>0</v>
      </c>
      <c r="Q84" t="n">
        <v>0</v>
      </c>
      <c r="R84" s="2" t="inlineStr"/>
    </row>
    <row r="85" ht="15" customHeight="1">
      <c r="A85" t="inlineStr">
        <is>
          <t>A 43326-2022</t>
        </is>
      </c>
      <c r="B85" s="1" t="n">
        <v>44834.58712962963</v>
      </c>
      <c r="C85" s="1" t="n">
        <v>45999</v>
      </c>
      <c r="D85" t="inlineStr">
        <is>
          <t>VÄSTERBOTTENS LÄN</t>
        </is>
      </c>
      <c r="E85" t="inlineStr">
        <is>
          <t>BJURHOLM</t>
        </is>
      </c>
      <c r="F85" t="inlineStr">
        <is>
          <t>Holmen skog AB</t>
        </is>
      </c>
      <c r="G85" t="n">
        <v>1.6</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45999</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65799-2020</t>
        </is>
      </c>
      <c r="B87" s="1" t="n">
        <v>44172</v>
      </c>
      <c r="C87" s="1" t="n">
        <v>45999</v>
      </c>
      <c r="D87" t="inlineStr">
        <is>
          <t>VÄSTERBOTTENS LÄN</t>
        </is>
      </c>
      <c r="E87" t="inlineStr">
        <is>
          <t>BJURHOLM</t>
        </is>
      </c>
      <c r="G87" t="n">
        <v>1</v>
      </c>
      <c r="H87" t="n">
        <v>0</v>
      </c>
      <c r="I87" t="n">
        <v>0</v>
      </c>
      <c r="J87" t="n">
        <v>0</v>
      </c>
      <c r="K87" t="n">
        <v>0</v>
      </c>
      <c r="L87" t="n">
        <v>0</v>
      </c>
      <c r="M87" t="n">
        <v>0</v>
      </c>
      <c r="N87" t="n">
        <v>0</v>
      </c>
      <c r="O87" t="n">
        <v>0</v>
      </c>
      <c r="P87" t="n">
        <v>0</v>
      </c>
      <c r="Q87" t="n">
        <v>0</v>
      </c>
      <c r="R87" s="2" t="inlineStr"/>
    </row>
    <row r="88" ht="15" customHeight="1">
      <c r="A88" t="inlineStr">
        <is>
          <t>A 6323-2021</t>
        </is>
      </c>
      <c r="B88" s="1" t="n">
        <v>44235</v>
      </c>
      <c r="C88" s="1" t="n">
        <v>45999</v>
      </c>
      <c r="D88" t="inlineStr">
        <is>
          <t>VÄSTERBOTTENS LÄN</t>
        </is>
      </c>
      <c r="E88" t="inlineStr">
        <is>
          <t>BJURHOLM</t>
        </is>
      </c>
      <c r="G88" t="n">
        <v>1.2</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45999</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49887-2022</t>
        </is>
      </c>
      <c r="B90" s="1" t="n">
        <v>44864.69234953704</v>
      </c>
      <c r="C90" s="1" t="n">
        <v>45999</v>
      </c>
      <c r="D90" t="inlineStr">
        <is>
          <t>VÄSTERBOTTENS LÄN</t>
        </is>
      </c>
      <c r="E90" t="inlineStr">
        <is>
          <t>BJURHOLM</t>
        </is>
      </c>
      <c r="G90" t="n">
        <v>2.4</v>
      </c>
      <c r="H90" t="n">
        <v>0</v>
      </c>
      <c r="I90" t="n">
        <v>0</v>
      </c>
      <c r="J90" t="n">
        <v>0</v>
      </c>
      <c r="K90" t="n">
        <v>0</v>
      </c>
      <c r="L90" t="n">
        <v>0</v>
      </c>
      <c r="M90" t="n">
        <v>0</v>
      </c>
      <c r="N90" t="n">
        <v>0</v>
      </c>
      <c r="O90" t="n">
        <v>0</v>
      </c>
      <c r="P90" t="n">
        <v>0</v>
      </c>
      <c r="Q90" t="n">
        <v>0</v>
      </c>
      <c r="R90" s="2" t="inlineStr"/>
    </row>
    <row r="91" ht="15" customHeight="1">
      <c r="A91" t="inlineStr">
        <is>
          <t>A 41388-2022</t>
        </is>
      </c>
      <c r="B91" s="1" t="n">
        <v>44826</v>
      </c>
      <c r="C91" s="1" t="n">
        <v>45999</v>
      </c>
      <c r="D91" t="inlineStr">
        <is>
          <t>VÄSTERBOTTENS LÄN</t>
        </is>
      </c>
      <c r="E91" t="inlineStr">
        <is>
          <t>BJURHOLM</t>
        </is>
      </c>
      <c r="G91" t="n">
        <v>1.6</v>
      </c>
      <c r="H91" t="n">
        <v>0</v>
      </c>
      <c r="I91" t="n">
        <v>0</v>
      </c>
      <c r="J91" t="n">
        <v>0</v>
      </c>
      <c r="K91" t="n">
        <v>0</v>
      </c>
      <c r="L91" t="n">
        <v>0</v>
      </c>
      <c r="M91" t="n">
        <v>0</v>
      </c>
      <c r="N91" t="n">
        <v>0</v>
      </c>
      <c r="O91" t="n">
        <v>0</v>
      </c>
      <c r="P91" t="n">
        <v>0</v>
      </c>
      <c r="Q91" t="n">
        <v>0</v>
      </c>
      <c r="R91" s="2" t="inlineStr"/>
    </row>
    <row r="92" ht="15" customHeight="1">
      <c r="A92" t="inlineStr">
        <is>
          <t>A 9928-2022</t>
        </is>
      </c>
      <c r="B92" s="1" t="n">
        <v>44620</v>
      </c>
      <c r="C92" s="1" t="n">
        <v>45999</v>
      </c>
      <c r="D92" t="inlineStr">
        <is>
          <t>VÄSTERBOTTENS LÄN</t>
        </is>
      </c>
      <c r="E92" t="inlineStr">
        <is>
          <t>BJURHOLM</t>
        </is>
      </c>
      <c r="G92" t="n">
        <v>1.9</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45999</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6053-2022</t>
        </is>
      </c>
      <c r="B94" s="1" t="n">
        <v>44599</v>
      </c>
      <c r="C94" s="1" t="n">
        <v>45999</v>
      </c>
      <c r="D94" t="inlineStr">
        <is>
          <t>VÄSTERBOTTENS LÄN</t>
        </is>
      </c>
      <c r="E94" t="inlineStr">
        <is>
          <t>BJURHOLM</t>
        </is>
      </c>
      <c r="G94" t="n">
        <v>5</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45999</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45999</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45999</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31177-2022</t>
        </is>
      </c>
      <c r="B98" s="1" t="n">
        <v>44770</v>
      </c>
      <c r="C98" s="1" t="n">
        <v>45999</v>
      </c>
      <c r="D98" t="inlineStr">
        <is>
          <t>VÄSTERBOTTENS LÄN</t>
        </is>
      </c>
      <c r="E98" t="inlineStr">
        <is>
          <t>BJURHOLM</t>
        </is>
      </c>
      <c r="F98" t="inlineStr">
        <is>
          <t>Holmen skog AB</t>
        </is>
      </c>
      <c r="G98" t="n">
        <v>6.9</v>
      </c>
      <c r="H98" t="n">
        <v>0</v>
      </c>
      <c r="I98" t="n">
        <v>0</v>
      </c>
      <c r="J98" t="n">
        <v>0</v>
      </c>
      <c r="K98" t="n">
        <v>0</v>
      </c>
      <c r="L98" t="n">
        <v>0</v>
      </c>
      <c r="M98" t="n">
        <v>0</v>
      </c>
      <c r="N98" t="n">
        <v>0</v>
      </c>
      <c r="O98" t="n">
        <v>0</v>
      </c>
      <c r="P98" t="n">
        <v>0</v>
      </c>
      <c r="Q98" t="n">
        <v>0</v>
      </c>
      <c r="R98" s="2" t="inlineStr"/>
    </row>
    <row r="99" ht="15" customHeight="1">
      <c r="A99" t="inlineStr">
        <is>
          <t>A 6658-2022</t>
        </is>
      </c>
      <c r="B99" s="1" t="n">
        <v>44602</v>
      </c>
      <c r="C99" s="1" t="n">
        <v>45999</v>
      </c>
      <c r="D99" t="inlineStr">
        <is>
          <t>VÄSTERBOTTENS LÄN</t>
        </is>
      </c>
      <c r="E99" t="inlineStr">
        <is>
          <t>BJURHOLM</t>
        </is>
      </c>
      <c r="F99" t="inlineStr">
        <is>
          <t>Holmen skog AB</t>
        </is>
      </c>
      <c r="G99" t="n">
        <v>0.5</v>
      </c>
      <c r="H99" t="n">
        <v>0</v>
      </c>
      <c r="I99" t="n">
        <v>0</v>
      </c>
      <c r="J99" t="n">
        <v>0</v>
      </c>
      <c r="K99" t="n">
        <v>0</v>
      </c>
      <c r="L99" t="n">
        <v>0</v>
      </c>
      <c r="M99" t="n">
        <v>0</v>
      </c>
      <c r="N99" t="n">
        <v>0</v>
      </c>
      <c r="O99" t="n">
        <v>0</v>
      </c>
      <c r="P99" t="n">
        <v>0</v>
      </c>
      <c r="Q99" t="n">
        <v>0</v>
      </c>
      <c r="R99" s="2" t="inlineStr"/>
    </row>
    <row r="100" ht="15" customHeight="1">
      <c r="A100" t="inlineStr">
        <is>
          <t>A 49648-2022</t>
        </is>
      </c>
      <c r="B100" s="1" t="n">
        <v>44862.44689814815</v>
      </c>
      <c r="C100" s="1" t="n">
        <v>45999</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45999</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40577-2024</t>
        </is>
      </c>
      <c r="B102" s="1" t="n">
        <v>45555</v>
      </c>
      <c r="C102" s="1" t="n">
        <v>45999</v>
      </c>
      <c r="D102" t="inlineStr">
        <is>
          <t>VÄSTERBOTTENS LÄN</t>
        </is>
      </c>
      <c r="E102" t="inlineStr">
        <is>
          <t>BJURHOLM</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16148-2025</t>
        </is>
      </c>
      <c r="B103" s="1" t="n">
        <v>45750.46479166667</v>
      </c>
      <c r="C103" s="1" t="n">
        <v>45999</v>
      </c>
      <c r="D103" t="inlineStr">
        <is>
          <t>VÄSTERBOTTENS LÄN</t>
        </is>
      </c>
      <c r="E103" t="inlineStr">
        <is>
          <t>BJURHOLM</t>
        </is>
      </c>
      <c r="F103" t="inlineStr">
        <is>
          <t>Sveaskog</t>
        </is>
      </c>
      <c r="G103" t="n">
        <v>10.6</v>
      </c>
      <c r="H103" t="n">
        <v>0</v>
      </c>
      <c r="I103" t="n">
        <v>0</v>
      </c>
      <c r="J103" t="n">
        <v>0</v>
      </c>
      <c r="K103" t="n">
        <v>0</v>
      </c>
      <c r="L103" t="n">
        <v>0</v>
      </c>
      <c r="M103" t="n">
        <v>0</v>
      </c>
      <c r="N103" t="n">
        <v>0</v>
      </c>
      <c r="O103" t="n">
        <v>0</v>
      </c>
      <c r="P103" t="n">
        <v>0</v>
      </c>
      <c r="Q103" t="n">
        <v>0</v>
      </c>
      <c r="R103" s="2" t="inlineStr"/>
    </row>
    <row r="104" ht="15" customHeight="1">
      <c r="A104" t="inlineStr">
        <is>
          <t>A 44790-2023</t>
        </is>
      </c>
      <c r="B104" s="1" t="n">
        <v>45190.45606481482</v>
      </c>
      <c r="C104" s="1" t="n">
        <v>45999</v>
      </c>
      <c r="D104" t="inlineStr">
        <is>
          <t>VÄSTERBOTTENS LÄN</t>
        </is>
      </c>
      <c r="E104" t="inlineStr">
        <is>
          <t>BJURHOLM</t>
        </is>
      </c>
      <c r="F104" t="inlineStr">
        <is>
          <t>Holmen skog AB</t>
        </is>
      </c>
      <c r="G104" t="n">
        <v>21.7</v>
      </c>
      <c r="H104" t="n">
        <v>0</v>
      </c>
      <c r="I104" t="n">
        <v>0</v>
      </c>
      <c r="J104" t="n">
        <v>0</v>
      </c>
      <c r="K104" t="n">
        <v>0</v>
      </c>
      <c r="L104" t="n">
        <v>0</v>
      </c>
      <c r="M104" t="n">
        <v>0</v>
      </c>
      <c r="N104" t="n">
        <v>0</v>
      </c>
      <c r="O104" t="n">
        <v>0</v>
      </c>
      <c r="P104" t="n">
        <v>0</v>
      </c>
      <c r="Q104" t="n">
        <v>0</v>
      </c>
      <c r="R104" s="2" t="inlineStr"/>
    </row>
    <row r="105" ht="15" customHeight="1">
      <c r="A105" t="inlineStr">
        <is>
          <t>A 12391-2025</t>
        </is>
      </c>
      <c r="B105" s="1" t="n">
        <v>45730.39814814815</v>
      </c>
      <c r="C105" s="1" t="n">
        <v>45999</v>
      </c>
      <c r="D105" t="inlineStr">
        <is>
          <t>VÄSTERBOTTENS LÄN</t>
        </is>
      </c>
      <c r="E105" t="inlineStr">
        <is>
          <t>BJURHOLM</t>
        </is>
      </c>
      <c r="G105" t="n">
        <v>2.3</v>
      </c>
      <c r="H105" t="n">
        <v>0</v>
      </c>
      <c r="I105" t="n">
        <v>0</v>
      </c>
      <c r="J105" t="n">
        <v>0</v>
      </c>
      <c r="K105" t="n">
        <v>0</v>
      </c>
      <c r="L105" t="n">
        <v>0</v>
      </c>
      <c r="M105" t="n">
        <v>0</v>
      </c>
      <c r="N105" t="n">
        <v>0</v>
      </c>
      <c r="O105" t="n">
        <v>0</v>
      </c>
      <c r="P105" t="n">
        <v>0</v>
      </c>
      <c r="Q105" t="n">
        <v>0</v>
      </c>
      <c r="R105" s="2" t="inlineStr"/>
    </row>
    <row r="106" ht="15" customHeight="1">
      <c r="A106" t="inlineStr">
        <is>
          <t>A 43311-2024</t>
        </is>
      </c>
      <c r="B106" s="1" t="n">
        <v>45568.44950231481</v>
      </c>
      <c r="C106" s="1" t="n">
        <v>45999</v>
      </c>
      <c r="D106" t="inlineStr">
        <is>
          <t>VÄSTERBOTTENS LÄN</t>
        </is>
      </c>
      <c r="E106" t="inlineStr">
        <is>
          <t>BJURHOLM</t>
        </is>
      </c>
      <c r="G106" t="n">
        <v>0.9</v>
      </c>
      <c r="H106" t="n">
        <v>0</v>
      </c>
      <c r="I106" t="n">
        <v>0</v>
      </c>
      <c r="J106" t="n">
        <v>0</v>
      </c>
      <c r="K106" t="n">
        <v>0</v>
      </c>
      <c r="L106" t="n">
        <v>0</v>
      </c>
      <c r="M106" t="n">
        <v>0</v>
      </c>
      <c r="N106" t="n">
        <v>0</v>
      </c>
      <c r="O106" t="n">
        <v>0</v>
      </c>
      <c r="P106" t="n">
        <v>0</v>
      </c>
      <c r="Q106" t="n">
        <v>0</v>
      </c>
      <c r="R106" s="2" t="inlineStr"/>
    </row>
    <row r="107" ht="15" customHeight="1">
      <c r="A107" t="inlineStr">
        <is>
          <t>A 57877-2023</t>
        </is>
      </c>
      <c r="B107" s="1" t="n">
        <v>45247.46681712963</v>
      </c>
      <c r="C107" s="1" t="n">
        <v>45999</v>
      </c>
      <c r="D107" t="inlineStr">
        <is>
          <t>VÄSTERBOTTENS LÄN</t>
        </is>
      </c>
      <c r="E107" t="inlineStr">
        <is>
          <t>BJURHOLM</t>
        </is>
      </c>
      <c r="G107" t="n">
        <v>0.3</v>
      </c>
      <c r="H107" t="n">
        <v>0</v>
      </c>
      <c r="I107" t="n">
        <v>0</v>
      </c>
      <c r="J107" t="n">
        <v>0</v>
      </c>
      <c r="K107" t="n">
        <v>0</v>
      </c>
      <c r="L107" t="n">
        <v>0</v>
      </c>
      <c r="M107" t="n">
        <v>0</v>
      </c>
      <c r="N107" t="n">
        <v>0</v>
      </c>
      <c r="O107" t="n">
        <v>0</v>
      </c>
      <c r="P107" t="n">
        <v>0</v>
      </c>
      <c r="Q107" t="n">
        <v>0</v>
      </c>
      <c r="R107" s="2" t="inlineStr"/>
    </row>
    <row r="108" ht="15" customHeight="1">
      <c r="A108" t="inlineStr">
        <is>
          <t>A 35614-2024</t>
        </is>
      </c>
      <c r="B108" s="1" t="n">
        <v>45531.69734953704</v>
      </c>
      <c r="C108" s="1" t="n">
        <v>45999</v>
      </c>
      <c r="D108" t="inlineStr">
        <is>
          <t>VÄSTERBOTTENS LÄN</t>
        </is>
      </c>
      <c r="E108" t="inlineStr">
        <is>
          <t>BJURHOLM</t>
        </is>
      </c>
      <c r="G108" t="n">
        <v>6</v>
      </c>
      <c r="H108" t="n">
        <v>0</v>
      </c>
      <c r="I108" t="n">
        <v>0</v>
      </c>
      <c r="J108" t="n">
        <v>0</v>
      </c>
      <c r="K108" t="n">
        <v>0</v>
      </c>
      <c r="L108" t="n">
        <v>0</v>
      </c>
      <c r="M108" t="n">
        <v>0</v>
      </c>
      <c r="N108" t="n">
        <v>0</v>
      </c>
      <c r="O108" t="n">
        <v>0</v>
      </c>
      <c r="P108" t="n">
        <v>0</v>
      </c>
      <c r="Q108" t="n">
        <v>0</v>
      </c>
      <c r="R108" s="2" t="inlineStr"/>
    </row>
    <row r="109" ht="15" customHeight="1">
      <c r="A109" t="inlineStr">
        <is>
          <t>A 59712-2023</t>
        </is>
      </c>
      <c r="B109" s="1" t="n">
        <v>45257</v>
      </c>
      <c r="C109" s="1" t="n">
        <v>45999</v>
      </c>
      <c r="D109" t="inlineStr">
        <is>
          <t>VÄSTERBOTTENS LÄN</t>
        </is>
      </c>
      <c r="E109" t="inlineStr">
        <is>
          <t>BJURHOLM</t>
        </is>
      </c>
      <c r="G109" t="n">
        <v>2.4</v>
      </c>
      <c r="H109" t="n">
        <v>0</v>
      </c>
      <c r="I109" t="n">
        <v>0</v>
      </c>
      <c r="J109" t="n">
        <v>0</v>
      </c>
      <c r="K109" t="n">
        <v>0</v>
      </c>
      <c r="L109" t="n">
        <v>0</v>
      </c>
      <c r="M109" t="n">
        <v>0</v>
      </c>
      <c r="N109" t="n">
        <v>0</v>
      </c>
      <c r="O109" t="n">
        <v>0</v>
      </c>
      <c r="P109" t="n">
        <v>0</v>
      </c>
      <c r="Q109" t="n">
        <v>0</v>
      </c>
      <c r="R109" s="2" t="inlineStr"/>
    </row>
    <row r="110" ht="15" customHeight="1">
      <c r="A110" t="inlineStr">
        <is>
          <t>A 31782-2022</t>
        </is>
      </c>
      <c r="B110" s="1" t="n">
        <v>44776</v>
      </c>
      <c r="C110" s="1" t="n">
        <v>45999</v>
      </c>
      <c r="D110" t="inlineStr">
        <is>
          <t>VÄSTERBOTTENS LÄN</t>
        </is>
      </c>
      <c r="E110" t="inlineStr">
        <is>
          <t>BJURHOLM</t>
        </is>
      </c>
      <c r="F110" t="inlineStr">
        <is>
          <t>Holmen skog AB</t>
        </is>
      </c>
      <c r="G110" t="n">
        <v>1.2</v>
      </c>
      <c r="H110" t="n">
        <v>0</v>
      </c>
      <c r="I110" t="n">
        <v>0</v>
      </c>
      <c r="J110" t="n">
        <v>0</v>
      </c>
      <c r="K110" t="n">
        <v>0</v>
      </c>
      <c r="L110" t="n">
        <v>0</v>
      </c>
      <c r="M110" t="n">
        <v>0</v>
      </c>
      <c r="N110" t="n">
        <v>0</v>
      </c>
      <c r="O110" t="n">
        <v>0</v>
      </c>
      <c r="P110" t="n">
        <v>0</v>
      </c>
      <c r="Q110" t="n">
        <v>0</v>
      </c>
      <c r="R110" s="2" t="inlineStr"/>
    </row>
    <row r="111" ht="15" customHeight="1">
      <c r="A111" t="inlineStr">
        <is>
          <t>A 3058-2025</t>
        </is>
      </c>
      <c r="B111" s="1" t="n">
        <v>45678.61952546296</v>
      </c>
      <c r="C111" s="1" t="n">
        <v>45999</v>
      </c>
      <c r="D111" t="inlineStr">
        <is>
          <t>VÄSTERBOTTENS LÄN</t>
        </is>
      </c>
      <c r="E111" t="inlineStr">
        <is>
          <t>BJURHOLM</t>
        </is>
      </c>
      <c r="F111" t="inlineStr">
        <is>
          <t>Sveaskog</t>
        </is>
      </c>
      <c r="G111" t="n">
        <v>2.4</v>
      </c>
      <c r="H111" t="n">
        <v>0</v>
      </c>
      <c r="I111" t="n">
        <v>0</v>
      </c>
      <c r="J111" t="n">
        <v>0</v>
      </c>
      <c r="K111" t="n">
        <v>0</v>
      </c>
      <c r="L111" t="n">
        <v>0</v>
      </c>
      <c r="M111" t="n">
        <v>0</v>
      </c>
      <c r="N111" t="n">
        <v>0</v>
      </c>
      <c r="O111" t="n">
        <v>0</v>
      </c>
      <c r="P111" t="n">
        <v>0</v>
      </c>
      <c r="Q111" t="n">
        <v>0</v>
      </c>
      <c r="R111" s="2" t="inlineStr"/>
    </row>
    <row r="112" ht="15" customHeight="1">
      <c r="A112" t="inlineStr">
        <is>
          <t>A 22036-2023</t>
        </is>
      </c>
      <c r="B112" s="1" t="n">
        <v>45069.37450231481</v>
      </c>
      <c r="C112" s="1" t="n">
        <v>45999</v>
      </c>
      <c r="D112" t="inlineStr">
        <is>
          <t>VÄSTERBOTTENS LÄN</t>
        </is>
      </c>
      <c r="E112" t="inlineStr">
        <is>
          <t>BJURHOLM</t>
        </is>
      </c>
      <c r="F112" t="inlineStr">
        <is>
          <t>Holmen skog AB</t>
        </is>
      </c>
      <c r="G112" t="n">
        <v>0.6</v>
      </c>
      <c r="H112" t="n">
        <v>0</v>
      </c>
      <c r="I112" t="n">
        <v>0</v>
      </c>
      <c r="J112" t="n">
        <v>0</v>
      </c>
      <c r="K112" t="n">
        <v>0</v>
      </c>
      <c r="L112" t="n">
        <v>0</v>
      </c>
      <c r="M112" t="n">
        <v>0</v>
      </c>
      <c r="N112" t="n">
        <v>0</v>
      </c>
      <c r="O112" t="n">
        <v>0</v>
      </c>
      <c r="P112" t="n">
        <v>0</v>
      </c>
      <c r="Q112" t="n">
        <v>0</v>
      </c>
      <c r="R112" s="2" t="inlineStr"/>
    </row>
    <row r="113" ht="15" customHeight="1">
      <c r="A113" t="inlineStr">
        <is>
          <t>A 67762-2021</t>
        </is>
      </c>
      <c r="B113" s="1" t="n">
        <v>44524</v>
      </c>
      <c r="C113" s="1" t="n">
        <v>45999</v>
      </c>
      <c r="D113" t="inlineStr">
        <is>
          <t>VÄSTERBOTTENS LÄN</t>
        </is>
      </c>
      <c r="E113" t="inlineStr">
        <is>
          <t>BJURHOLM</t>
        </is>
      </c>
      <c r="G113" t="n">
        <v>3.3</v>
      </c>
      <c r="H113" t="n">
        <v>0</v>
      </c>
      <c r="I113" t="n">
        <v>0</v>
      </c>
      <c r="J113" t="n">
        <v>0</v>
      </c>
      <c r="K113" t="n">
        <v>0</v>
      </c>
      <c r="L113" t="n">
        <v>0</v>
      </c>
      <c r="M113" t="n">
        <v>0</v>
      </c>
      <c r="N113" t="n">
        <v>0</v>
      </c>
      <c r="O113" t="n">
        <v>0</v>
      </c>
      <c r="P113" t="n">
        <v>0</v>
      </c>
      <c r="Q113" t="n">
        <v>0</v>
      </c>
      <c r="R113" s="2" t="inlineStr"/>
    </row>
    <row r="114" ht="15" customHeight="1">
      <c r="A114" t="inlineStr">
        <is>
          <t>A 34761-2023</t>
        </is>
      </c>
      <c r="B114" s="1" t="n">
        <v>45141.47096064815</v>
      </c>
      <c r="C114" s="1" t="n">
        <v>45999</v>
      </c>
      <c r="D114" t="inlineStr">
        <is>
          <t>VÄSTERBOTTENS LÄN</t>
        </is>
      </c>
      <c r="E114" t="inlineStr">
        <is>
          <t>BJURHOLM</t>
        </is>
      </c>
      <c r="F114" t="inlineStr">
        <is>
          <t>Holmen skog AB</t>
        </is>
      </c>
      <c r="G114" t="n">
        <v>4.1</v>
      </c>
      <c r="H114" t="n">
        <v>0</v>
      </c>
      <c r="I114" t="n">
        <v>0</v>
      </c>
      <c r="J114" t="n">
        <v>0</v>
      </c>
      <c r="K114" t="n">
        <v>0</v>
      </c>
      <c r="L114" t="n">
        <v>0</v>
      </c>
      <c r="M114" t="n">
        <v>0</v>
      </c>
      <c r="N114" t="n">
        <v>0</v>
      </c>
      <c r="O114" t="n">
        <v>0</v>
      </c>
      <c r="P114" t="n">
        <v>0</v>
      </c>
      <c r="Q114" t="n">
        <v>0</v>
      </c>
      <c r="R114" s="2" t="inlineStr"/>
    </row>
    <row r="115" ht="15" customHeight="1">
      <c r="A115" t="inlineStr">
        <is>
          <t>A 6699-2023</t>
        </is>
      </c>
      <c r="B115" s="1" t="n">
        <v>44966.67196759259</v>
      </c>
      <c r="C115" s="1" t="n">
        <v>45999</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6721-2024</t>
        </is>
      </c>
      <c r="B116" s="1" t="n">
        <v>45342</v>
      </c>
      <c r="C116" s="1" t="n">
        <v>45999</v>
      </c>
      <c r="D116" t="inlineStr">
        <is>
          <t>VÄSTERBOTTENS LÄN</t>
        </is>
      </c>
      <c r="E116" t="inlineStr">
        <is>
          <t>BJURHOLM</t>
        </is>
      </c>
      <c r="G116" t="n">
        <v>6.6</v>
      </c>
      <c r="H116" t="n">
        <v>0</v>
      </c>
      <c r="I116" t="n">
        <v>0</v>
      </c>
      <c r="J116" t="n">
        <v>0</v>
      </c>
      <c r="K116" t="n">
        <v>0</v>
      </c>
      <c r="L116" t="n">
        <v>0</v>
      </c>
      <c r="M116" t="n">
        <v>0</v>
      </c>
      <c r="N116" t="n">
        <v>0</v>
      </c>
      <c r="O116" t="n">
        <v>0</v>
      </c>
      <c r="P116" t="n">
        <v>0</v>
      </c>
      <c r="Q116" t="n">
        <v>0</v>
      </c>
      <c r="R116" s="2" t="inlineStr"/>
    </row>
    <row r="117" ht="15" customHeight="1">
      <c r="A117" t="inlineStr">
        <is>
          <t>A 70740-2021</t>
        </is>
      </c>
      <c r="B117" s="1" t="n">
        <v>44536</v>
      </c>
      <c r="C117" s="1" t="n">
        <v>45999</v>
      </c>
      <c r="D117" t="inlineStr">
        <is>
          <t>VÄSTERBOTTENS LÄN</t>
        </is>
      </c>
      <c r="E117" t="inlineStr">
        <is>
          <t>BJURHOLM</t>
        </is>
      </c>
      <c r="G117" t="n">
        <v>1.4</v>
      </c>
      <c r="H117" t="n">
        <v>0</v>
      </c>
      <c r="I117" t="n">
        <v>0</v>
      </c>
      <c r="J117" t="n">
        <v>0</v>
      </c>
      <c r="K117" t="n">
        <v>0</v>
      </c>
      <c r="L117" t="n">
        <v>0</v>
      </c>
      <c r="M117" t="n">
        <v>0</v>
      </c>
      <c r="N117" t="n">
        <v>0</v>
      </c>
      <c r="O117" t="n">
        <v>0</v>
      </c>
      <c r="P117" t="n">
        <v>0</v>
      </c>
      <c r="Q117" t="n">
        <v>0</v>
      </c>
      <c r="R117" s="2" t="inlineStr"/>
    </row>
    <row r="118" ht="15" customHeight="1">
      <c r="A118" t="inlineStr">
        <is>
          <t>A 36991-2022</t>
        </is>
      </c>
      <c r="B118" s="1" t="n">
        <v>44806</v>
      </c>
      <c r="C118" s="1" t="n">
        <v>45999</v>
      </c>
      <c r="D118" t="inlineStr">
        <is>
          <t>VÄSTERBOTTENS LÄN</t>
        </is>
      </c>
      <c r="E118" t="inlineStr">
        <is>
          <t>BJURHOLM</t>
        </is>
      </c>
      <c r="G118" t="n">
        <v>1.8</v>
      </c>
      <c r="H118" t="n">
        <v>0</v>
      </c>
      <c r="I118" t="n">
        <v>0</v>
      </c>
      <c r="J118" t="n">
        <v>0</v>
      </c>
      <c r="K118" t="n">
        <v>0</v>
      </c>
      <c r="L118" t="n">
        <v>0</v>
      </c>
      <c r="M118" t="n">
        <v>0</v>
      </c>
      <c r="N118" t="n">
        <v>0</v>
      </c>
      <c r="O118" t="n">
        <v>0</v>
      </c>
      <c r="P118" t="n">
        <v>0</v>
      </c>
      <c r="Q118" t="n">
        <v>0</v>
      </c>
      <c r="R118" s="2" t="inlineStr"/>
    </row>
    <row r="119" ht="15" customHeight="1">
      <c r="A119" t="inlineStr">
        <is>
          <t>A 39431-2021</t>
        </is>
      </c>
      <c r="B119" s="1" t="n">
        <v>44414.52152777778</v>
      </c>
      <c r="C119" s="1" t="n">
        <v>45999</v>
      </c>
      <c r="D119" t="inlineStr">
        <is>
          <t>VÄSTERBOTTENS LÄN</t>
        </is>
      </c>
      <c r="E119" t="inlineStr">
        <is>
          <t>BJURHOLM</t>
        </is>
      </c>
      <c r="G119" t="n">
        <v>1</v>
      </c>
      <c r="H119" t="n">
        <v>0</v>
      </c>
      <c r="I119" t="n">
        <v>0</v>
      </c>
      <c r="J119" t="n">
        <v>0</v>
      </c>
      <c r="K119" t="n">
        <v>0</v>
      </c>
      <c r="L119" t="n">
        <v>0</v>
      </c>
      <c r="M119" t="n">
        <v>0</v>
      </c>
      <c r="N119" t="n">
        <v>0</v>
      </c>
      <c r="O119" t="n">
        <v>0</v>
      </c>
      <c r="P119" t="n">
        <v>0</v>
      </c>
      <c r="Q119" t="n">
        <v>0</v>
      </c>
      <c r="R119" s="2" t="inlineStr"/>
    </row>
    <row r="120" ht="15" customHeight="1">
      <c r="A120" t="inlineStr">
        <is>
          <t>A 64503-2023</t>
        </is>
      </c>
      <c r="B120" s="1" t="n">
        <v>45280.94380787037</v>
      </c>
      <c r="C120" s="1" t="n">
        <v>45999</v>
      </c>
      <c r="D120" t="inlineStr">
        <is>
          <t>VÄSTERBOTTENS LÄN</t>
        </is>
      </c>
      <c r="E120" t="inlineStr">
        <is>
          <t>BJURHOLM</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14888-2024</t>
        </is>
      </c>
      <c r="B121" s="1" t="n">
        <v>45398</v>
      </c>
      <c r="C121" s="1" t="n">
        <v>45999</v>
      </c>
      <c r="D121" t="inlineStr">
        <is>
          <t>VÄSTERBOTTENS LÄN</t>
        </is>
      </c>
      <c r="E121" t="inlineStr">
        <is>
          <t>BJURHOLM</t>
        </is>
      </c>
      <c r="F121" t="inlineStr">
        <is>
          <t>Holmen skog AB</t>
        </is>
      </c>
      <c r="G121" t="n">
        <v>6.3</v>
      </c>
      <c r="H121" t="n">
        <v>0</v>
      </c>
      <c r="I121" t="n">
        <v>0</v>
      </c>
      <c r="J121" t="n">
        <v>0</v>
      </c>
      <c r="K121" t="n">
        <v>0</v>
      </c>
      <c r="L121" t="n">
        <v>0</v>
      </c>
      <c r="M121" t="n">
        <v>0</v>
      </c>
      <c r="N121" t="n">
        <v>0</v>
      </c>
      <c r="O121" t="n">
        <v>0</v>
      </c>
      <c r="P121" t="n">
        <v>0</v>
      </c>
      <c r="Q121" t="n">
        <v>0</v>
      </c>
      <c r="R121" s="2" t="inlineStr"/>
    </row>
    <row r="122" ht="15" customHeight="1">
      <c r="A122" t="inlineStr">
        <is>
          <t>A 14414-2024</t>
        </is>
      </c>
      <c r="B122" s="1" t="n">
        <v>45393</v>
      </c>
      <c r="C122" s="1" t="n">
        <v>45999</v>
      </c>
      <c r="D122" t="inlineStr">
        <is>
          <t>VÄSTERBOTTENS LÄN</t>
        </is>
      </c>
      <c r="E122" t="inlineStr">
        <is>
          <t>BJURHOLM</t>
        </is>
      </c>
      <c r="G122" t="n">
        <v>7.1</v>
      </c>
      <c r="H122" t="n">
        <v>0</v>
      </c>
      <c r="I122" t="n">
        <v>0</v>
      </c>
      <c r="J122" t="n">
        <v>0</v>
      </c>
      <c r="K122" t="n">
        <v>0</v>
      </c>
      <c r="L122" t="n">
        <v>0</v>
      </c>
      <c r="M122" t="n">
        <v>0</v>
      </c>
      <c r="N122" t="n">
        <v>0</v>
      </c>
      <c r="O122" t="n">
        <v>0</v>
      </c>
      <c r="P122" t="n">
        <v>0</v>
      </c>
      <c r="Q122" t="n">
        <v>0</v>
      </c>
      <c r="R122" s="2" t="inlineStr"/>
    </row>
    <row r="123" ht="15" customHeight="1">
      <c r="A123" t="inlineStr">
        <is>
          <t>A 14438-2024</t>
        </is>
      </c>
      <c r="B123" s="1" t="n">
        <v>45394</v>
      </c>
      <c r="C123" s="1" t="n">
        <v>45999</v>
      </c>
      <c r="D123" t="inlineStr">
        <is>
          <t>VÄSTERBOTTENS LÄN</t>
        </is>
      </c>
      <c r="E123" t="inlineStr">
        <is>
          <t>BJURHOLM</t>
        </is>
      </c>
      <c r="G123" t="n">
        <v>5</v>
      </c>
      <c r="H123" t="n">
        <v>0</v>
      </c>
      <c r="I123" t="n">
        <v>0</v>
      </c>
      <c r="J123" t="n">
        <v>0</v>
      </c>
      <c r="K123" t="n">
        <v>0</v>
      </c>
      <c r="L123" t="n">
        <v>0</v>
      </c>
      <c r="M123" t="n">
        <v>0</v>
      </c>
      <c r="N123" t="n">
        <v>0</v>
      </c>
      <c r="O123" t="n">
        <v>0</v>
      </c>
      <c r="P123" t="n">
        <v>0</v>
      </c>
      <c r="Q123" t="n">
        <v>0</v>
      </c>
      <c r="R123" s="2" t="inlineStr"/>
    </row>
    <row r="124" ht="15" customHeight="1">
      <c r="A124" t="inlineStr">
        <is>
          <t>A 14443-2024</t>
        </is>
      </c>
      <c r="B124" s="1" t="n">
        <v>45394</v>
      </c>
      <c r="C124" s="1" t="n">
        <v>45999</v>
      </c>
      <c r="D124" t="inlineStr">
        <is>
          <t>VÄSTERBOTTENS LÄN</t>
        </is>
      </c>
      <c r="E124" t="inlineStr">
        <is>
          <t>BJURHOLM</t>
        </is>
      </c>
      <c r="G124" t="n">
        <v>4.1</v>
      </c>
      <c r="H124" t="n">
        <v>0</v>
      </c>
      <c r="I124" t="n">
        <v>0</v>
      </c>
      <c r="J124" t="n">
        <v>0</v>
      </c>
      <c r="K124" t="n">
        <v>0</v>
      </c>
      <c r="L124" t="n">
        <v>0</v>
      </c>
      <c r="M124" t="n">
        <v>0</v>
      </c>
      <c r="N124" t="n">
        <v>0</v>
      </c>
      <c r="O124" t="n">
        <v>0</v>
      </c>
      <c r="P124" t="n">
        <v>0</v>
      </c>
      <c r="Q124" t="n">
        <v>0</v>
      </c>
      <c r="R124" s="2" t="inlineStr"/>
    </row>
    <row r="125" ht="15" customHeight="1">
      <c r="A125" t="inlineStr">
        <is>
          <t>A 23184-2024</t>
        </is>
      </c>
      <c r="B125" s="1" t="n">
        <v>45450.94480324074</v>
      </c>
      <c r="C125" s="1" t="n">
        <v>45999</v>
      </c>
      <c r="D125" t="inlineStr">
        <is>
          <t>VÄSTERBOTTENS LÄN</t>
        </is>
      </c>
      <c r="E125" t="inlineStr">
        <is>
          <t>BJURHOLM</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39101-2024</t>
        </is>
      </c>
      <c r="B126" s="1" t="n">
        <v>45548.56578703703</v>
      </c>
      <c r="C126" s="1" t="n">
        <v>45999</v>
      </c>
      <c r="D126" t="inlineStr">
        <is>
          <t>VÄSTERBOTTENS LÄN</t>
        </is>
      </c>
      <c r="E126" t="inlineStr">
        <is>
          <t>BJURHOLM</t>
        </is>
      </c>
      <c r="G126" t="n">
        <v>5.1</v>
      </c>
      <c r="H126" t="n">
        <v>0</v>
      </c>
      <c r="I126" t="n">
        <v>0</v>
      </c>
      <c r="J126" t="n">
        <v>0</v>
      </c>
      <c r="K126" t="n">
        <v>0</v>
      </c>
      <c r="L126" t="n">
        <v>0</v>
      </c>
      <c r="M126" t="n">
        <v>0</v>
      </c>
      <c r="N126" t="n">
        <v>0</v>
      </c>
      <c r="O126" t="n">
        <v>0</v>
      </c>
      <c r="P126" t="n">
        <v>0</v>
      </c>
      <c r="Q126" t="n">
        <v>0</v>
      </c>
      <c r="R126" s="2" t="inlineStr"/>
    </row>
    <row r="127" ht="15" customHeight="1">
      <c r="A127" t="inlineStr">
        <is>
          <t>A 16327-2024</t>
        </is>
      </c>
      <c r="B127" s="1" t="n">
        <v>45407.51649305555</v>
      </c>
      <c r="C127" s="1" t="n">
        <v>45999</v>
      </c>
      <c r="D127" t="inlineStr">
        <is>
          <t>VÄSTERBOTTENS LÄN</t>
        </is>
      </c>
      <c r="E127" t="inlineStr">
        <is>
          <t>BJURHOLM</t>
        </is>
      </c>
      <c r="F127" t="inlineStr">
        <is>
          <t>Holmen skog AB</t>
        </is>
      </c>
      <c r="G127" t="n">
        <v>1.2</v>
      </c>
      <c r="H127" t="n">
        <v>0</v>
      </c>
      <c r="I127" t="n">
        <v>0</v>
      </c>
      <c r="J127" t="n">
        <v>0</v>
      </c>
      <c r="K127" t="n">
        <v>0</v>
      </c>
      <c r="L127" t="n">
        <v>0</v>
      </c>
      <c r="M127" t="n">
        <v>0</v>
      </c>
      <c r="N127" t="n">
        <v>0</v>
      </c>
      <c r="O127" t="n">
        <v>0</v>
      </c>
      <c r="P127" t="n">
        <v>0</v>
      </c>
      <c r="Q127" t="n">
        <v>0</v>
      </c>
      <c r="R127" s="2" t="inlineStr"/>
    </row>
    <row r="128" ht="15" customHeight="1">
      <c r="A128" t="inlineStr">
        <is>
          <t>A 45844-2021</t>
        </is>
      </c>
      <c r="B128" s="1" t="n">
        <v>44441</v>
      </c>
      <c r="C128" s="1" t="n">
        <v>45999</v>
      </c>
      <c r="D128" t="inlineStr">
        <is>
          <t>VÄSTERBOTTENS LÄN</t>
        </is>
      </c>
      <c r="E128" t="inlineStr">
        <is>
          <t>BJURHOLM</t>
        </is>
      </c>
      <c r="G128" t="n">
        <v>0.4</v>
      </c>
      <c r="H128" t="n">
        <v>0</v>
      </c>
      <c r="I128" t="n">
        <v>0</v>
      </c>
      <c r="J128" t="n">
        <v>0</v>
      </c>
      <c r="K128" t="n">
        <v>0</v>
      </c>
      <c r="L128" t="n">
        <v>0</v>
      </c>
      <c r="M128" t="n">
        <v>0</v>
      </c>
      <c r="N128" t="n">
        <v>0</v>
      </c>
      <c r="O128" t="n">
        <v>0</v>
      </c>
      <c r="P128" t="n">
        <v>0</v>
      </c>
      <c r="Q128" t="n">
        <v>0</v>
      </c>
      <c r="R128" s="2" t="inlineStr"/>
    </row>
    <row r="129" ht="15" customHeight="1">
      <c r="A129" t="inlineStr">
        <is>
          <t>A 32989-2022</t>
        </is>
      </c>
      <c r="B129" s="1" t="n">
        <v>44784.94172453704</v>
      </c>
      <c r="C129" s="1" t="n">
        <v>45999</v>
      </c>
      <c r="D129" t="inlineStr">
        <is>
          <t>VÄSTERBOTTENS LÄN</t>
        </is>
      </c>
      <c r="E129" t="inlineStr">
        <is>
          <t>BJURHOLM</t>
        </is>
      </c>
      <c r="F129" t="inlineStr">
        <is>
          <t>SCA</t>
        </is>
      </c>
      <c r="G129" t="n">
        <v>1.4</v>
      </c>
      <c r="H129" t="n">
        <v>0</v>
      </c>
      <c r="I129" t="n">
        <v>0</v>
      </c>
      <c r="J129" t="n">
        <v>0</v>
      </c>
      <c r="K129" t="n">
        <v>0</v>
      </c>
      <c r="L129" t="n">
        <v>0</v>
      </c>
      <c r="M129" t="n">
        <v>0</v>
      </c>
      <c r="N129" t="n">
        <v>0</v>
      </c>
      <c r="O129" t="n">
        <v>0</v>
      </c>
      <c r="P129" t="n">
        <v>0</v>
      </c>
      <c r="Q129" t="n">
        <v>0</v>
      </c>
      <c r="R129" s="2" t="inlineStr"/>
    </row>
    <row r="130" ht="15" customHeight="1">
      <c r="A130" t="inlineStr">
        <is>
          <t>A 31205-2023</t>
        </is>
      </c>
      <c r="B130" s="1" t="n">
        <v>45113</v>
      </c>
      <c r="C130" s="1" t="n">
        <v>45999</v>
      </c>
      <c r="D130" t="inlineStr">
        <is>
          <t>VÄSTERBOTTENS LÄN</t>
        </is>
      </c>
      <c r="E130" t="inlineStr">
        <is>
          <t>BJURHOLM</t>
        </is>
      </c>
      <c r="F130" t="inlineStr">
        <is>
          <t>SCA</t>
        </is>
      </c>
      <c r="G130" t="n">
        <v>2.2</v>
      </c>
      <c r="H130" t="n">
        <v>0</v>
      </c>
      <c r="I130" t="n">
        <v>0</v>
      </c>
      <c r="J130" t="n">
        <v>0</v>
      </c>
      <c r="K130" t="n">
        <v>0</v>
      </c>
      <c r="L130" t="n">
        <v>0</v>
      </c>
      <c r="M130" t="n">
        <v>0</v>
      </c>
      <c r="N130" t="n">
        <v>0</v>
      </c>
      <c r="O130" t="n">
        <v>0</v>
      </c>
      <c r="P130" t="n">
        <v>0</v>
      </c>
      <c r="Q130" t="n">
        <v>0</v>
      </c>
      <c r="R130" s="2" t="inlineStr"/>
    </row>
    <row r="131" ht="15" customHeight="1">
      <c r="A131" t="inlineStr">
        <is>
          <t>A 20011-2024</t>
        </is>
      </c>
      <c r="B131" s="1" t="n">
        <v>45433.94342592593</v>
      </c>
      <c r="C131" s="1" t="n">
        <v>45999</v>
      </c>
      <c r="D131" t="inlineStr">
        <is>
          <t>VÄSTERBOTTENS LÄN</t>
        </is>
      </c>
      <c r="E131" t="inlineStr">
        <is>
          <t>BJURHOLM</t>
        </is>
      </c>
      <c r="F131" t="inlineStr">
        <is>
          <t>SCA</t>
        </is>
      </c>
      <c r="G131" t="n">
        <v>2.9</v>
      </c>
      <c r="H131" t="n">
        <v>0</v>
      </c>
      <c r="I131" t="n">
        <v>0</v>
      </c>
      <c r="J131" t="n">
        <v>0</v>
      </c>
      <c r="K131" t="n">
        <v>0</v>
      </c>
      <c r="L131" t="n">
        <v>0</v>
      </c>
      <c r="M131" t="n">
        <v>0</v>
      </c>
      <c r="N131" t="n">
        <v>0</v>
      </c>
      <c r="O131" t="n">
        <v>0</v>
      </c>
      <c r="P131" t="n">
        <v>0</v>
      </c>
      <c r="Q131" t="n">
        <v>0</v>
      </c>
      <c r="R131" s="2" t="inlineStr"/>
    </row>
    <row r="132" ht="15" customHeight="1">
      <c r="A132" t="inlineStr">
        <is>
          <t>A 14407-2024</t>
        </is>
      </c>
      <c r="B132" s="1" t="n">
        <v>45394</v>
      </c>
      <c r="C132" s="1" t="n">
        <v>45999</v>
      </c>
      <c r="D132" t="inlineStr">
        <is>
          <t>VÄSTERBOTTENS LÄN</t>
        </is>
      </c>
      <c r="E132" t="inlineStr">
        <is>
          <t>BJURHOLM</t>
        </is>
      </c>
      <c r="G132" t="n">
        <v>4.9</v>
      </c>
      <c r="H132" t="n">
        <v>0</v>
      </c>
      <c r="I132" t="n">
        <v>0</v>
      </c>
      <c r="J132" t="n">
        <v>0</v>
      </c>
      <c r="K132" t="n">
        <v>0</v>
      </c>
      <c r="L132" t="n">
        <v>0</v>
      </c>
      <c r="M132" t="n">
        <v>0</v>
      </c>
      <c r="N132" t="n">
        <v>0</v>
      </c>
      <c r="O132" t="n">
        <v>0</v>
      </c>
      <c r="P132" t="n">
        <v>0</v>
      </c>
      <c r="Q132" t="n">
        <v>0</v>
      </c>
      <c r="R132" s="2" t="inlineStr"/>
    </row>
    <row r="133" ht="15" customHeight="1">
      <c r="A133" t="inlineStr">
        <is>
          <t>A 32289-2024</t>
        </is>
      </c>
      <c r="B133" s="1" t="n">
        <v>45512</v>
      </c>
      <c r="C133" s="1" t="n">
        <v>45999</v>
      </c>
      <c r="D133" t="inlineStr">
        <is>
          <t>VÄSTERBOTTENS LÄN</t>
        </is>
      </c>
      <c r="E133" t="inlineStr">
        <is>
          <t>BJURHOLM</t>
        </is>
      </c>
      <c r="G133" t="n">
        <v>1.7</v>
      </c>
      <c r="H133" t="n">
        <v>0</v>
      </c>
      <c r="I133" t="n">
        <v>0</v>
      </c>
      <c r="J133" t="n">
        <v>0</v>
      </c>
      <c r="K133" t="n">
        <v>0</v>
      </c>
      <c r="L133" t="n">
        <v>0</v>
      </c>
      <c r="M133" t="n">
        <v>0</v>
      </c>
      <c r="N133" t="n">
        <v>0</v>
      </c>
      <c r="O133" t="n">
        <v>0</v>
      </c>
      <c r="P133" t="n">
        <v>0</v>
      </c>
      <c r="Q133" t="n">
        <v>0</v>
      </c>
      <c r="R133" s="2" t="inlineStr"/>
    </row>
    <row r="134" ht="15" customHeight="1">
      <c r="A134" t="inlineStr">
        <is>
          <t>A 55512-2021</t>
        </is>
      </c>
      <c r="B134" s="1" t="n">
        <v>44475.63670138889</v>
      </c>
      <c r="C134" s="1" t="n">
        <v>45999</v>
      </c>
      <c r="D134" t="inlineStr">
        <is>
          <t>VÄSTERBOTTENS LÄN</t>
        </is>
      </c>
      <c r="E134" t="inlineStr">
        <is>
          <t>BJURHOLM</t>
        </is>
      </c>
      <c r="F134" t="inlineStr">
        <is>
          <t>Holmen skog AB</t>
        </is>
      </c>
      <c r="G134" t="n">
        <v>28.3</v>
      </c>
      <c r="H134" t="n">
        <v>0</v>
      </c>
      <c r="I134" t="n">
        <v>0</v>
      </c>
      <c r="J134" t="n">
        <v>0</v>
      </c>
      <c r="K134" t="n">
        <v>0</v>
      </c>
      <c r="L134" t="n">
        <v>0</v>
      </c>
      <c r="M134" t="n">
        <v>0</v>
      </c>
      <c r="N134" t="n">
        <v>0</v>
      </c>
      <c r="O134" t="n">
        <v>0</v>
      </c>
      <c r="P134" t="n">
        <v>0</v>
      </c>
      <c r="Q134" t="n">
        <v>0</v>
      </c>
      <c r="R134" s="2" t="inlineStr"/>
    </row>
    <row r="135" ht="15" customHeight="1">
      <c r="A135" t="inlineStr">
        <is>
          <t>A 31381-2022</t>
        </is>
      </c>
      <c r="B135" s="1" t="n">
        <v>44774</v>
      </c>
      <c r="C135" s="1" t="n">
        <v>45999</v>
      </c>
      <c r="D135" t="inlineStr">
        <is>
          <t>VÄSTERBOTTENS LÄN</t>
        </is>
      </c>
      <c r="E135" t="inlineStr">
        <is>
          <t>BJURHOLM</t>
        </is>
      </c>
      <c r="G135" t="n">
        <v>4.1</v>
      </c>
      <c r="H135" t="n">
        <v>0</v>
      </c>
      <c r="I135" t="n">
        <v>0</v>
      </c>
      <c r="J135" t="n">
        <v>0</v>
      </c>
      <c r="K135" t="n">
        <v>0</v>
      </c>
      <c r="L135" t="n">
        <v>0</v>
      </c>
      <c r="M135" t="n">
        <v>0</v>
      </c>
      <c r="N135" t="n">
        <v>0</v>
      </c>
      <c r="O135" t="n">
        <v>0</v>
      </c>
      <c r="P135" t="n">
        <v>0</v>
      </c>
      <c r="Q135" t="n">
        <v>0</v>
      </c>
      <c r="R135" s="2" t="inlineStr"/>
    </row>
    <row r="136" ht="15" customHeight="1">
      <c r="A136" t="inlineStr">
        <is>
          <t>A 29095-2024</t>
        </is>
      </c>
      <c r="B136" s="1" t="n">
        <v>45481</v>
      </c>
      <c r="C136" s="1" t="n">
        <v>45999</v>
      </c>
      <c r="D136" t="inlineStr">
        <is>
          <t>VÄSTERBOTTENS LÄN</t>
        </is>
      </c>
      <c r="E136" t="inlineStr">
        <is>
          <t>BJURHOLM</t>
        </is>
      </c>
      <c r="F136" t="inlineStr">
        <is>
          <t>SCA</t>
        </is>
      </c>
      <c r="G136" t="n">
        <v>0.8</v>
      </c>
      <c r="H136" t="n">
        <v>0</v>
      </c>
      <c r="I136" t="n">
        <v>0</v>
      </c>
      <c r="J136" t="n">
        <v>0</v>
      </c>
      <c r="K136" t="n">
        <v>0</v>
      </c>
      <c r="L136" t="n">
        <v>0</v>
      </c>
      <c r="M136" t="n">
        <v>0</v>
      </c>
      <c r="N136" t="n">
        <v>0</v>
      </c>
      <c r="O136" t="n">
        <v>0</v>
      </c>
      <c r="P136" t="n">
        <v>0</v>
      </c>
      <c r="Q136" t="n">
        <v>0</v>
      </c>
      <c r="R136" s="2" t="inlineStr"/>
    </row>
    <row r="137" ht="15" customHeight="1">
      <c r="A137" t="inlineStr">
        <is>
          <t>A 25794-2024</t>
        </is>
      </c>
      <c r="B137" s="1" t="n">
        <v>45467</v>
      </c>
      <c r="C137" s="1" t="n">
        <v>45999</v>
      </c>
      <c r="D137" t="inlineStr">
        <is>
          <t>VÄSTERBOTTENS LÄN</t>
        </is>
      </c>
      <c r="E137" t="inlineStr">
        <is>
          <t>BJURHOLM</t>
        </is>
      </c>
      <c r="F137" t="inlineStr">
        <is>
          <t>Holmen skog AB</t>
        </is>
      </c>
      <c r="G137" t="n">
        <v>9</v>
      </c>
      <c r="H137" t="n">
        <v>0</v>
      </c>
      <c r="I137" t="n">
        <v>0</v>
      </c>
      <c r="J137" t="n">
        <v>0</v>
      </c>
      <c r="K137" t="n">
        <v>0</v>
      </c>
      <c r="L137" t="n">
        <v>0</v>
      </c>
      <c r="M137" t="n">
        <v>0</v>
      </c>
      <c r="N137" t="n">
        <v>0</v>
      </c>
      <c r="O137" t="n">
        <v>0</v>
      </c>
      <c r="P137" t="n">
        <v>0</v>
      </c>
      <c r="Q137" t="n">
        <v>0</v>
      </c>
      <c r="R137" s="2" t="inlineStr"/>
    </row>
    <row r="138" ht="15" customHeight="1">
      <c r="A138" t="inlineStr">
        <is>
          <t>A 60690-2022</t>
        </is>
      </c>
      <c r="B138" s="1" t="n">
        <v>44911</v>
      </c>
      <c r="C138" s="1" t="n">
        <v>45999</v>
      </c>
      <c r="D138" t="inlineStr">
        <is>
          <t>VÄSTERBOTTENS LÄN</t>
        </is>
      </c>
      <c r="E138" t="inlineStr">
        <is>
          <t>BJURHOLM</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53375-2024</t>
        </is>
      </c>
      <c r="B139" s="1" t="n">
        <v>45614</v>
      </c>
      <c r="C139" s="1" t="n">
        <v>45999</v>
      </c>
      <c r="D139" t="inlineStr">
        <is>
          <t>VÄSTERBOTTENS LÄN</t>
        </is>
      </c>
      <c r="E139" t="inlineStr">
        <is>
          <t>BJURHOLM</t>
        </is>
      </c>
      <c r="G139" t="n">
        <v>0.5</v>
      </c>
      <c r="H139" t="n">
        <v>0</v>
      </c>
      <c r="I139" t="n">
        <v>0</v>
      </c>
      <c r="J139" t="n">
        <v>0</v>
      </c>
      <c r="K139" t="n">
        <v>0</v>
      </c>
      <c r="L139" t="n">
        <v>0</v>
      </c>
      <c r="M139" t="n">
        <v>0</v>
      </c>
      <c r="N139" t="n">
        <v>0</v>
      </c>
      <c r="O139" t="n">
        <v>0</v>
      </c>
      <c r="P139" t="n">
        <v>0</v>
      </c>
      <c r="Q139" t="n">
        <v>0</v>
      </c>
      <c r="R139" s="2" t="inlineStr"/>
    </row>
    <row r="140" ht="15" customHeight="1">
      <c r="A140" t="inlineStr">
        <is>
          <t>A 13842-2025</t>
        </is>
      </c>
      <c r="B140" s="1" t="n">
        <v>45737.55802083333</v>
      </c>
      <c r="C140" s="1" t="n">
        <v>45999</v>
      </c>
      <c r="D140" t="inlineStr">
        <is>
          <t>VÄSTERBOTTENS LÄN</t>
        </is>
      </c>
      <c r="E140" t="inlineStr">
        <is>
          <t>BJURHOLM</t>
        </is>
      </c>
      <c r="G140" t="n">
        <v>1.3</v>
      </c>
      <c r="H140" t="n">
        <v>0</v>
      </c>
      <c r="I140" t="n">
        <v>0</v>
      </c>
      <c r="J140" t="n">
        <v>0</v>
      </c>
      <c r="K140" t="n">
        <v>0</v>
      </c>
      <c r="L140" t="n">
        <v>0</v>
      </c>
      <c r="M140" t="n">
        <v>0</v>
      </c>
      <c r="N140" t="n">
        <v>0</v>
      </c>
      <c r="O140" t="n">
        <v>0</v>
      </c>
      <c r="P140" t="n">
        <v>0</v>
      </c>
      <c r="Q140" t="n">
        <v>0</v>
      </c>
      <c r="R140" s="2" t="inlineStr"/>
    </row>
    <row r="141" ht="15" customHeight="1">
      <c r="A141" t="inlineStr">
        <is>
          <t>A 22408-2024</t>
        </is>
      </c>
      <c r="B141" s="1" t="n">
        <v>45446.6784837963</v>
      </c>
      <c r="C141" s="1" t="n">
        <v>45999</v>
      </c>
      <c r="D141" t="inlineStr">
        <is>
          <t>VÄSTERBOTTENS LÄN</t>
        </is>
      </c>
      <c r="E141" t="inlineStr">
        <is>
          <t>BJURHOLM</t>
        </is>
      </c>
      <c r="G141" t="n">
        <v>1</v>
      </c>
      <c r="H141" t="n">
        <v>0</v>
      </c>
      <c r="I141" t="n">
        <v>0</v>
      </c>
      <c r="J141" t="n">
        <v>0</v>
      </c>
      <c r="K141" t="n">
        <v>0</v>
      </c>
      <c r="L141" t="n">
        <v>0</v>
      </c>
      <c r="M141" t="n">
        <v>0</v>
      </c>
      <c r="N141" t="n">
        <v>0</v>
      </c>
      <c r="O141" t="n">
        <v>0</v>
      </c>
      <c r="P141" t="n">
        <v>0</v>
      </c>
      <c r="Q141" t="n">
        <v>0</v>
      </c>
      <c r="R141" s="2" t="inlineStr"/>
    </row>
    <row r="142" ht="15" customHeight="1">
      <c r="A142" t="inlineStr">
        <is>
          <t>A 3493-2023</t>
        </is>
      </c>
      <c r="B142" s="1" t="n">
        <v>44949</v>
      </c>
      <c r="C142" s="1" t="n">
        <v>45999</v>
      </c>
      <c r="D142" t="inlineStr">
        <is>
          <t>VÄSTERBOTTENS LÄN</t>
        </is>
      </c>
      <c r="E142" t="inlineStr">
        <is>
          <t>BJURHOLM</t>
        </is>
      </c>
      <c r="G142" t="n">
        <v>1.2</v>
      </c>
      <c r="H142" t="n">
        <v>0</v>
      </c>
      <c r="I142" t="n">
        <v>0</v>
      </c>
      <c r="J142" t="n">
        <v>0</v>
      </c>
      <c r="K142" t="n">
        <v>0</v>
      </c>
      <c r="L142" t="n">
        <v>0</v>
      </c>
      <c r="M142" t="n">
        <v>0</v>
      </c>
      <c r="N142" t="n">
        <v>0</v>
      </c>
      <c r="O142" t="n">
        <v>0</v>
      </c>
      <c r="P142" t="n">
        <v>0</v>
      </c>
      <c r="Q142" t="n">
        <v>0</v>
      </c>
      <c r="R142" s="2" t="inlineStr"/>
    </row>
    <row r="143" ht="15" customHeight="1">
      <c r="A143" t="inlineStr">
        <is>
          <t>A 51239-2022</t>
        </is>
      </c>
      <c r="B143" s="1" t="n">
        <v>44866</v>
      </c>
      <c r="C143" s="1" t="n">
        <v>45999</v>
      </c>
      <c r="D143" t="inlineStr">
        <is>
          <t>VÄSTERBOTTENS LÄN</t>
        </is>
      </c>
      <c r="E143" t="inlineStr">
        <is>
          <t>BJURHOLM</t>
        </is>
      </c>
      <c r="G143" t="n">
        <v>1.2</v>
      </c>
      <c r="H143" t="n">
        <v>0</v>
      </c>
      <c r="I143" t="n">
        <v>0</v>
      </c>
      <c r="J143" t="n">
        <v>0</v>
      </c>
      <c r="K143" t="n">
        <v>0</v>
      </c>
      <c r="L143" t="n">
        <v>0</v>
      </c>
      <c r="M143" t="n">
        <v>0</v>
      </c>
      <c r="N143" t="n">
        <v>0</v>
      </c>
      <c r="O143" t="n">
        <v>0</v>
      </c>
      <c r="P143" t="n">
        <v>0</v>
      </c>
      <c r="Q143" t="n">
        <v>0</v>
      </c>
      <c r="R143" s="2" t="inlineStr"/>
    </row>
    <row r="144" ht="15" customHeight="1">
      <c r="A144" t="inlineStr">
        <is>
          <t>A 34784-2023</t>
        </is>
      </c>
      <c r="B144" s="1" t="n">
        <v>45141</v>
      </c>
      <c r="C144" s="1" t="n">
        <v>45999</v>
      </c>
      <c r="D144" t="inlineStr">
        <is>
          <t>VÄSTERBOTTENS LÄN</t>
        </is>
      </c>
      <c r="E144" t="inlineStr">
        <is>
          <t>BJURHOLM</t>
        </is>
      </c>
      <c r="F144" t="inlineStr">
        <is>
          <t>Holmen skog AB</t>
        </is>
      </c>
      <c r="G144" t="n">
        <v>1.4</v>
      </c>
      <c r="H144" t="n">
        <v>0</v>
      </c>
      <c r="I144" t="n">
        <v>0</v>
      </c>
      <c r="J144" t="n">
        <v>0</v>
      </c>
      <c r="K144" t="n">
        <v>0</v>
      </c>
      <c r="L144" t="n">
        <v>0</v>
      </c>
      <c r="M144" t="n">
        <v>0</v>
      </c>
      <c r="N144" t="n">
        <v>0</v>
      </c>
      <c r="O144" t="n">
        <v>0</v>
      </c>
      <c r="P144" t="n">
        <v>0</v>
      </c>
      <c r="Q144" t="n">
        <v>0</v>
      </c>
      <c r="R144" s="2" t="inlineStr"/>
    </row>
    <row r="145" ht="15" customHeight="1">
      <c r="A145" t="inlineStr">
        <is>
          <t>A 32436-2024</t>
        </is>
      </c>
      <c r="B145" s="1" t="n">
        <v>45512</v>
      </c>
      <c r="C145" s="1" t="n">
        <v>45999</v>
      </c>
      <c r="D145" t="inlineStr">
        <is>
          <t>VÄSTERBOTTENS LÄN</t>
        </is>
      </c>
      <c r="E145" t="inlineStr">
        <is>
          <t>BJURHOLM</t>
        </is>
      </c>
      <c r="G145" t="n">
        <v>2.8</v>
      </c>
      <c r="H145" t="n">
        <v>0</v>
      </c>
      <c r="I145" t="n">
        <v>0</v>
      </c>
      <c r="J145" t="n">
        <v>0</v>
      </c>
      <c r="K145" t="n">
        <v>0</v>
      </c>
      <c r="L145" t="n">
        <v>0</v>
      </c>
      <c r="M145" t="n">
        <v>0</v>
      </c>
      <c r="N145" t="n">
        <v>0</v>
      </c>
      <c r="O145" t="n">
        <v>0</v>
      </c>
      <c r="P145" t="n">
        <v>0</v>
      </c>
      <c r="Q145" t="n">
        <v>0</v>
      </c>
      <c r="R145" s="2" t="inlineStr"/>
    </row>
    <row r="146" ht="15" customHeight="1">
      <c r="A146" t="inlineStr">
        <is>
          <t>A 7431-2024</t>
        </is>
      </c>
      <c r="B146" s="1" t="n">
        <v>45345</v>
      </c>
      <c r="C146" s="1" t="n">
        <v>45999</v>
      </c>
      <c r="D146" t="inlineStr">
        <is>
          <t>VÄSTERBOTTENS LÄN</t>
        </is>
      </c>
      <c r="E146" t="inlineStr">
        <is>
          <t>BJURHOLM</t>
        </is>
      </c>
      <c r="G146" t="n">
        <v>2.5</v>
      </c>
      <c r="H146" t="n">
        <v>0</v>
      </c>
      <c r="I146" t="n">
        <v>0</v>
      </c>
      <c r="J146" t="n">
        <v>0</v>
      </c>
      <c r="K146" t="n">
        <v>0</v>
      </c>
      <c r="L146" t="n">
        <v>0</v>
      </c>
      <c r="M146" t="n">
        <v>0</v>
      </c>
      <c r="N146" t="n">
        <v>0</v>
      </c>
      <c r="O146" t="n">
        <v>0</v>
      </c>
      <c r="P146" t="n">
        <v>0</v>
      </c>
      <c r="Q146" t="n">
        <v>0</v>
      </c>
      <c r="R146" s="2" t="inlineStr"/>
    </row>
    <row r="147" ht="15" customHeight="1">
      <c r="A147" t="inlineStr">
        <is>
          <t>A 36978-2024</t>
        </is>
      </c>
      <c r="B147" s="1" t="n">
        <v>45539</v>
      </c>
      <c r="C147" s="1" t="n">
        <v>45999</v>
      </c>
      <c r="D147" t="inlineStr">
        <is>
          <t>VÄSTERBOTTENS LÄN</t>
        </is>
      </c>
      <c r="E147" t="inlineStr">
        <is>
          <t>BJURHOLM</t>
        </is>
      </c>
      <c r="G147" t="n">
        <v>0.4</v>
      </c>
      <c r="H147" t="n">
        <v>0</v>
      </c>
      <c r="I147" t="n">
        <v>0</v>
      </c>
      <c r="J147" t="n">
        <v>0</v>
      </c>
      <c r="K147" t="n">
        <v>0</v>
      </c>
      <c r="L147" t="n">
        <v>0</v>
      </c>
      <c r="M147" t="n">
        <v>0</v>
      </c>
      <c r="N147" t="n">
        <v>0</v>
      </c>
      <c r="O147" t="n">
        <v>0</v>
      </c>
      <c r="P147" t="n">
        <v>0</v>
      </c>
      <c r="Q147" t="n">
        <v>0</v>
      </c>
      <c r="R147" s="2" t="inlineStr"/>
    </row>
    <row r="148" ht="15" customHeight="1">
      <c r="A148" t="inlineStr">
        <is>
          <t>A 22502-2024</t>
        </is>
      </c>
      <c r="B148" s="1" t="n">
        <v>45447</v>
      </c>
      <c r="C148" s="1" t="n">
        <v>45999</v>
      </c>
      <c r="D148" t="inlineStr">
        <is>
          <t>VÄSTERBOTTENS LÄN</t>
        </is>
      </c>
      <c r="E148" t="inlineStr">
        <is>
          <t>BJURHOLM</t>
        </is>
      </c>
      <c r="F148" t="inlineStr">
        <is>
          <t>Holmen skog AB</t>
        </is>
      </c>
      <c r="G148" t="n">
        <v>2.5</v>
      </c>
      <c r="H148" t="n">
        <v>0</v>
      </c>
      <c r="I148" t="n">
        <v>0</v>
      </c>
      <c r="J148" t="n">
        <v>0</v>
      </c>
      <c r="K148" t="n">
        <v>0</v>
      </c>
      <c r="L148" t="n">
        <v>0</v>
      </c>
      <c r="M148" t="n">
        <v>0</v>
      </c>
      <c r="N148" t="n">
        <v>0</v>
      </c>
      <c r="O148" t="n">
        <v>0</v>
      </c>
      <c r="P148" t="n">
        <v>0</v>
      </c>
      <c r="Q148" t="n">
        <v>0</v>
      </c>
      <c r="R148" s="2" t="inlineStr"/>
    </row>
    <row r="149" ht="15" customHeight="1">
      <c r="A149" t="inlineStr">
        <is>
          <t>A 31575-2024</t>
        </is>
      </c>
      <c r="B149" s="1" t="n">
        <v>45506</v>
      </c>
      <c r="C149" s="1" t="n">
        <v>45999</v>
      </c>
      <c r="D149" t="inlineStr">
        <is>
          <t>VÄSTERBOTTENS LÄN</t>
        </is>
      </c>
      <c r="E149" t="inlineStr">
        <is>
          <t>BJURHOLM</t>
        </is>
      </c>
      <c r="F149" t="inlineStr">
        <is>
          <t>Holmen skog AB</t>
        </is>
      </c>
      <c r="G149" t="n">
        <v>1.2</v>
      </c>
      <c r="H149" t="n">
        <v>0</v>
      </c>
      <c r="I149" t="n">
        <v>0</v>
      </c>
      <c r="J149" t="n">
        <v>0</v>
      </c>
      <c r="K149" t="n">
        <v>0</v>
      </c>
      <c r="L149" t="n">
        <v>0</v>
      </c>
      <c r="M149" t="n">
        <v>0</v>
      </c>
      <c r="N149" t="n">
        <v>0</v>
      </c>
      <c r="O149" t="n">
        <v>0</v>
      </c>
      <c r="P149" t="n">
        <v>0</v>
      </c>
      <c r="Q149" t="n">
        <v>0</v>
      </c>
      <c r="R149" s="2" t="inlineStr"/>
    </row>
    <row r="150" ht="15" customHeight="1">
      <c r="A150" t="inlineStr">
        <is>
          <t>A 59675-2021</t>
        </is>
      </c>
      <c r="B150" s="1" t="n">
        <v>44494</v>
      </c>
      <c r="C150" s="1" t="n">
        <v>45999</v>
      </c>
      <c r="D150" t="inlineStr">
        <is>
          <t>VÄSTERBOTTENS LÄN</t>
        </is>
      </c>
      <c r="E150" t="inlineStr">
        <is>
          <t>BJURHOLM</t>
        </is>
      </c>
      <c r="G150" t="n">
        <v>0.1</v>
      </c>
      <c r="H150" t="n">
        <v>0</v>
      </c>
      <c r="I150" t="n">
        <v>0</v>
      </c>
      <c r="J150" t="n">
        <v>0</v>
      </c>
      <c r="K150" t="n">
        <v>0</v>
      </c>
      <c r="L150" t="n">
        <v>0</v>
      </c>
      <c r="M150" t="n">
        <v>0</v>
      </c>
      <c r="N150" t="n">
        <v>0</v>
      </c>
      <c r="O150" t="n">
        <v>0</v>
      </c>
      <c r="P150" t="n">
        <v>0</v>
      </c>
      <c r="Q150" t="n">
        <v>0</v>
      </c>
      <c r="R150" s="2" t="inlineStr"/>
    </row>
    <row r="151" ht="15" customHeight="1">
      <c r="A151" t="inlineStr">
        <is>
          <t>A 27953-2024</t>
        </is>
      </c>
      <c r="B151" s="1" t="n">
        <v>45476</v>
      </c>
      <c r="C151" s="1" t="n">
        <v>45999</v>
      </c>
      <c r="D151" t="inlineStr">
        <is>
          <t>VÄSTERBOTTENS LÄN</t>
        </is>
      </c>
      <c r="E151" t="inlineStr">
        <is>
          <t>BJURHOLM</t>
        </is>
      </c>
      <c r="F151" t="inlineStr">
        <is>
          <t>Holmen skog AB</t>
        </is>
      </c>
      <c r="G151" t="n">
        <v>1.8</v>
      </c>
      <c r="H151" t="n">
        <v>0</v>
      </c>
      <c r="I151" t="n">
        <v>0</v>
      </c>
      <c r="J151" t="n">
        <v>0</v>
      </c>
      <c r="K151" t="n">
        <v>0</v>
      </c>
      <c r="L151" t="n">
        <v>0</v>
      </c>
      <c r="M151" t="n">
        <v>0</v>
      </c>
      <c r="N151" t="n">
        <v>0</v>
      </c>
      <c r="O151" t="n">
        <v>0</v>
      </c>
      <c r="P151" t="n">
        <v>0</v>
      </c>
      <c r="Q151" t="n">
        <v>0</v>
      </c>
      <c r="R151" s="2" t="inlineStr"/>
    </row>
    <row r="152" ht="15" customHeight="1">
      <c r="A152" t="inlineStr">
        <is>
          <t>A 59178-2021</t>
        </is>
      </c>
      <c r="B152" s="1" t="n">
        <v>44490</v>
      </c>
      <c r="C152" s="1" t="n">
        <v>45999</v>
      </c>
      <c r="D152" t="inlineStr">
        <is>
          <t>VÄSTERBOTTENS LÄN</t>
        </is>
      </c>
      <c r="E152" t="inlineStr">
        <is>
          <t>BJURHOLM</t>
        </is>
      </c>
      <c r="G152" t="n">
        <v>0.7</v>
      </c>
      <c r="H152" t="n">
        <v>0</v>
      </c>
      <c r="I152" t="n">
        <v>0</v>
      </c>
      <c r="J152" t="n">
        <v>0</v>
      </c>
      <c r="K152" t="n">
        <v>0</v>
      </c>
      <c r="L152" t="n">
        <v>0</v>
      </c>
      <c r="M152" t="n">
        <v>0</v>
      </c>
      <c r="N152" t="n">
        <v>0</v>
      </c>
      <c r="O152" t="n">
        <v>0</v>
      </c>
      <c r="P152" t="n">
        <v>0</v>
      </c>
      <c r="Q152" t="n">
        <v>0</v>
      </c>
      <c r="R152" s="2" t="inlineStr"/>
    </row>
    <row r="153" ht="15" customHeight="1">
      <c r="A153" t="inlineStr">
        <is>
          <t>A 17060-2025</t>
        </is>
      </c>
      <c r="B153" s="1" t="n">
        <v>45755.60756944444</v>
      </c>
      <c r="C153" s="1" t="n">
        <v>45999</v>
      </c>
      <c r="D153" t="inlineStr">
        <is>
          <t>VÄSTERBOTTENS LÄN</t>
        </is>
      </c>
      <c r="E153" t="inlineStr">
        <is>
          <t>BJURHOLM</t>
        </is>
      </c>
      <c r="G153" t="n">
        <v>7.7</v>
      </c>
      <c r="H153" t="n">
        <v>0</v>
      </c>
      <c r="I153" t="n">
        <v>0</v>
      </c>
      <c r="J153" t="n">
        <v>0</v>
      </c>
      <c r="K153" t="n">
        <v>0</v>
      </c>
      <c r="L153" t="n">
        <v>0</v>
      </c>
      <c r="M153" t="n">
        <v>0</v>
      </c>
      <c r="N153" t="n">
        <v>0</v>
      </c>
      <c r="O153" t="n">
        <v>0</v>
      </c>
      <c r="P153" t="n">
        <v>0</v>
      </c>
      <c r="Q153" t="n">
        <v>0</v>
      </c>
      <c r="R153" s="2" t="inlineStr"/>
    </row>
    <row r="154" ht="15" customHeight="1">
      <c r="A154" t="inlineStr">
        <is>
          <t>A 16013-2025</t>
        </is>
      </c>
      <c r="B154" s="1" t="n">
        <v>45749.60484953703</v>
      </c>
      <c r="C154" s="1" t="n">
        <v>45999</v>
      </c>
      <c r="D154" t="inlineStr">
        <is>
          <t>VÄSTERBOTTENS LÄN</t>
        </is>
      </c>
      <c r="E154" t="inlineStr">
        <is>
          <t>BJURHOLM</t>
        </is>
      </c>
      <c r="G154" t="n">
        <v>3.7</v>
      </c>
      <c r="H154" t="n">
        <v>0</v>
      </c>
      <c r="I154" t="n">
        <v>0</v>
      </c>
      <c r="J154" t="n">
        <v>0</v>
      </c>
      <c r="K154" t="n">
        <v>0</v>
      </c>
      <c r="L154" t="n">
        <v>0</v>
      </c>
      <c r="M154" t="n">
        <v>0</v>
      </c>
      <c r="N154" t="n">
        <v>0</v>
      </c>
      <c r="O154" t="n">
        <v>0</v>
      </c>
      <c r="P154" t="n">
        <v>0</v>
      </c>
      <c r="Q154" t="n">
        <v>0</v>
      </c>
      <c r="R154" s="2" t="inlineStr"/>
    </row>
    <row r="155" ht="15" customHeight="1">
      <c r="A155" t="inlineStr">
        <is>
          <t>A 34712-2023</t>
        </is>
      </c>
      <c r="B155" s="1" t="n">
        <v>45139</v>
      </c>
      <c r="C155" s="1" t="n">
        <v>45999</v>
      </c>
      <c r="D155" t="inlineStr">
        <is>
          <t>VÄSTERBOTTENS LÄN</t>
        </is>
      </c>
      <c r="E155" t="inlineStr">
        <is>
          <t>BJURHOLM</t>
        </is>
      </c>
      <c r="G155" t="n">
        <v>1.7</v>
      </c>
      <c r="H155" t="n">
        <v>0</v>
      </c>
      <c r="I155" t="n">
        <v>0</v>
      </c>
      <c r="J155" t="n">
        <v>0</v>
      </c>
      <c r="K155" t="n">
        <v>0</v>
      </c>
      <c r="L155" t="n">
        <v>0</v>
      </c>
      <c r="M155" t="n">
        <v>0</v>
      </c>
      <c r="N155" t="n">
        <v>0</v>
      </c>
      <c r="O155" t="n">
        <v>0</v>
      </c>
      <c r="P155" t="n">
        <v>0</v>
      </c>
      <c r="Q155" t="n">
        <v>0</v>
      </c>
      <c r="R155" s="2" t="inlineStr"/>
    </row>
    <row r="156" ht="15" customHeight="1">
      <c r="A156" t="inlineStr">
        <is>
          <t>A 80-2024</t>
        </is>
      </c>
      <c r="B156" s="1" t="n">
        <v>45293</v>
      </c>
      <c r="C156" s="1" t="n">
        <v>45999</v>
      </c>
      <c r="D156" t="inlineStr">
        <is>
          <t>VÄSTERBOTTENS LÄN</t>
        </is>
      </c>
      <c r="E156" t="inlineStr">
        <is>
          <t>BJURHOLM</t>
        </is>
      </c>
      <c r="G156" t="n">
        <v>1</v>
      </c>
      <c r="H156" t="n">
        <v>0</v>
      </c>
      <c r="I156" t="n">
        <v>0</v>
      </c>
      <c r="J156" t="n">
        <v>0</v>
      </c>
      <c r="K156" t="n">
        <v>0</v>
      </c>
      <c r="L156" t="n">
        <v>0</v>
      </c>
      <c r="M156" t="n">
        <v>0</v>
      </c>
      <c r="N156" t="n">
        <v>0</v>
      </c>
      <c r="O156" t="n">
        <v>0</v>
      </c>
      <c r="P156" t="n">
        <v>0</v>
      </c>
      <c r="Q156" t="n">
        <v>0</v>
      </c>
      <c r="R156" s="2" t="inlineStr"/>
    </row>
    <row r="157" ht="15" customHeight="1">
      <c r="A157" t="inlineStr">
        <is>
          <t>A 60659-2023</t>
        </is>
      </c>
      <c r="B157" s="1" t="n">
        <v>45259</v>
      </c>
      <c r="C157" s="1" t="n">
        <v>45999</v>
      </c>
      <c r="D157" t="inlineStr">
        <is>
          <t>VÄSTERBOTTENS LÄN</t>
        </is>
      </c>
      <c r="E157" t="inlineStr">
        <is>
          <t>BJURHOLM</t>
        </is>
      </c>
      <c r="G157" t="n">
        <v>1.1</v>
      </c>
      <c r="H157" t="n">
        <v>0</v>
      </c>
      <c r="I157" t="n">
        <v>0</v>
      </c>
      <c r="J157" t="n">
        <v>0</v>
      </c>
      <c r="K157" t="n">
        <v>0</v>
      </c>
      <c r="L157" t="n">
        <v>0</v>
      </c>
      <c r="M157" t="n">
        <v>0</v>
      </c>
      <c r="N157" t="n">
        <v>0</v>
      </c>
      <c r="O157" t="n">
        <v>0</v>
      </c>
      <c r="P157" t="n">
        <v>0</v>
      </c>
      <c r="Q157" t="n">
        <v>0</v>
      </c>
      <c r="R157" s="2" t="inlineStr"/>
    </row>
    <row r="158" ht="15" customHeight="1">
      <c r="A158" t="inlineStr">
        <is>
          <t>A 23183-2024</t>
        </is>
      </c>
      <c r="B158" s="1" t="n">
        <v>45450.94471064815</v>
      </c>
      <c r="C158" s="1" t="n">
        <v>45999</v>
      </c>
      <c r="D158" t="inlineStr">
        <is>
          <t>VÄSTERBOTTENS LÄN</t>
        </is>
      </c>
      <c r="E158" t="inlineStr">
        <is>
          <t>BJURHOLM</t>
        </is>
      </c>
      <c r="F158" t="inlineStr">
        <is>
          <t>SCA</t>
        </is>
      </c>
      <c r="G158" t="n">
        <v>1.2</v>
      </c>
      <c r="H158" t="n">
        <v>0</v>
      </c>
      <c r="I158" t="n">
        <v>0</v>
      </c>
      <c r="J158" t="n">
        <v>0</v>
      </c>
      <c r="K158" t="n">
        <v>0</v>
      </c>
      <c r="L158" t="n">
        <v>0</v>
      </c>
      <c r="M158" t="n">
        <v>0</v>
      </c>
      <c r="N158" t="n">
        <v>0</v>
      </c>
      <c r="O158" t="n">
        <v>0</v>
      </c>
      <c r="P158" t="n">
        <v>0</v>
      </c>
      <c r="Q158" t="n">
        <v>0</v>
      </c>
      <c r="R158" s="2" t="inlineStr"/>
    </row>
    <row r="159" ht="15" customHeight="1">
      <c r="A159" t="inlineStr">
        <is>
          <t>A 23206-2024</t>
        </is>
      </c>
      <c r="B159" s="1" t="n">
        <v>45451</v>
      </c>
      <c r="C159" s="1" t="n">
        <v>45999</v>
      </c>
      <c r="D159" t="inlineStr">
        <is>
          <t>VÄSTERBOTTENS LÄN</t>
        </is>
      </c>
      <c r="E159" t="inlineStr">
        <is>
          <t>BJURHOLM</t>
        </is>
      </c>
      <c r="F159" t="inlineStr">
        <is>
          <t>SCA</t>
        </is>
      </c>
      <c r="G159" t="n">
        <v>2</v>
      </c>
      <c r="H159" t="n">
        <v>0</v>
      </c>
      <c r="I159" t="n">
        <v>0</v>
      </c>
      <c r="J159" t="n">
        <v>0</v>
      </c>
      <c r="K159" t="n">
        <v>0</v>
      </c>
      <c r="L159" t="n">
        <v>0</v>
      </c>
      <c r="M159" t="n">
        <v>0</v>
      </c>
      <c r="N159" t="n">
        <v>0</v>
      </c>
      <c r="O159" t="n">
        <v>0</v>
      </c>
      <c r="P159" t="n">
        <v>0</v>
      </c>
      <c r="Q159" t="n">
        <v>0</v>
      </c>
      <c r="R159" s="2" t="inlineStr"/>
    </row>
    <row r="160" ht="15" customHeight="1">
      <c r="A160" t="inlineStr">
        <is>
          <t>A 62088-2022</t>
        </is>
      </c>
      <c r="B160" s="1" t="n">
        <v>44919</v>
      </c>
      <c r="C160" s="1" t="n">
        <v>45999</v>
      </c>
      <c r="D160" t="inlineStr">
        <is>
          <t>VÄSTERBOTTENS LÄN</t>
        </is>
      </c>
      <c r="E160" t="inlineStr">
        <is>
          <t>BJURHOLM</t>
        </is>
      </c>
      <c r="G160" t="n">
        <v>4.8</v>
      </c>
      <c r="H160" t="n">
        <v>0</v>
      </c>
      <c r="I160" t="n">
        <v>0</v>
      </c>
      <c r="J160" t="n">
        <v>0</v>
      </c>
      <c r="K160" t="n">
        <v>0</v>
      </c>
      <c r="L160" t="n">
        <v>0</v>
      </c>
      <c r="M160" t="n">
        <v>0</v>
      </c>
      <c r="N160" t="n">
        <v>0</v>
      </c>
      <c r="O160" t="n">
        <v>0</v>
      </c>
      <c r="P160" t="n">
        <v>0</v>
      </c>
      <c r="Q160" t="n">
        <v>0</v>
      </c>
      <c r="R160" s="2" t="inlineStr"/>
    </row>
    <row r="161" ht="15" customHeight="1">
      <c r="A161" t="inlineStr">
        <is>
          <t>A 20778-2024</t>
        </is>
      </c>
      <c r="B161" s="1" t="n">
        <v>45436.94701388889</v>
      </c>
      <c r="C161" s="1" t="n">
        <v>45999</v>
      </c>
      <c r="D161" t="inlineStr">
        <is>
          <t>VÄSTERBOTTENS LÄN</t>
        </is>
      </c>
      <c r="E161" t="inlineStr">
        <is>
          <t>BJURHOLM</t>
        </is>
      </c>
      <c r="F161" t="inlineStr">
        <is>
          <t>SCA</t>
        </is>
      </c>
      <c r="G161" t="n">
        <v>0.6</v>
      </c>
      <c r="H161" t="n">
        <v>0</v>
      </c>
      <c r="I161" t="n">
        <v>0</v>
      </c>
      <c r="J161" t="n">
        <v>0</v>
      </c>
      <c r="K161" t="n">
        <v>0</v>
      </c>
      <c r="L161" t="n">
        <v>0</v>
      </c>
      <c r="M161" t="n">
        <v>0</v>
      </c>
      <c r="N161" t="n">
        <v>0</v>
      </c>
      <c r="O161" t="n">
        <v>0</v>
      </c>
      <c r="P161" t="n">
        <v>0</v>
      </c>
      <c r="Q161" t="n">
        <v>0</v>
      </c>
      <c r="R161" s="2" t="inlineStr"/>
    </row>
    <row r="162" ht="15" customHeight="1">
      <c r="A162" t="inlineStr">
        <is>
          <t>A 61170-2024</t>
        </is>
      </c>
      <c r="B162" s="1" t="n">
        <v>45645.60092592592</v>
      </c>
      <c r="C162" s="1" t="n">
        <v>45999</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61229-2024</t>
        </is>
      </c>
      <c r="B163" s="1" t="n">
        <v>45645.66908564815</v>
      </c>
      <c r="C163" s="1" t="n">
        <v>45999</v>
      </c>
      <c r="D163" t="inlineStr">
        <is>
          <t>VÄSTERBOTTENS LÄN</t>
        </is>
      </c>
      <c r="E163" t="inlineStr">
        <is>
          <t>BJURHOLM</t>
        </is>
      </c>
      <c r="G163" t="n">
        <v>1.4</v>
      </c>
      <c r="H163" t="n">
        <v>0</v>
      </c>
      <c r="I163" t="n">
        <v>0</v>
      </c>
      <c r="J163" t="n">
        <v>0</v>
      </c>
      <c r="K163" t="n">
        <v>0</v>
      </c>
      <c r="L163" t="n">
        <v>0</v>
      </c>
      <c r="M163" t="n">
        <v>0</v>
      </c>
      <c r="N163" t="n">
        <v>0</v>
      </c>
      <c r="O163" t="n">
        <v>0</v>
      </c>
      <c r="P163" t="n">
        <v>0</v>
      </c>
      <c r="Q163" t="n">
        <v>0</v>
      </c>
      <c r="R163" s="2" t="inlineStr"/>
    </row>
    <row r="164" ht="15" customHeight="1">
      <c r="A164" t="inlineStr">
        <is>
          <t>A 59181-2023</t>
        </is>
      </c>
      <c r="B164" s="1" t="n">
        <v>45251</v>
      </c>
      <c r="C164" s="1" t="n">
        <v>45999</v>
      </c>
      <c r="D164" t="inlineStr">
        <is>
          <t>VÄSTERBOTTENS LÄN</t>
        </is>
      </c>
      <c r="E164" t="inlineStr">
        <is>
          <t>BJURHOLM</t>
        </is>
      </c>
      <c r="G164" t="n">
        <v>3.7</v>
      </c>
      <c r="H164" t="n">
        <v>0</v>
      </c>
      <c r="I164" t="n">
        <v>0</v>
      </c>
      <c r="J164" t="n">
        <v>0</v>
      </c>
      <c r="K164" t="n">
        <v>0</v>
      </c>
      <c r="L164" t="n">
        <v>0</v>
      </c>
      <c r="M164" t="n">
        <v>0</v>
      </c>
      <c r="N164" t="n">
        <v>0</v>
      </c>
      <c r="O164" t="n">
        <v>0</v>
      </c>
      <c r="P164" t="n">
        <v>0</v>
      </c>
      <c r="Q164" t="n">
        <v>0</v>
      </c>
      <c r="R164" s="2" t="inlineStr"/>
    </row>
    <row r="165" ht="15" customHeight="1">
      <c r="A165" t="inlineStr">
        <is>
          <t>A 55542-2022</t>
        </is>
      </c>
      <c r="B165" s="1" t="n">
        <v>44887</v>
      </c>
      <c r="C165" s="1" t="n">
        <v>45999</v>
      </c>
      <c r="D165" t="inlineStr">
        <is>
          <t>VÄSTERBOTTENS LÄN</t>
        </is>
      </c>
      <c r="E165" t="inlineStr">
        <is>
          <t>BJURHOLM</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36480-2024</t>
        </is>
      </c>
      <c r="B166" s="1" t="n">
        <v>45537</v>
      </c>
      <c r="C166" s="1" t="n">
        <v>45999</v>
      </c>
      <c r="D166" t="inlineStr">
        <is>
          <t>VÄSTERBOTTENS LÄN</t>
        </is>
      </c>
      <c r="E166" t="inlineStr">
        <is>
          <t>BJURHOLM</t>
        </is>
      </c>
      <c r="G166" t="n">
        <v>3.5</v>
      </c>
      <c r="H166" t="n">
        <v>0</v>
      </c>
      <c r="I166" t="n">
        <v>0</v>
      </c>
      <c r="J166" t="n">
        <v>0</v>
      </c>
      <c r="K166" t="n">
        <v>0</v>
      </c>
      <c r="L166" t="n">
        <v>0</v>
      </c>
      <c r="M166" t="n">
        <v>0</v>
      </c>
      <c r="N166" t="n">
        <v>0</v>
      </c>
      <c r="O166" t="n">
        <v>0</v>
      </c>
      <c r="P166" t="n">
        <v>0</v>
      </c>
      <c r="Q166" t="n">
        <v>0</v>
      </c>
      <c r="R166" s="2" t="inlineStr"/>
    </row>
    <row r="167" ht="15" customHeight="1">
      <c r="A167" t="inlineStr">
        <is>
          <t>A 7683-2024</t>
        </is>
      </c>
      <c r="B167" s="1" t="n">
        <v>45348</v>
      </c>
      <c r="C167" s="1" t="n">
        <v>45999</v>
      </c>
      <c r="D167" t="inlineStr">
        <is>
          <t>VÄSTERBOTTENS LÄN</t>
        </is>
      </c>
      <c r="E167" t="inlineStr">
        <is>
          <t>BJURHOLM</t>
        </is>
      </c>
      <c r="G167" t="n">
        <v>11.5</v>
      </c>
      <c r="H167" t="n">
        <v>0</v>
      </c>
      <c r="I167" t="n">
        <v>0</v>
      </c>
      <c r="J167" t="n">
        <v>0</v>
      </c>
      <c r="K167" t="n">
        <v>0</v>
      </c>
      <c r="L167" t="n">
        <v>0</v>
      </c>
      <c r="M167" t="n">
        <v>0</v>
      </c>
      <c r="N167" t="n">
        <v>0</v>
      </c>
      <c r="O167" t="n">
        <v>0</v>
      </c>
      <c r="P167" t="n">
        <v>0</v>
      </c>
      <c r="Q167" t="n">
        <v>0</v>
      </c>
      <c r="R167" s="2" t="inlineStr"/>
    </row>
    <row r="168" ht="15" customHeight="1">
      <c r="A168" t="inlineStr">
        <is>
          <t>A 7728-2024</t>
        </is>
      </c>
      <c r="B168" s="1" t="n">
        <v>45348</v>
      </c>
      <c r="C168" s="1" t="n">
        <v>45999</v>
      </c>
      <c r="D168" t="inlineStr">
        <is>
          <t>VÄSTERBOTTENS LÄN</t>
        </is>
      </c>
      <c r="E168" t="inlineStr">
        <is>
          <t>BJURHOLM</t>
        </is>
      </c>
      <c r="G168" t="n">
        <v>3.5</v>
      </c>
      <c r="H168" t="n">
        <v>0</v>
      </c>
      <c r="I168" t="n">
        <v>0</v>
      </c>
      <c r="J168" t="n">
        <v>0</v>
      </c>
      <c r="K168" t="n">
        <v>0</v>
      </c>
      <c r="L168" t="n">
        <v>0</v>
      </c>
      <c r="M168" t="n">
        <v>0</v>
      </c>
      <c r="N168" t="n">
        <v>0</v>
      </c>
      <c r="O168" t="n">
        <v>0</v>
      </c>
      <c r="P168" t="n">
        <v>0</v>
      </c>
      <c r="Q168" t="n">
        <v>0</v>
      </c>
      <c r="R168" s="2" t="inlineStr"/>
    </row>
    <row r="169" ht="15" customHeight="1">
      <c r="A169" t="inlineStr">
        <is>
          <t>A 31738-2023</t>
        </is>
      </c>
      <c r="B169" s="1" t="n">
        <v>45117.95247685185</v>
      </c>
      <c r="C169" s="1" t="n">
        <v>45999</v>
      </c>
      <c r="D169" t="inlineStr">
        <is>
          <t>VÄSTERBOTTENS LÄN</t>
        </is>
      </c>
      <c r="E169" t="inlineStr">
        <is>
          <t>BJURHOLM</t>
        </is>
      </c>
      <c r="F169" t="inlineStr">
        <is>
          <t>SCA</t>
        </is>
      </c>
      <c r="G169" t="n">
        <v>4.8</v>
      </c>
      <c r="H169" t="n">
        <v>0</v>
      </c>
      <c r="I169" t="n">
        <v>0</v>
      </c>
      <c r="J169" t="n">
        <v>0</v>
      </c>
      <c r="K169" t="n">
        <v>0</v>
      </c>
      <c r="L169" t="n">
        <v>0</v>
      </c>
      <c r="M169" t="n">
        <v>0</v>
      </c>
      <c r="N169" t="n">
        <v>0</v>
      </c>
      <c r="O169" t="n">
        <v>0</v>
      </c>
      <c r="P169" t="n">
        <v>0</v>
      </c>
      <c r="Q169" t="n">
        <v>0</v>
      </c>
      <c r="R169" s="2" t="inlineStr"/>
    </row>
    <row r="170" ht="15" customHeight="1">
      <c r="A170" t="inlineStr">
        <is>
          <t>A 7418-2024</t>
        </is>
      </c>
      <c r="B170" s="1" t="n">
        <v>45345</v>
      </c>
      <c r="C170" s="1" t="n">
        <v>45999</v>
      </c>
      <c r="D170" t="inlineStr">
        <is>
          <t>VÄSTERBOTTENS LÄN</t>
        </is>
      </c>
      <c r="E170" t="inlineStr">
        <is>
          <t>BJURHOLM</t>
        </is>
      </c>
      <c r="G170" t="n">
        <v>1.1</v>
      </c>
      <c r="H170" t="n">
        <v>0</v>
      </c>
      <c r="I170" t="n">
        <v>0</v>
      </c>
      <c r="J170" t="n">
        <v>0</v>
      </c>
      <c r="K170" t="n">
        <v>0</v>
      </c>
      <c r="L170" t="n">
        <v>0</v>
      </c>
      <c r="M170" t="n">
        <v>0</v>
      </c>
      <c r="N170" t="n">
        <v>0</v>
      </c>
      <c r="O170" t="n">
        <v>0</v>
      </c>
      <c r="P170" t="n">
        <v>0</v>
      </c>
      <c r="Q170" t="n">
        <v>0</v>
      </c>
      <c r="R170" s="2" t="inlineStr"/>
    </row>
    <row r="171" ht="15" customHeight="1">
      <c r="A171" t="inlineStr">
        <is>
          <t>A 36594-2024</t>
        </is>
      </c>
      <c r="B171" s="1" t="n">
        <v>45537</v>
      </c>
      <c r="C171" s="1" t="n">
        <v>45999</v>
      </c>
      <c r="D171" t="inlineStr">
        <is>
          <t>VÄSTERBOTTENS LÄN</t>
        </is>
      </c>
      <c r="E171" t="inlineStr">
        <is>
          <t>BJURHOLM</t>
        </is>
      </c>
      <c r="G171" t="n">
        <v>17.7</v>
      </c>
      <c r="H171" t="n">
        <v>0</v>
      </c>
      <c r="I171" t="n">
        <v>0</v>
      </c>
      <c r="J171" t="n">
        <v>0</v>
      </c>
      <c r="K171" t="n">
        <v>0</v>
      </c>
      <c r="L171" t="n">
        <v>0</v>
      </c>
      <c r="M171" t="n">
        <v>0</v>
      </c>
      <c r="N171" t="n">
        <v>0</v>
      </c>
      <c r="O171" t="n">
        <v>0</v>
      </c>
      <c r="P171" t="n">
        <v>0</v>
      </c>
      <c r="Q171" t="n">
        <v>0</v>
      </c>
      <c r="R171" s="2" t="inlineStr"/>
    </row>
    <row r="172" ht="15" customHeight="1">
      <c r="A172" t="inlineStr">
        <is>
          <t>A 50441-2024</t>
        </is>
      </c>
      <c r="B172" s="1" t="n">
        <v>45601.41592592592</v>
      </c>
      <c r="C172" s="1" t="n">
        <v>45999</v>
      </c>
      <c r="D172" t="inlineStr">
        <is>
          <t>VÄSTERBOTTENS LÄN</t>
        </is>
      </c>
      <c r="E172" t="inlineStr">
        <is>
          <t>BJURHOLM</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58420-2022</t>
        </is>
      </c>
      <c r="B173" s="1" t="n">
        <v>44901.92403935185</v>
      </c>
      <c r="C173" s="1" t="n">
        <v>45999</v>
      </c>
      <c r="D173" t="inlineStr">
        <is>
          <t>VÄSTERBOTTENS LÄN</t>
        </is>
      </c>
      <c r="E173" t="inlineStr">
        <is>
          <t>BJURHOLM</t>
        </is>
      </c>
      <c r="G173" t="n">
        <v>1.2</v>
      </c>
      <c r="H173" t="n">
        <v>0</v>
      </c>
      <c r="I173" t="n">
        <v>0</v>
      </c>
      <c r="J173" t="n">
        <v>0</v>
      </c>
      <c r="K173" t="n">
        <v>0</v>
      </c>
      <c r="L173" t="n">
        <v>0</v>
      </c>
      <c r="M173" t="n">
        <v>0</v>
      </c>
      <c r="N173" t="n">
        <v>0</v>
      </c>
      <c r="O173" t="n">
        <v>0</v>
      </c>
      <c r="P173" t="n">
        <v>0</v>
      </c>
      <c r="Q173" t="n">
        <v>0</v>
      </c>
      <c r="R173" s="2" t="inlineStr"/>
    </row>
    <row r="174" ht="15" customHeight="1">
      <c r="A174" t="inlineStr">
        <is>
          <t>A 5541-2025</t>
        </is>
      </c>
      <c r="B174" s="1" t="n">
        <v>45693.45158564814</v>
      </c>
      <c r="C174" s="1" t="n">
        <v>45999</v>
      </c>
      <c r="D174" t="inlineStr">
        <is>
          <t>VÄSTERBOTTENS LÄN</t>
        </is>
      </c>
      <c r="E174" t="inlineStr">
        <is>
          <t>BJURHOLM</t>
        </is>
      </c>
      <c r="G174" t="n">
        <v>3.7</v>
      </c>
      <c r="H174" t="n">
        <v>0</v>
      </c>
      <c r="I174" t="n">
        <v>0</v>
      </c>
      <c r="J174" t="n">
        <v>0</v>
      </c>
      <c r="K174" t="n">
        <v>0</v>
      </c>
      <c r="L174" t="n">
        <v>0</v>
      </c>
      <c r="M174" t="n">
        <v>0</v>
      </c>
      <c r="N174" t="n">
        <v>0</v>
      </c>
      <c r="O174" t="n">
        <v>0</v>
      </c>
      <c r="P174" t="n">
        <v>0</v>
      </c>
      <c r="Q174" t="n">
        <v>0</v>
      </c>
      <c r="R174" s="2" t="inlineStr"/>
    </row>
    <row r="175" ht="15" customHeight="1">
      <c r="A175" t="inlineStr">
        <is>
          <t>A 34714-2023</t>
        </is>
      </c>
      <c r="B175" s="1" t="n">
        <v>45141.32886574074</v>
      </c>
      <c r="C175" s="1" t="n">
        <v>45999</v>
      </c>
      <c r="D175" t="inlineStr">
        <is>
          <t>VÄSTERBOTTENS LÄN</t>
        </is>
      </c>
      <c r="E175" t="inlineStr">
        <is>
          <t>BJURHOLM</t>
        </is>
      </c>
      <c r="F175" t="inlineStr">
        <is>
          <t>Holmen skog AB</t>
        </is>
      </c>
      <c r="G175" t="n">
        <v>3</v>
      </c>
      <c r="H175" t="n">
        <v>0</v>
      </c>
      <c r="I175" t="n">
        <v>0</v>
      </c>
      <c r="J175" t="n">
        <v>0</v>
      </c>
      <c r="K175" t="n">
        <v>0</v>
      </c>
      <c r="L175" t="n">
        <v>0</v>
      </c>
      <c r="M175" t="n">
        <v>0</v>
      </c>
      <c r="N175" t="n">
        <v>0</v>
      </c>
      <c r="O175" t="n">
        <v>0</v>
      </c>
      <c r="P175" t="n">
        <v>0</v>
      </c>
      <c r="Q175" t="n">
        <v>0</v>
      </c>
      <c r="R175" s="2" t="inlineStr"/>
    </row>
    <row r="176" ht="15" customHeight="1">
      <c r="A176" t="inlineStr">
        <is>
          <t>A 35829-2023</t>
        </is>
      </c>
      <c r="B176" s="1" t="n">
        <v>45148.47032407407</v>
      </c>
      <c r="C176" s="1" t="n">
        <v>45999</v>
      </c>
      <c r="D176" t="inlineStr">
        <is>
          <t>VÄSTERBOTTENS LÄN</t>
        </is>
      </c>
      <c r="E176" t="inlineStr">
        <is>
          <t>BJURHOLM</t>
        </is>
      </c>
      <c r="F176" t="inlineStr">
        <is>
          <t>Holmen skog AB</t>
        </is>
      </c>
      <c r="G176" t="n">
        <v>3.6</v>
      </c>
      <c r="H176" t="n">
        <v>0</v>
      </c>
      <c r="I176" t="n">
        <v>0</v>
      </c>
      <c r="J176" t="n">
        <v>0</v>
      </c>
      <c r="K176" t="n">
        <v>0</v>
      </c>
      <c r="L176" t="n">
        <v>0</v>
      </c>
      <c r="M176" t="n">
        <v>0</v>
      </c>
      <c r="N176" t="n">
        <v>0</v>
      </c>
      <c r="O176" t="n">
        <v>0</v>
      </c>
      <c r="P176" t="n">
        <v>0</v>
      </c>
      <c r="Q176" t="n">
        <v>0</v>
      </c>
      <c r="R176" s="2" t="inlineStr"/>
    </row>
    <row r="177" ht="15" customHeight="1">
      <c r="A177" t="inlineStr">
        <is>
          <t>A 35835-2023</t>
        </is>
      </c>
      <c r="B177" s="1" t="n">
        <v>45148</v>
      </c>
      <c r="C177" s="1" t="n">
        <v>45999</v>
      </c>
      <c r="D177" t="inlineStr">
        <is>
          <t>VÄSTERBOTTENS LÄN</t>
        </is>
      </c>
      <c r="E177" t="inlineStr">
        <is>
          <t>BJURHOLM</t>
        </is>
      </c>
      <c r="F177" t="inlineStr">
        <is>
          <t>Holmen skog AB</t>
        </is>
      </c>
      <c r="G177" t="n">
        <v>2.3</v>
      </c>
      <c r="H177" t="n">
        <v>0</v>
      </c>
      <c r="I177" t="n">
        <v>0</v>
      </c>
      <c r="J177" t="n">
        <v>0</v>
      </c>
      <c r="K177" t="n">
        <v>0</v>
      </c>
      <c r="L177" t="n">
        <v>0</v>
      </c>
      <c r="M177" t="n">
        <v>0</v>
      </c>
      <c r="N177" t="n">
        <v>0</v>
      </c>
      <c r="O177" t="n">
        <v>0</v>
      </c>
      <c r="P177" t="n">
        <v>0</v>
      </c>
      <c r="Q177" t="n">
        <v>0</v>
      </c>
      <c r="R177" s="2" t="inlineStr"/>
    </row>
    <row r="178" ht="15" customHeight="1">
      <c r="A178" t="inlineStr">
        <is>
          <t>A 74152-2021</t>
        </is>
      </c>
      <c r="B178" s="1" t="n">
        <v>44557</v>
      </c>
      <c r="C178" s="1" t="n">
        <v>45999</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32502-2024</t>
        </is>
      </c>
      <c r="B179" s="1" t="n">
        <v>45513</v>
      </c>
      <c r="C179" s="1" t="n">
        <v>45999</v>
      </c>
      <c r="D179" t="inlineStr">
        <is>
          <t>VÄSTERBOTTENS LÄN</t>
        </is>
      </c>
      <c r="E179" t="inlineStr">
        <is>
          <t>BJURHOLM</t>
        </is>
      </c>
      <c r="G179" t="n">
        <v>1.5</v>
      </c>
      <c r="H179" t="n">
        <v>0</v>
      </c>
      <c r="I179" t="n">
        <v>0</v>
      </c>
      <c r="J179" t="n">
        <v>0</v>
      </c>
      <c r="K179" t="n">
        <v>0</v>
      </c>
      <c r="L179" t="n">
        <v>0</v>
      </c>
      <c r="M179" t="n">
        <v>0</v>
      </c>
      <c r="N179" t="n">
        <v>0</v>
      </c>
      <c r="O179" t="n">
        <v>0</v>
      </c>
      <c r="P179" t="n">
        <v>0</v>
      </c>
      <c r="Q179" t="n">
        <v>0</v>
      </c>
      <c r="R179" s="2" t="inlineStr"/>
    </row>
    <row r="180" ht="15" customHeight="1">
      <c r="A180" t="inlineStr">
        <is>
          <t>A 16368-2023</t>
        </is>
      </c>
      <c r="B180" s="1" t="n">
        <v>45028.94060185185</v>
      </c>
      <c r="C180" s="1" t="n">
        <v>45999</v>
      </c>
      <c r="D180" t="inlineStr">
        <is>
          <t>VÄSTERBOTTENS LÄN</t>
        </is>
      </c>
      <c r="E180" t="inlineStr">
        <is>
          <t>BJURHOLM</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30182-2023</t>
        </is>
      </c>
      <c r="B181" s="1" t="n">
        <v>45099</v>
      </c>
      <c r="C181" s="1" t="n">
        <v>45999</v>
      </c>
      <c r="D181" t="inlineStr">
        <is>
          <t>VÄSTERBOTTENS LÄN</t>
        </is>
      </c>
      <c r="E181" t="inlineStr">
        <is>
          <t>BJURHOLM</t>
        </is>
      </c>
      <c r="G181" t="n">
        <v>2.3</v>
      </c>
      <c r="H181" t="n">
        <v>0</v>
      </c>
      <c r="I181" t="n">
        <v>0</v>
      </c>
      <c r="J181" t="n">
        <v>0</v>
      </c>
      <c r="K181" t="n">
        <v>0</v>
      </c>
      <c r="L181" t="n">
        <v>0</v>
      </c>
      <c r="M181" t="n">
        <v>0</v>
      </c>
      <c r="N181" t="n">
        <v>0</v>
      </c>
      <c r="O181" t="n">
        <v>0</v>
      </c>
      <c r="P181" t="n">
        <v>0</v>
      </c>
      <c r="Q181" t="n">
        <v>0</v>
      </c>
      <c r="R181" s="2" t="inlineStr"/>
    </row>
    <row r="182" ht="15" customHeight="1">
      <c r="A182" t="inlineStr">
        <is>
          <t>A 11729-2025</t>
        </is>
      </c>
      <c r="B182" s="1" t="n">
        <v>45727.61769675926</v>
      </c>
      <c r="C182" s="1" t="n">
        <v>45999</v>
      </c>
      <c r="D182" t="inlineStr">
        <is>
          <t>VÄSTERBOTTENS LÄN</t>
        </is>
      </c>
      <c r="E182" t="inlineStr">
        <is>
          <t>BJURHOLM</t>
        </is>
      </c>
      <c r="G182" t="n">
        <v>1.1</v>
      </c>
      <c r="H182" t="n">
        <v>0</v>
      </c>
      <c r="I182" t="n">
        <v>0</v>
      </c>
      <c r="J182" t="n">
        <v>0</v>
      </c>
      <c r="K182" t="n">
        <v>0</v>
      </c>
      <c r="L182" t="n">
        <v>0</v>
      </c>
      <c r="M182" t="n">
        <v>0</v>
      </c>
      <c r="N182" t="n">
        <v>0</v>
      </c>
      <c r="O182" t="n">
        <v>0</v>
      </c>
      <c r="P182" t="n">
        <v>0</v>
      </c>
      <c r="Q182" t="n">
        <v>0</v>
      </c>
      <c r="R182" s="2" t="inlineStr"/>
    </row>
    <row r="183" ht="15" customHeight="1">
      <c r="A183" t="inlineStr">
        <is>
          <t>A 26459-2024</t>
        </is>
      </c>
      <c r="B183" s="1" t="n">
        <v>45469</v>
      </c>
      <c r="C183" s="1" t="n">
        <v>45999</v>
      </c>
      <c r="D183" t="inlineStr">
        <is>
          <t>VÄSTERBOTTENS LÄN</t>
        </is>
      </c>
      <c r="E183" t="inlineStr">
        <is>
          <t>BJURHOLM</t>
        </is>
      </c>
      <c r="G183" t="n">
        <v>0.5</v>
      </c>
      <c r="H183" t="n">
        <v>0</v>
      </c>
      <c r="I183" t="n">
        <v>0</v>
      </c>
      <c r="J183" t="n">
        <v>0</v>
      </c>
      <c r="K183" t="n">
        <v>0</v>
      </c>
      <c r="L183" t="n">
        <v>0</v>
      </c>
      <c r="M183" t="n">
        <v>0</v>
      </c>
      <c r="N183" t="n">
        <v>0</v>
      </c>
      <c r="O183" t="n">
        <v>0</v>
      </c>
      <c r="P183" t="n">
        <v>0</v>
      </c>
      <c r="Q183" t="n">
        <v>0</v>
      </c>
      <c r="R183" s="2" t="inlineStr"/>
    </row>
    <row r="184" ht="15" customHeight="1">
      <c r="A184" t="inlineStr">
        <is>
          <t>A 50726-2024</t>
        </is>
      </c>
      <c r="B184" s="1" t="n">
        <v>45602.3874537037</v>
      </c>
      <c r="C184" s="1" t="n">
        <v>45999</v>
      </c>
      <c r="D184" t="inlineStr">
        <is>
          <t>VÄSTERBOTTENS LÄN</t>
        </is>
      </c>
      <c r="E184" t="inlineStr">
        <is>
          <t>BJURHOLM</t>
        </is>
      </c>
      <c r="G184" t="n">
        <v>3.1</v>
      </c>
      <c r="H184" t="n">
        <v>0</v>
      </c>
      <c r="I184" t="n">
        <v>0</v>
      </c>
      <c r="J184" t="n">
        <v>0</v>
      </c>
      <c r="K184" t="n">
        <v>0</v>
      </c>
      <c r="L184" t="n">
        <v>0</v>
      </c>
      <c r="M184" t="n">
        <v>0</v>
      </c>
      <c r="N184" t="n">
        <v>0</v>
      </c>
      <c r="O184" t="n">
        <v>0</v>
      </c>
      <c r="P184" t="n">
        <v>0</v>
      </c>
      <c r="Q184" t="n">
        <v>0</v>
      </c>
      <c r="R184" s="2" t="inlineStr"/>
    </row>
    <row r="185" ht="15" customHeight="1">
      <c r="A185" t="inlineStr">
        <is>
          <t>A 50728-2024</t>
        </is>
      </c>
      <c r="B185" s="1" t="n">
        <v>45602.38762731481</v>
      </c>
      <c r="C185" s="1" t="n">
        <v>45999</v>
      </c>
      <c r="D185" t="inlineStr">
        <is>
          <t>VÄSTERBOTTENS LÄN</t>
        </is>
      </c>
      <c r="E185" t="inlineStr">
        <is>
          <t>BJURHOLM</t>
        </is>
      </c>
      <c r="G185" t="n">
        <v>1.2</v>
      </c>
      <c r="H185" t="n">
        <v>0</v>
      </c>
      <c r="I185" t="n">
        <v>0</v>
      </c>
      <c r="J185" t="n">
        <v>0</v>
      </c>
      <c r="K185" t="n">
        <v>0</v>
      </c>
      <c r="L185" t="n">
        <v>0</v>
      </c>
      <c r="M185" t="n">
        <v>0</v>
      </c>
      <c r="N185" t="n">
        <v>0</v>
      </c>
      <c r="O185" t="n">
        <v>0</v>
      </c>
      <c r="P185" t="n">
        <v>0</v>
      </c>
      <c r="Q185" t="n">
        <v>0</v>
      </c>
      <c r="R185" s="2" t="inlineStr"/>
    </row>
    <row r="186" ht="15" customHeight="1">
      <c r="A186" t="inlineStr">
        <is>
          <t>A 36448-2024</t>
        </is>
      </c>
      <c r="B186" s="1" t="n">
        <v>45537</v>
      </c>
      <c r="C186" s="1" t="n">
        <v>45999</v>
      </c>
      <c r="D186" t="inlineStr">
        <is>
          <t>VÄSTERBOTTENS LÄN</t>
        </is>
      </c>
      <c r="E186" t="inlineStr">
        <is>
          <t>BJURHOLM</t>
        </is>
      </c>
      <c r="G186" t="n">
        <v>0.4</v>
      </c>
      <c r="H186" t="n">
        <v>0</v>
      </c>
      <c r="I186" t="n">
        <v>0</v>
      </c>
      <c r="J186" t="n">
        <v>0</v>
      </c>
      <c r="K186" t="n">
        <v>0</v>
      </c>
      <c r="L186" t="n">
        <v>0</v>
      </c>
      <c r="M186" t="n">
        <v>0</v>
      </c>
      <c r="N186" t="n">
        <v>0</v>
      </c>
      <c r="O186" t="n">
        <v>0</v>
      </c>
      <c r="P186" t="n">
        <v>0</v>
      </c>
      <c r="Q186" t="n">
        <v>0</v>
      </c>
      <c r="R186" s="2" t="inlineStr"/>
    </row>
    <row r="187" ht="15" customHeight="1">
      <c r="A187" t="inlineStr">
        <is>
          <t>A 23205-2024</t>
        </is>
      </c>
      <c r="B187" s="1" t="n">
        <v>45451</v>
      </c>
      <c r="C187" s="1" t="n">
        <v>45999</v>
      </c>
      <c r="D187" t="inlineStr">
        <is>
          <t>VÄSTERBOTTENS LÄN</t>
        </is>
      </c>
      <c r="E187" t="inlineStr">
        <is>
          <t>BJURHOLM</t>
        </is>
      </c>
      <c r="F187" t="inlineStr">
        <is>
          <t>SCA</t>
        </is>
      </c>
      <c r="G187" t="n">
        <v>3.7</v>
      </c>
      <c r="H187" t="n">
        <v>0</v>
      </c>
      <c r="I187" t="n">
        <v>0</v>
      </c>
      <c r="J187" t="n">
        <v>0</v>
      </c>
      <c r="K187" t="n">
        <v>0</v>
      </c>
      <c r="L187" t="n">
        <v>0</v>
      </c>
      <c r="M187" t="n">
        <v>0</v>
      </c>
      <c r="N187" t="n">
        <v>0</v>
      </c>
      <c r="O187" t="n">
        <v>0</v>
      </c>
      <c r="P187" t="n">
        <v>0</v>
      </c>
      <c r="Q187" t="n">
        <v>0</v>
      </c>
      <c r="R187" s="2" t="inlineStr"/>
    </row>
    <row r="188" ht="15" customHeight="1">
      <c r="A188" t="inlineStr">
        <is>
          <t>A 8644-2023</t>
        </is>
      </c>
      <c r="B188" s="1" t="n">
        <v>44977</v>
      </c>
      <c r="C188" s="1" t="n">
        <v>45999</v>
      </c>
      <c r="D188" t="inlineStr">
        <is>
          <t>VÄSTERBOTTENS LÄN</t>
        </is>
      </c>
      <c r="E188" t="inlineStr">
        <is>
          <t>BJURHOLM</t>
        </is>
      </c>
      <c r="F188" t="inlineStr">
        <is>
          <t>SCA</t>
        </is>
      </c>
      <c r="G188" t="n">
        <v>3.8</v>
      </c>
      <c r="H188" t="n">
        <v>0</v>
      </c>
      <c r="I188" t="n">
        <v>0</v>
      </c>
      <c r="J188" t="n">
        <v>0</v>
      </c>
      <c r="K188" t="n">
        <v>0</v>
      </c>
      <c r="L188" t="n">
        <v>0</v>
      </c>
      <c r="M188" t="n">
        <v>0</v>
      </c>
      <c r="N188" t="n">
        <v>0</v>
      </c>
      <c r="O188" t="n">
        <v>0</v>
      </c>
      <c r="P188" t="n">
        <v>0</v>
      </c>
      <c r="Q188" t="n">
        <v>0</v>
      </c>
      <c r="R188" s="2" t="inlineStr"/>
    </row>
    <row r="189" ht="15" customHeight="1">
      <c r="A189" t="inlineStr">
        <is>
          <t>A 42402-2024</t>
        </is>
      </c>
      <c r="B189" s="1" t="n">
        <v>45565.34449074074</v>
      </c>
      <c r="C189" s="1" t="n">
        <v>45999</v>
      </c>
      <c r="D189" t="inlineStr">
        <is>
          <t>VÄSTERBOTTENS LÄN</t>
        </is>
      </c>
      <c r="E189" t="inlineStr">
        <is>
          <t>BJURHOLM</t>
        </is>
      </c>
      <c r="G189" t="n">
        <v>2.7</v>
      </c>
      <c r="H189" t="n">
        <v>0</v>
      </c>
      <c r="I189" t="n">
        <v>0</v>
      </c>
      <c r="J189" t="n">
        <v>0</v>
      </c>
      <c r="K189" t="n">
        <v>0</v>
      </c>
      <c r="L189" t="n">
        <v>0</v>
      </c>
      <c r="M189" t="n">
        <v>0</v>
      </c>
      <c r="N189" t="n">
        <v>0</v>
      </c>
      <c r="O189" t="n">
        <v>0</v>
      </c>
      <c r="P189" t="n">
        <v>0</v>
      </c>
      <c r="Q189" t="n">
        <v>0</v>
      </c>
      <c r="R189" s="2" t="inlineStr"/>
    </row>
    <row r="190" ht="15" customHeight="1">
      <c r="A190" t="inlineStr">
        <is>
          <t>A 36416-2024</t>
        </is>
      </c>
      <c r="B190" s="1" t="n">
        <v>45536</v>
      </c>
      <c r="C190" s="1" t="n">
        <v>45999</v>
      </c>
      <c r="D190" t="inlineStr">
        <is>
          <t>VÄSTERBOTTENS LÄN</t>
        </is>
      </c>
      <c r="E190" t="inlineStr">
        <is>
          <t>BJURHOLM</t>
        </is>
      </c>
      <c r="G190" t="n">
        <v>0</v>
      </c>
      <c r="H190" t="n">
        <v>0</v>
      </c>
      <c r="I190" t="n">
        <v>0</v>
      </c>
      <c r="J190" t="n">
        <v>0</v>
      </c>
      <c r="K190" t="n">
        <v>0</v>
      </c>
      <c r="L190" t="n">
        <v>0</v>
      </c>
      <c r="M190" t="n">
        <v>0</v>
      </c>
      <c r="N190" t="n">
        <v>0</v>
      </c>
      <c r="O190" t="n">
        <v>0</v>
      </c>
      <c r="P190" t="n">
        <v>0</v>
      </c>
      <c r="Q190" t="n">
        <v>0</v>
      </c>
      <c r="R190" s="2" t="inlineStr"/>
    </row>
    <row r="191" ht="15" customHeight="1">
      <c r="A191" t="inlineStr">
        <is>
          <t>A 41505-2021</t>
        </is>
      </c>
      <c r="B191" s="1" t="n">
        <v>44424.94164351852</v>
      </c>
      <c r="C191" s="1" t="n">
        <v>45999</v>
      </c>
      <c r="D191" t="inlineStr">
        <is>
          <t>VÄSTERBOTTENS LÄN</t>
        </is>
      </c>
      <c r="E191" t="inlineStr">
        <is>
          <t>BJURHOLM</t>
        </is>
      </c>
      <c r="F191" t="inlineStr">
        <is>
          <t>SCA</t>
        </is>
      </c>
      <c r="G191" t="n">
        <v>1.5</v>
      </c>
      <c r="H191" t="n">
        <v>0</v>
      </c>
      <c r="I191" t="n">
        <v>0</v>
      </c>
      <c r="J191" t="n">
        <v>0</v>
      </c>
      <c r="K191" t="n">
        <v>0</v>
      </c>
      <c r="L191" t="n">
        <v>0</v>
      </c>
      <c r="M191" t="n">
        <v>0</v>
      </c>
      <c r="N191" t="n">
        <v>0</v>
      </c>
      <c r="O191" t="n">
        <v>0</v>
      </c>
      <c r="P191" t="n">
        <v>0</v>
      </c>
      <c r="Q191" t="n">
        <v>0</v>
      </c>
      <c r="R191" s="2" t="inlineStr"/>
    </row>
    <row r="192" ht="15" customHeight="1">
      <c r="A192" t="inlineStr">
        <is>
          <t>A 64500-2023</t>
        </is>
      </c>
      <c r="B192" s="1" t="n">
        <v>45280.94303240741</v>
      </c>
      <c r="C192" s="1" t="n">
        <v>45999</v>
      </c>
      <c r="D192" t="inlineStr">
        <is>
          <t>VÄSTERBOTTENS LÄN</t>
        </is>
      </c>
      <c r="E192" t="inlineStr">
        <is>
          <t>BJURHOLM</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41592-2023</t>
        </is>
      </c>
      <c r="B193" s="1" t="n">
        <v>45175.63826388889</v>
      </c>
      <c r="C193" s="1" t="n">
        <v>45999</v>
      </c>
      <c r="D193" t="inlineStr">
        <is>
          <t>VÄSTERBOTTENS LÄN</t>
        </is>
      </c>
      <c r="E193" t="inlineStr">
        <is>
          <t>BJURHOLM</t>
        </is>
      </c>
      <c r="F193" t="inlineStr">
        <is>
          <t>Holmen skog AB</t>
        </is>
      </c>
      <c r="G193" t="n">
        <v>2.6</v>
      </c>
      <c r="H193" t="n">
        <v>0</v>
      </c>
      <c r="I193" t="n">
        <v>0</v>
      </c>
      <c r="J193" t="n">
        <v>0</v>
      </c>
      <c r="K193" t="n">
        <v>0</v>
      </c>
      <c r="L193" t="n">
        <v>0</v>
      </c>
      <c r="M193" t="n">
        <v>0</v>
      </c>
      <c r="N193" t="n">
        <v>0</v>
      </c>
      <c r="O193" t="n">
        <v>0</v>
      </c>
      <c r="P193" t="n">
        <v>0</v>
      </c>
      <c r="Q193" t="n">
        <v>0</v>
      </c>
      <c r="R193" s="2" t="inlineStr"/>
    </row>
    <row r="194" ht="15" customHeight="1">
      <c r="A194" t="inlineStr">
        <is>
          <t>A 50762-2024</t>
        </is>
      </c>
      <c r="B194" s="1" t="n">
        <v>45602.4377662037</v>
      </c>
      <c r="C194" s="1" t="n">
        <v>45999</v>
      </c>
      <c r="D194" t="inlineStr">
        <is>
          <t>VÄSTERBOTTENS LÄN</t>
        </is>
      </c>
      <c r="E194" t="inlineStr">
        <is>
          <t>BJURHOLM</t>
        </is>
      </c>
      <c r="G194" t="n">
        <v>4.5</v>
      </c>
      <c r="H194" t="n">
        <v>0</v>
      </c>
      <c r="I194" t="n">
        <v>0</v>
      </c>
      <c r="J194" t="n">
        <v>0</v>
      </c>
      <c r="K194" t="n">
        <v>0</v>
      </c>
      <c r="L194" t="n">
        <v>0</v>
      </c>
      <c r="M194" t="n">
        <v>0</v>
      </c>
      <c r="N194" t="n">
        <v>0</v>
      </c>
      <c r="O194" t="n">
        <v>0</v>
      </c>
      <c r="P194" t="n">
        <v>0</v>
      </c>
      <c r="Q194" t="n">
        <v>0</v>
      </c>
      <c r="R194" s="2" t="inlineStr"/>
    </row>
    <row r="195" ht="15" customHeight="1">
      <c r="A195" t="inlineStr">
        <is>
          <t>A 50773-2024</t>
        </is>
      </c>
      <c r="B195" s="1" t="n">
        <v>45602.44862268519</v>
      </c>
      <c r="C195" s="1" t="n">
        <v>45999</v>
      </c>
      <c r="D195" t="inlineStr">
        <is>
          <t>VÄSTERBOTTENS LÄN</t>
        </is>
      </c>
      <c r="E195" t="inlineStr">
        <is>
          <t>BJURHOLM</t>
        </is>
      </c>
      <c r="G195" t="n">
        <v>0.8</v>
      </c>
      <c r="H195" t="n">
        <v>0</v>
      </c>
      <c r="I195" t="n">
        <v>0</v>
      </c>
      <c r="J195" t="n">
        <v>0</v>
      </c>
      <c r="K195" t="n">
        <v>0</v>
      </c>
      <c r="L195" t="n">
        <v>0</v>
      </c>
      <c r="M195" t="n">
        <v>0</v>
      </c>
      <c r="N195" t="n">
        <v>0</v>
      </c>
      <c r="O195" t="n">
        <v>0</v>
      </c>
      <c r="P195" t="n">
        <v>0</v>
      </c>
      <c r="Q195" t="n">
        <v>0</v>
      </c>
      <c r="R195" s="2" t="inlineStr"/>
    </row>
    <row r="196" ht="15" customHeight="1">
      <c r="A196" t="inlineStr">
        <is>
          <t>A 14071-2023</t>
        </is>
      </c>
      <c r="B196" s="1" t="n">
        <v>45009.08837962963</v>
      </c>
      <c r="C196" s="1" t="n">
        <v>45999</v>
      </c>
      <c r="D196" t="inlineStr">
        <is>
          <t>VÄSTERBOTTENS LÄN</t>
        </is>
      </c>
      <c r="E196" t="inlineStr">
        <is>
          <t>BJURHOLM</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46435-2024</t>
        </is>
      </c>
      <c r="B197" s="1" t="n">
        <v>45582.47464120371</v>
      </c>
      <c r="C197" s="1" t="n">
        <v>45999</v>
      </c>
      <c r="D197" t="inlineStr">
        <is>
          <t>VÄSTERBOTTENS LÄN</t>
        </is>
      </c>
      <c r="E197" t="inlineStr">
        <is>
          <t>BJURHOLM</t>
        </is>
      </c>
      <c r="G197" t="n">
        <v>1</v>
      </c>
      <c r="H197" t="n">
        <v>0</v>
      </c>
      <c r="I197" t="n">
        <v>0</v>
      </c>
      <c r="J197" t="n">
        <v>0</v>
      </c>
      <c r="K197" t="n">
        <v>0</v>
      </c>
      <c r="L197" t="n">
        <v>0</v>
      </c>
      <c r="M197" t="n">
        <v>0</v>
      </c>
      <c r="N197" t="n">
        <v>0</v>
      </c>
      <c r="O197" t="n">
        <v>0</v>
      </c>
      <c r="P197" t="n">
        <v>0</v>
      </c>
      <c r="Q197" t="n">
        <v>0</v>
      </c>
      <c r="R197" s="2" t="inlineStr"/>
    </row>
    <row r="198" ht="15" customHeight="1">
      <c r="A198" t="inlineStr">
        <is>
          <t>A 34296-2022</t>
        </is>
      </c>
      <c r="B198" s="1" t="n">
        <v>44792.35222222222</v>
      </c>
      <c r="C198" s="1" t="n">
        <v>45999</v>
      </c>
      <c r="D198" t="inlineStr">
        <is>
          <t>VÄSTERBOTTENS LÄN</t>
        </is>
      </c>
      <c r="E198" t="inlineStr">
        <is>
          <t>BJURHOLM</t>
        </is>
      </c>
      <c r="G198" t="n">
        <v>9.1</v>
      </c>
      <c r="H198" t="n">
        <v>0</v>
      </c>
      <c r="I198" t="n">
        <v>0</v>
      </c>
      <c r="J198" t="n">
        <v>0</v>
      </c>
      <c r="K198" t="n">
        <v>0</v>
      </c>
      <c r="L198" t="n">
        <v>0</v>
      </c>
      <c r="M198" t="n">
        <v>0</v>
      </c>
      <c r="N198" t="n">
        <v>0</v>
      </c>
      <c r="O198" t="n">
        <v>0</v>
      </c>
      <c r="P198" t="n">
        <v>0</v>
      </c>
      <c r="Q198" t="n">
        <v>0</v>
      </c>
      <c r="R198" s="2" t="inlineStr"/>
    </row>
    <row r="199" ht="15" customHeight="1">
      <c r="A199" t="inlineStr">
        <is>
          <t>A 43172-2023</t>
        </is>
      </c>
      <c r="B199" s="1" t="n">
        <v>45183</v>
      </c>
      <c r="C199" s="1" t="n">
        <v>45999</v>
      </c>
      <c r="D199" t="inlineStr">
        <is>
          <t>VÄSTERBOTTENS LÄN</t>
        </is>
      </c>
      <c r="E199" t="inlineStr">
        <is>
          <t>BJURHOLM</t>
        </is>
      </c>
      <c r="F199" t="inlineStr">
        <is>
          <t>Holmen skog AB</t>
        </is>
      </c>
      <c r="G199" t="n">
        <v>1.1</v>
      </c>
      <c r="H199" t="n">
        <v>0</v>
      </c>
      <c r="I199" t="n">
        <v>0</v>
      </c>
      <c r="J199" t="n">
        <v>0</v>
      </c>
      <c r="K199" t="n">
        <v>0</v>
      </c>
      <c r="L199" t="n">
        <v>0</v>
      </c>
      <c r="M199" t="n">
        <v>0</v>
      </c>
      <c r="N199" t="n">
        <v>0</v>
      </c>
      <c r="O199" t="n">
        <v>0</v>
      </c>
      <c r="P199" t="n">
        <v>0</v>
      </c>
      <c r="Q199" t="n">
        <v>0</v>
      </c>
      <c r="R199" s="2" t="inlineStr"/>
    </row>
    <row r="200" ht="15" customHeight="1">
      <c r="A200" t="inlineStr">
        <is>
          <t>A 32035-2021</t>
        </is>
      </c>
      <c r="B200" s="1" t="n">
        <v>44370.65484953704</v>
      </c>
      <c r="C200" s="1" t="n">
        <v>45999</v>
      </c>
      <c r="D200" t="inlineStr">
        <is>
          <t>VÄSTERBOTTENS LÄN</t>
        </is>
      </c>
      <c r="E200" t="inlineStr">
        <is>
          <t>BJURHOLM</t>
        </is>
      </c>
      <c r="G200" t="n">
        <v>2.6</v>
      </c>
      <c r="H200" t="n">
        <v>0</v>
      </c>
      <c r="I200" t="n">
        <v>0</v>
      </c>
      <c r="J200" t="n">
        <v>0</v>
      </c>
      <c r="K200" t="n">
        <v>0</v>
      </c>
      <c r="L200" t="n">
        <v>0</v>
      </c>
      <c r="M200" t="n">
        <v>0</v>
      </c>
      <c r="N200" t="n">
        <v>0</v>
      </c>
      <c r="O200" t="n">
        <v>0</v>
      </c>
      <c r="P200" t="n">
        <v>0</v>
      </c>
      <c r="Q200" t="n">
        <v>0</v>
      </c>
      <c r="R200" s="2" t="inlineStr"/>
    </row>
    <row r="201" ht="15" customHeight="1">
      <c r="A201" t="inlineStr">
        <is>
          <t>A 41503-2021</t>
        </is>
      </c>
      <c r="B201" s="1" t="n">
        <v>44424</v>
      </c>
      <c r="C201" s="1" t="n">
        <v>45999</v>
      </c>
      <c r="D201" t="inlineStr">
        <is>
          <t>VÄSTERBOTTENS LÄN</t>
        </is>
      </c>
      <c r="E201" t="inlineStr">
        <is>
          <t>BJURHOLM</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62082-2022</t>
        </is>
      </c>
      <c r="B202" s="1" t="n">
        <v>44918</v>
      </c>
      <c r="C202" s="1" t="n">
        <v>45999</v>
      </c>
      <c r="D202" t="inlineStr">
        <is>
          <t>VÄSTERBOTTENS LÄN</t>
        </is>
      </c>
      <c r="E202" t="inlineStr">
        <is>
          <t>BJURHOLM</t>
        </is>
      </c>
      <c r="F202" t="inlineStr">
        <is>
          <t>SCA</t>
        </is>
      </c>
      <c r="G202" t="n">
        <v>3.8</v>
      </c>
      <c r="H202" t="n">
        <v>0</v>
      </c>
      <c r="I202" t="n">
        <v>0</v>
      </c>
      <c r="J202" t="n">
        <v>0</v>
      </c>
      <c r="K202" t="n">
        <v>0</v>
      </c>
      <c r="L202" t="n">
        <v>0</v>
      </c>
      <c r="M202" t="n">
        <v>0</v>
      </c>
      <c r="N202" t="n">
        <v>0</v>
      </c>
      <c r="O202" t="n">
        <v>0</v>
      </c>
      <c r="P202" t="n">
        <v>0</v>
      </c>
      <c r="Q202" t="n">
        <v>0</v>
      </c>
      <c r="R202" s="2" t="inlineStr"/>
    </row>
    <row r="203" ht="15" customHeight="1">
      <c r="A203" t="inlineStr">
        <is>
          <t>A 47499-2024</t>
        </is>
      </c>
      <c r="B203" s="1" t="n">
        <v>45587.59827546297</v>
      </c>
      <c r="C203" s="1" t="n">
        <v>45999</v>
      </c>
      <c r="D203" t="inlineStr">
        <is>
          <t>VÄSTERBOTTENS LÄN</t>
        </is>
      </c>
      <c r="E203" t="inlineStr">
        <is>
          <t>BJURHOLM</t>
        </is>
      </c>
      <c r="G203" t="n">
        <v>4.3</v>
      </c>
      <c r="H203" t="n">
        <v>0</v>
      </c>
      <c r="I203" t="n">
        <v>0</v>
      </c>
      <c r="J203" t="n">
        <v>0</v>
      </c>
      <c r="K203" t="n">
        <v>0</v>
      </c>
      <c r="L203" t="n">
        <v>0</v>
      </c>
      <c r="M203" t="n">
        <v>0</v>
      </c>
      <c r="N203" t="n">
        <v>0</v>
      </c>
      <c r="O203" t="n">
        <v>0</v>
      </c>
      <c r="P203" t="n">
        <v>0</v>
      </c>
      <c r="Q203" t="n">
        <v>0</v>
      </c>
      <c r="R203" s="2" t="inlineStr"/>
    </row>
    <row r="204" ht="15" customHeight="1">
      <c r="A204" t="inlineStr">
        <is>
          <t>A 17740-2024</t>
        </is>
      </c>
      <c r="B204" s="1" t="n">
        <v>45418</v>
      </c>
      <c r="C204" s="1" t="n">
        <v>45999</v>
      </c>
      <c r="D204" t="inlineStr">
        <is>
          <t>VÄSTERBOTTENS LÄN</t>
        </is>
      </c>
      <c r="E204" t="inlineStr">
        <is>
          <t>BJURHOLM</t>
        </is>
      </c>
      <c r="F204" t="inlineStr">
        <is>
          <t>Holmen skog AB</t>
        </is>
      </c>
      <c r="G204" t="n">
        <v>3.1</v>
      </c>
      <c r="H204" t="n">
        <v>0</v>
      </c>
      <c r="I204" t="n">
        <v>0</v>
      </c>
      <c r="J204" t="n">
        <v>0</v>
      </c>
      <c r="K204" t="n">
        <v>0</v>
      </c>
      <c r="L204" t="n">
        <v>0</v>
      </c>
      <c r="M204" t="n">
        <v>0</v>
      </c>
      <c r="N204" t="n">
        <v>0</v>
      </c>
      <c r="O204" t="n">
        <v>0</v>
      </c>
      <c r="P204" t="n">
        <v>0</v>
      </c>
      <c r="Q204" t="n">
        <v>0</v>
      </c>
      <c r="R204" s="2" t="inlineStr"/>
    </row>
    <row r="205" ht="15" customHeight="1">
      <c r="A205" t="inlineStr">
        <is>
          <t>A 8499-2024</t>
        </is>
      </c>
      <c r="B205" s="1" t="n">
        <v>45351</v>
      </c>
      <c r="C205" s="1" t="n">
        <v>45999</v>
      </c>
      <c r="D205" t="inlineStr">
        <is>
          <t>VÄSTERBOTTENS LÄN</t>
        </is>
      </c>
      <c r="E205" t="inlineStr">
        <is>
          <t>BJURHOLM</t>
        </is>
      </c>
      <c r="G205" t="n">
        <v>0.2</v>
      </c>
      <c r="H205" t="n">
        <v>0</v>
      </c>
      <c r="I205" t="n">
        <v>0</v>
      </c>
      <c r="J205" t="n">
        <v>0</v>
      </c>
      <c r="K205" t="n">
        <v>0</v>
      </c>
      <c r="L205" t="n">
        <v>0</v>
      </c>
      <c r="M205" t="n">
        <v>0</v>
      </c>
      <c r="N205" t="n">
        <v>0</v>
      </c>
      <c r="O205" t="n">
        <v>0</v>
      </c>
      <c r="P205" t="n">
        <v>0</v>
      </c>
      <c r="Q205" t="n">
        <v>0</v>
      </c>
      <c r="R205" s="2" t="inlineStr"/>
    </row>
    <row r="206" ht="15" customHeight="1">
      <c r="A206" t="inlineStr">
        <is>
          <t>A 60224-2024</t>
        </is>
      </c>
      <c r="B206" s="1" t="n">
        <v>45642.70561342593</v>
      </c>
      <c r="C206" s="1" t="n">
        <v>45999</v>
      </c>
      <c r="D206" t="inlineStr">
        <is>
          <t>VÄSTERBOTTENS LÄN</t>
        </is>
      </c>
      <c r="E206" t="inlineStr">
        <is>
          <t>BJURHOLM</t>
        </is>
      </c>
      <c r="F206" t="inlineStr">
        <is>
          <t>Sveaskog</t>
        </is>
      </c>
      <c r="G206" t="n">
        <v>9.4</v>
      </c>
      <c r="H206" t="n">
        <v>0</v>
      </c>
      <c r="I206" t="n">
        <v>0</v>
      </c>
      <c r="J206" t="n">
        <v>0</v>
      </c>
      <c r="K206" t="n">
        <v>0</v>
      </c>
      <c r="L206" t="n">
        <v>0</v>
      </c>
      <c r="M206" t="n">
        <v>0</v>
      </c>
      <c r="N206" t="n">
        <v>0</v>
      </c>
      <c r="O206" t="n">
        <v>0</v>
      </c>
      <c r="P206" t="n">
        <v>0</v>
      </c>
      <c r="Q206" t="n">
        <v>0</v>
      </c>
      <c r="R206" s="2" t="inlineStr"/>
    </row>
    <row r="207" ht="15" customHeight="1">
      <c r="A207" t="inlineStr">
        <is>
          <t>A 20949-2023</t>
        </is>
      </c>
      <c r="B207" s="1" t="n">
        <v>45056</v>
      </c>
      <c r="C207" s="1" t="n">
        <v>45999</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59553-2024</t>
        </is>
      </c>
      <c r="B208" s="1" t="n">
        <v>45638.63533564815</v>
      </c>
      <c r="C208" s="1" t="n">
        <v>45999</v>
      </c>
      <c r="D208" t="inlineStr">
        <is>
          <t>VÄSTERBOTTENS LÄN</t>
        </is>
      </c>
      <c r="E208" t="inlineStr">
        <is>
          <t>BJURHOLM</t>
        </is>
      </c>
      <c r="G208" t="n">
        <v>3.7</v>
      </c>
      <c r="H208" t="n">
        <v>0</v>
      </c>
      <c r="I208" t="n">
        <v>0</v>
      </c>
      <c r="J208" t="n">
        <v>0</v>
      </c>
      <c r="K208" t="n">
        <v>0</v>
      </c>
      <c r="L208" t="n">
        <v>0</v>
      </c>
      <c r="M208" t="n">
        <v>0</v>
      </c>
      <c r="N208" t="n">
        <v>0</v>
      </c>
      <c r="O208" t="n">
        <v>0</v>
      </c>
      <c r="P208" t="n">
        <v>0</v>
      </c>
      <c r="Q208" t="n">
        <v>0</v>
      </c>
      <c r="R208" s="2" t="inlineStr"/>
    </row>
    <row r="209" ht="15" customHeight="1">
      <c r="A209" t="inlineStr">
        <is>
          <t>A 7897-2022</t>
        </is>
      </c>
      <c r="B209" s="1" t="n">
        <v>44608</v>
      </c>
      <c r="C209" s="1" t="n">
        <v>45999</v>
      </c>
      <c r="D209" t="inlineStr">
        <is>
          <t>VÄSTERBOTTENS LÄN</t>
        </is>
      </c>
      <c r="E209" t="inlineStr">
        <is>
          <t>BJURHOLM</t>
        </is>
      </c>
      <c r="G209" t="n">
        <v>17.8</v>
      </c>
      <c r="H209" t="n">
        <v>0</v>
      </c>
      <c r="I209" t="n">
        <v>0</v>
      </c>
      <c r="J209" t="n">
        <v>0</v>
      </c>
      <c r="K209" t="n">
        <v>0</v>
      </c>
      <c r="L209" t="n">
        <v>0</v>
      </c>
      <c r="M209" t="n">
        <v>0</v>
      </c>
      <c r="N209" t="n">
        <v>0</v>
      </c>
      <c r="O209" t="n">
        <v>0</v>
      </c>
      <c r="P209" t="n">
        <v>0</v>
      </c>
      <c r="Q209" t="n">
        <v>0</v>
      </c>
      <c r="R209" s="2" t="inlineStr"/>
    </row>
    <row r="210" ht="15" customHeight="1">
      <c r="A210" t="inlineStr">
        <is>
          <t>A 7908-2022</t>
        </is>
      </c>
      <c r="B210" s="1" t="n">
        <v>44608.66927083334</v>
      </c>
      <c r="C210" s="1" t="n">
        <v>45999</v>
      </c>
      <c r="D210" t="inlineStr">
        <is>
          <t>VÄSTERBOTTENS LÄN</t>
        </is>
      </c>
      <c r="E210" t="inlineStr">
        <is>
          <t>BJURHOLM</t>
        </is>
      </c>
      <c r="G210" t="n">
        <v>1</v>
      </c>
      <c r="H210" t="n">
        <v>0</v>
      </c>
      <c r="I210" t="n">
        <v>0</v>
      </c>
      <c r="J210" t="n">
        <v>0</v>
      </c>
      <c r="K210" t="n">
        <v>0</v>
      </c>
      <c r="L210" t="n">
        <v>0</v>
      </c>
      <c r="M210" t="n">
        <v>0</v>
      </c>
      <c r="N210" t="n">
        <v>0</v>
      </c>
      <c r="O210" t="n">
        <v>0</v>
      </c>
      <c r="P210" t="n">
        <v>0</v>
      </c>
      <c r="Q210" t="n">
        <v>0</v>
      </c>
      <c r="R210" s="2" t="inlineStr"/>
    </row>
    <row r="211" ht="15" customHeight="1">
      <c r="A211" t="inlineStr">
        <is>
          <t>A 53261-2024</t>
        </is>
      </c>
      <c r="B211" s="1" t="n">
        <v>45614.34428240741</v>
      </c>
      <c r="C211" s="1" t="n">
        <v>45999</v>
      </c>
      <c r="D211" t="inlineStr">
        <is>
          <t>VÄSTERBOTTENS LÄN</t>
        </is>
      </c>
      <c r="E211" t="inlineStr">
        <is>
          <t>BJURHOLM</t>
        </is>
      </c>
      <c r="F211" t="inlineStr">
        <is>
          <t>SCA</t>
        </is>
      </c>
      <c r="G211" t="n">
        <v>7.9</v>
      </c>
      <c r="H211" t="n">
        <v>0</v>
      </c>
      <c r="I211" t="n">
        <v>0</v>
      </c>
      <c r="J211" t="n">
        <v>0</v>
      </c>
      <c r="K211" t="n">
        <v>0</v>
      </c>
      <c r="L211" t="n">
        <v>0</v>
      </c>
      <c r="M211" t="n">
        <v>0</v>
      </c>
      <c r="N211" t="n">
        <v>0</v>
      </c>
      <c r="O211" t="n">
        <v>0</v>
      </c>
      <c r="P211" t="n">
        <v>0</v>
      </c>
      <c r="Q211" t="n">
        <v>0</v>
      </c>
      <c r="R211" s="2" t="inlineStr"/>
    </row>
    <row r="212" ht="15" customHeight="1">
      <c r="A212" t="inlineStr">
        <is>
          <t>A 61815-2024</t>
        </is>
      </c>
      <c r="B212" s="1" t="n">
        <v>45649</v>
      </c>
      <c r="C212" s="1" t="n">
        <v>45999</v>
      </c>
      <c r="D212" t="inlineStr">
        <is>
          <t>VÄSTERBOTTENS LÄN</t>
        </is>
      </c>
      <c r="E212" t="inlineStr">
        <is>
          <t>BJURHOLM</t>
        </is>
      </c>
      <c r="G212" t="n">
        <v>1.9</v>
      </c>
      <c r="H212" t="n">
        <v>0</v>
      </c>
      <c r="I212" t="n">
        <v>0</v>
      </c>
      <c r="J212" t="n">
        <v>0</v>
      </c>
      <c r="K212" t="n">
        <v>0</v>
      </c>
      <c r="L212" t="n">
        <v>0</v>
      </c>
      <c r="M212" t="n">
        <v>0</v>
      </c>
      <c r="N212" t="n">
        <v>0</v>
      </c>
      <c r="O212" t="n">
        <v>0</v>
      </c>
      <c r="P212" t="n">
        <v>0</v>
      </c>
      <c r="Q212" t="n">
        <v>0</v>
      </c>
      <c r="R212" s="2" t="inlineStr"/>
    </row>
    <row r="213" ht="15" customHeight="1">
      <c r="A213" t="inlineStr">
        <is>
          <t>A 53899-2024</t>
        </is>
      </c>
      <c r="B213" s="1" t="n">
        <v>45615.7033912037</v>
      </c>
      <c r="C213" s="1" t="n">
        <v>45999</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61730-2024</t>
        </is>
      </c>
      <c r="B214" s="1" t="n">
        <v>45649</v>
      </c>
      <c r="C214" s="1" t="n">
        <v>45999</v>
      </c>
      <c r="D214" t="inlineStr">
        <is>
          <t>VÄSTERBOTTENS LÄN</t>
        </is>
      </c>
      <c r="E214" t="inlineStr">
        <is>
          <t>BJURHOLM</t>
        </is>
      </c>
      <c r="G214" t="n">
        <v>2.2</v>
      </c>
      <c r="H214" t="n">
        <v>0</v>
      </c>
      <c r="I214" t="n">
        <v>0</v>
      </c>
      <c r="J214" t="n">
        <v>0</v>
      </c>
      <c r="K214" t="n">
        <v>0</v>
      </c>
      <c r="L214" t="n">
        <v>0</v>
      </c>
      <c r="M214" t="n">
        <v>0</v>
      </c>
      <c r="N214" t="n">
        <v>0</v>
      </c>
      <c r="O214" t="n">
        <v>0</v>
      </c>
      <c r="P214" t="n">
        <v>0</v>
      </c>
      <c r="Q214" t="n">
        <v>0</v>
      </c>
      <c r="R214" s="2" t="inlineStr"/>
    </row>
    <row r="215" ht="15" customHeight="1">
      <c r="A215" t="inlineStr">
        <is>
          <t>A 61735-2024</t>
        </is>
      </c>
      <c r="B215" s="1" t="n">
        <v>45649.3635300926</v>
      </c>
      <c r="C215" s="1" t="n">
        <v>45999</v>
      </c>
      <c r="D215" t="inlineStr">
        <is>
          <t>VÄSTERBOTTENS LÄN</t>
        </is>
      </c>
      <c r="E215" t="inlineStr">
        <is>
          <t>BJURHOLM</t>
        </is>
      </c>
      <c r="G215" t="n">
        <v>7.8</v>
      </c>
      <c r="H215" t="n">
        <v>0</v>
      </c>
      <c r="I215" t="n">
        <v>0</v>
      </c>
      <c r="J215" t="n">
        <v>0</v>
      </c>
      <c r="K215" t="n">
        <v>0</v>
      </c>
      <c r="L215" t="n">
        <v>0</v>
      </c>
      <c r="M215" t="n">
        <v>0</v>
      </c>
      <c r="N215" t="n">
        <v>0</v>
      </c>
      <c r="O215" t="n">
        <v>0</v>
      </c>
      <c r="P215" t="n">
        <v>0</v>
      </c>
      <c r="Q215" t="n">
        <v>0</v>
      </c>
      <c r="R215" s="2" t="inlineStr"/>
    </row>
    <row r="216" ht="15" customHeight="1">
      <c r="A216" t="inlineStr">
        <is>
          <t>A 52550-2024</t>
        </is>
      </c>
      <c r="B216" s="1" t="n">
        <v>45609.64046296296</v>
      </c>
      <c r="C216" s="1" t="n">
        <v>45999</v>
      </c>
      <c r="D216" t="inlineStr">
        <is>
          <t>VÄSTERBOTTENS LÄN</t>
        </is>
      </c>
      <c r="E216" t="inlineStr">
        <is>
          <t>BJURHOLM</t>
        </is>
      </c>
      <c r="G216" t="n">
        <v>0.3</v>
      </c>
      <c r="H216" t="n">
        <v>0</v>
      </c>
      <c r="I216" t="n">
        <v>0</v>
      </c>
      <c r="J216" t="n">
        <v>0</v>
      </c>
      <c r="K216" t="n">
        <v>0</v>
      </c>
      <c r="L216" t="n">
        <v>0</v>
      </c>
      <c r="M216" t="n">
        <v>0</v>
      </c>
      <c r="N216" t="n">
        <v>0</v>
      </c>
      <c r="O216" t="n">
        <v>0</v>
      </c>
      <c r="P216" t="n">
        <v>0</v>
      </c>
      <c r="Q216" t="n">
        <v>0</v>
      </c>
      <c r="R216" s="2" t="inlineStr"/>
    </row>
    <row r="217" ht="15" customHeight="1">
      <c r="A217" t="inlineStr">
        <is>
          <t>A 44629-2023</t>
        </is>
      </c>
      <c r="B217" s="1" t="n">
        <v>45189</v>
      </c>
      <c r="C217" s="1" t="n">
        <v>45999</v>
      </c>
      <c r="D217" t="inlineStr">
        <is>
          <t>VÄSTERBOTTENS LÄN</t>
        </is>
      </c>
      <c r="E217" t="inlineStr">
        <is>
          <t>BJURHOLM</t>
        </is>
      </c>
      <c r="G217" t="n">
        <v>15.6</v>
      </c>
      <c r="H217" t="n">
        <v>0</v>
      </c>
      <c r="I217" t="n">
        <v>0</v>
      </c>
      <c r="J217" t="n">
        <v>0</v>
      </c>
      <c r="K217" t="n">
        <v>0</v>
      </c>
      <c r="L217" t="n">
        <v>0</v>
      </c>
      <c r="M217" t="n">
        <v>0</v>
      </c>
      <c r="N217" t="n">
        <v>0</v>
      </c>
      <c r="O217" t="n">
        <v>0</v>
      </c>
      <c r="P217" t="n">
        <v>0</v>
      </c>
      <c r="Q217" t="n">
        <v>0</v>
      </c>
      <c r="R217" s="2" t="inlineStr"/>
    </row>
    <row r="218" ht="15" customHeight="1">
      <c r="A218" t="inlineStr">
        <is>
          <t>A 20777-2024</t>
        </is>
      </c>
      <c r="B218" s="1" t="n">
        <v>45436</v>
      </c>
      <c r="C218" s="1" t="n">
        <v>45999</v>
      </c>
      <c r="D218" t="inlineStr">
        <is>
          <t>VÄSTERBOTTENS LÄN</t>
        </is>
      </c>
      <c r="E218" t="inlineStr">
        <is>
          <t>BJURHOLM</t>
        </is>
      </c>
      <c r="F218" t="inlineStr">
        <is>
          <t>SCA</t>
        </is>
      </c>
      <c r="G218" t="n">
        <v>4.2</v>
      </c>
      <c r="H218" t="n">
        <v>0</v>
      </c>
      <c r="I218" t="n">
        <v>0</v>
      </c>
      <c r="J218" t="n">
        <v>0</v>
      </c>
      <c r="K218" t="n">
        <v>0</v>
      </c>
      <c r="L218" t="n">
        <v>0</v>
      </c>
      <c r="M218" t="n">
        <v>0</v>
      </c>
      <c r="N218" t="n">
        <v>0</v>
      </c>
      <c r="O218" t="n">
        <v>0</v>
      </c>
      <c r="P218" t="n">
        <v>0</v>
      </c>
      <c r="Q218" t="n">
        <v>0</v>
      </c>
      <c r="R218" s="2" t="inlineStr"/>
    </row>
    <row r="219" ht="15" customHeight="1">
      <c r="A219" t="inlineStr">
        <is>
          <t>A 20779-2024</t>
        </is>
      </c>
      <c r="B219" s="1" t="n">
        <v>45436.94708333333</v>
      </c>
      <c r="C219" s="1" t="n">
        <v>45999</v>
      </c>
      <c r="D219" t="inlineStr">
        <is>
          <t>VÄSTERBOTTENS LÄN</t>
        </is>
      </c>
      <c r="E219" t="inlineStr">
        <is>
          <t>BJURHOLM</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23181-2024</t>
        </is>
      </c>
      <c r="B220" s="1" t="n">
        <v>45450</v>
      </c>
      <c r="C220" s="1" t="n">
        <v>45999</v>
      </c>
      <c r="D220" t="inlineStr">
        <is>
          <t>VÄSTERBOTTENS LÄN</t>
        </is>
      </c>
      <c r="E220" t="inlineStr">
        <is>
          <t>BJURHOLM</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27297-2024</t>
        </is>
      </c>
      <c r="B221" s="1" t="n">
        <v>45471.9431712963</v>
      </c>
      <c r="C221" s="1" t="n">
        <v>45999</v>
      </c>
      <c r="D221" t="inlineStr">
        <is>
          <t>VÄSTERBOTTENS LÄN</t>
        </is>
      </c>
      <c r="E221" t="inlineStr">
        <is>
          <t>BJURHOLM</t>
        </is>
      </c>
      <c r="F221" t="inlineStr">
        <is>
          <t>SCA</t>
        </is>
      </c>
      <c r="G221" t="n">
        <v>1.1</v>
      </c>
      <c r="H221" t="n">
        <v>0</v>
      </c>
      <c r="I221" t="n">
        <v>0</v>
      </c>
      <c r="J221" t="n">
        <v>0</v>
      </c>
      <c r="K221" t="n">
        <v>0</v>
      </c>
      <c r="L221" t="n">
        <v>0</v>
      </c>
      <c r="M221" t="n">
        <v>0</v>
      </c>
      <c r="N221" t="n">
        <v>0</v>
      </c>
      <c r="O221" t="n">
        <v>0</v>
      </c>
      <c r="P221" t="n">
        <v>0</v>
      </c>
      <c r="Q221" t="n">
        <v>0</v>
      </c>
      <c r="R221" s="2" t="inlineStr"/>
    </row>
    <row r="222" ht="15" customHeight="1">
      <c r="A222" t="inlineStr">
        <is>
          <t>A 57562-2024</t>
        </is>
      </c>
      <c r="B222" s="1" t="n">
        <v>45630</v>
      </c>
      <c r="C222" s="1" t="n">
        <v>45999</v>
      </c>
      <c r="D222" t="inlineStr">
        <is>
          <t>VÄSTERBOTTENS LÄN</t>
        </is>
      </c>
      <c r="E222" t="inlineStr">
        <is>
          <t>BJURHOLM</t>
        </is>
      </c>
      <c r="F222" t="inlineStr">
        <is>
          <t>Sveaskog</t>
        </is>
      </c>
      <c r="G222" t="n">
        <v>5</v>
      </c>
      <c r="H222" t="n">
        <v>0</v>
      </c>
      <c r="I222" t="n">
        <v>0</v>
      </c>
      <c r="J222" t="n">
        <v>0</v>
      </c>
      <c r="K222" t="n">
        <v>0</v>
      </c>
      <c r="L222" t="n">
        <v>0</v>
      </c>
      <c r="M222" t="n">
        <v>0</v>
      </c>
      <c r="N222" t="n">
        <v>0</v>
      </c>
      <c r="O222" t="n">
        <v>0</v>
      </c>
      <c r="P222" t="n">
        <v>0</v>
      </c>
      <c r="Q222" t="n">
        <v>0</v>
      </c>
      <c r="R222" s="2" t="inlineStr"/>
    </row>
    <row r="223" ht="15" customHeight="1">
      <c r="A223" t="inlineStr">
        <is>
          <t>A 54151-2024</t>
        </is>
      </c>
      <c r="B223" s="1" t="n">
        <v>45616</v>
      </c>
      <c r="C223" s="1" t="n">
        <v>45999</v>
      </c>
      <c r="D223" t="inlineStr">
        <is>
          <t>VÄSTERBOTTENS LÄN</t>
        </is>
      </c>
      <c r="E223" t="inlineStr">
        <is>
          <t>BJURHOLM</t>
        </is>
      </c>
      <c r="G223" t="n">
        <v>4.8</v>
      </c>
      <c r="H223" t="n">
        <v>0</v>
      </c>
      <c r="I223" t="n">
        <v>0</v>
      </c>
      <c r="J223" t="n">
        <v>0</v>
      </c>
      <c r="K223" t="n">
        <v>0</v>
      </c>
      <c r="L223" t="n">
        <v>0</v>
      </c>
      <c r="M223" t="n">
        <v>0</v>
      </c>
      <c r="N223" t="n">
        <v>0</v>
      </c>
      <c r="O223" t="n">
        <v>0</v>
      </c>
      <c r="P223" t="n">
        <v>0</v>
      </c>
      <c r="Q223" t="n">
        <v>0</v>
      </c>
      <c r="R223" s="2" t="inlineStr"/>
    </row>
    <row r="224" ht="15" customHeight="1">
      <c r="A224" t="inlineStr">
        <is>
          <t>A 50680-2024</t>
        </is>
      </c>
      <c r="B224" s="1" t="n">
        <v>45602</v>
      </c>
      <c r="C224" s="1" t="n">
        <v>45999</v>
      </c>
      <c r="D224" t="inlineStr">
        <is>
          <t>VÄSTERBOTTENS LÄN</t>
        </is>
      </c>
      <c r="E224" t="inlineStr">
        <is>
          <t>BJURHOLM</t>
        </is>
      </c>
      <c r="F224" t="inlineStr">
        <is>
          <t>Holmen skog AB</t>
        </is>
      </c>
      <c r="G224" t="n">
        <v>4.8</v>
      </c>
      <c r="H224" t="n">
        <v>0</v>
      </c>
      <c r="I224" t="n">
        <v>0</v>
      </c>
      <c r="J224" t="n">
        <v>0</v>
      </c>
      <c r="K224" t="n">
        <v>0</v>
      </c>
      <c r="L224" t="n">
        <v>0</v>
      </c>
      <c r="M224" t="n">
        <v>0</v>
      </c>
      <c r="N224" t="n">
        <v>0</v>
      </c>
      <c r="O224" t="n">
        <v>0</v>
      </c>
      <c r="P224" t="n">
        <v>0</v>
      </c>
      <c r="Q224" t="n">
        <v>0</v>
      </c>
      <c r="R224" s="2" t="inlineStr"/>
    </row>
    <row r="225" ht="15" customHeight="1">
      <c r="A225" t="inlineStr">
        <is>
          <t>A 60692-2022</t>
        </is>
      </c>
      <c r="B225" s="1" t="n">
        <v>44911.94085648148</v>
      </c>
      <c r="C225" s="1" t="n">
        <v>45999</v>
      </c>
      <c r="D225" t="inlineStr">
        <is>
          <t>VÄSTERBOTTENS LÄN</t>
        </is>
      </c>
      <c r="E225" t="inlineStr">
        <is>
          <t>BJURHOLM</t>
        </is>
      </c>
      <c r="F225" t="inlineStr">
        <is>
          <t>SCA</t>
        </is>
      </c>
      <c r="G225" t="n">
        <v>0.7</v>
      </c>
      <c r="H225" t="n">
        <v>0</v>
      </c>
      <c r="I225" t="n">
        <v>0</v>
      </c>
      <c r="J225" t="n">
        <v>0</v>
      </c>
      <c r="K225" t="n">
        <v>0</v>
      </c>
      <c r="L225" t="n">
        <v>0</v>
      </c>
      <c r="M225" t="n">
        <v>0</v>
      </c>
      <c r="N225" t="n">
        <v>0</v>
      </c>
      <c r="O225" t="n">
        <v>0</v>
      </c>
      <c r="P225" t="n">
        <v>0</v>
      </c>
      <c r="Q225" t="n">
        <v>0</v>
      </c>
      <c r="R225" s="2" t="inlineStr"/>
    </row>
    <row r="226" ht="15" customHeight="1">
      <c r="A226" t="inlineStr">
        <is>
          <t>A 44812-2023</t>
        </is>
      </c>
      <c r="B226" s="1" t="n">
        <v>45190.50340277778</v>
      </c>
      <c r="C226" s="1" t="n">
        <v>45999</v>
      </c>
      <c r="D226" t="inlineStr">
        <is>
          <t>VÄSTERBOTTENS LÄN</t>
        </is>
      </c>
      <c r="E226" t="inlineStr">
        <is>
          <t>BJURHOLM</t>
        </is>
      </c>
      <c r="G226" t="n">
        <v>1.3</v>
      </c>
      <c r="H226" t="n">
        <v>0</v>
      </c>
      <c r="I226" t="n">
        <v>0</v>
      </c>
      <c r="J226" t="n">
        <v>0</v>
      </c>
      <c r="K226" t="n">
        <v>0</v>
      </c>
      <c r="L226" t="n">
        <v>0</v>
      </c>
      <c r="M226" t="n">
        <v>0</v>
      </c>
      <c r="N226" t="n">
        <v>0</v>
      </c>
      <c r="O226" t="n">
        <v>0</v>
      </c>
      <c r="P226" t="n">
        <v>0</v>
      </c>
      <c r="Q226" t="n">
        <v>0</v>
      </c>
      <c r="R226" s="2" t="inlineStr"/>
    </row>
    <row r="227" ht="15" customHeight="1">
      <c r="A227" t="inlineStr">
        <is>
          <t>A 19573-2024</t>
        </is>
      </c>
      <c r="B227" s="1" t="n">
        <v>45429</v>
      </c>
      <c r="C227" s="1" t="n">
        <v>45999</v>
      </c>
      <c r="D227" t="inlineStr">
        <is>
          <t>VÄSTERBOTTENS LÄN</t>
        </is>
      </c>
      <c r="E227" t="inlineStr">
        <is>
          <t>BJURHOLM</t>
        </is>
      </c>
      <c r="G227" t="n">
        <v>2.9</v>
      </c>
      <c r="H227" t="n">
        <v>0</v>
      </c>
      <c r="I227" t="n">
        <v>0</v>
      </c>
      <c r="J227" t="n">
        <v>0</v>
      </c>
      <c r="K227" t="n">
        <v>0</v>
      </c>
      <c r="L227" t="n">
        <v>0</v>
      </c>
      <c r="M227" t="n">
        <v>0</v>
      </c>
      <c r="N227" t="n">
        <v>0</v>
      </c>
      <c r="O227" t="n">
        <v>0</v>
      </c>
      <c r="P227" t="n">
        <v>0</v>
      </c>
      <c r="Q227" t="n">
        <v>0</v>
      </c>
      <c r="R227" s="2" t="inlineStr"/>
    </row>
    <row r="228" ht="15" customHeight="1">
      <c r="A228" t="inlineStr">
        <is>
          <t>A 61597-2024</t>
        </is>
      </c>
      <c r="B228" s="1" t="n">
        <v>45646</v>
      </c>
      <c r="C228" s="1" t="n">
        <v>45999</v>
      </c>
      <c r="D228" t="inlineStr">
        <is>
          <t>VÄSTERBOTTENS LÄN</t>
        </is>
      </c>
      <c r="E228" t="inlineStr">
        <is>
          <t>BJURHOLM</t>
        </is>
      </c>
      <c r="G228" t="n">
        <v>2.3</v>
      </c>
      <c r="H228" t="n">
        <v>0</v>
      </c>
      <c r="I228" t="n">
        <v>0</v>
      </c>
      <c r="J228" t="n">
        <v>0</v>
      </c>
      <c r="K228" t="n">
        <v>0</v>
      </c>
      <c r="L228" t="n">
        <v>0</v>
      </c>
      <c r="M228" t="n">
        <v>0</v>
      </c>
      <c r="N228" t="n">
        <v>0</v>
      </c>
      <c r="O228" t="n">
        <v>0</v>
      </c>
      <c r="P228" t="n">
        <v>0</v>
      </c>
      <c r="Q228" t="n">
        <v>0</v>
      </c>
      <c r="R228" s="2" t="inlineStr"/>
    </row>
    <row r="229" ht="15" customHeight="1">
      <c r="A229" t="inlineStr">
        <is>
          <t>A 36484-2024</t>
        </is>
      </c>
      <c r="B229" s="1" t="n">
        <v>45537</v>
      </c>
      <c r="C229" s="1" t="n">
        <v>45999</v>
      </c>
      <c r="D229" t="inlineStr">
        <is>
          <t>VÄSTERBOTTENS LÄN</t>
        </is>
      </c>
      <c r="E229" t="inlineStr">
        <is>
          <t>BJURHOLM</t>
        </is>
      </c>
      <c r="G229" t="n">
        <v>11.2</v>
      </c>
      <c r="H229" t="n">
        <v>0</v>
      </c>
      <c r="I229" t="n">
        <v>0</v>
      </c>
      <c r="J229" t="n">
        <v>0</v>
      </c>
      <c r="K229" t="n">
        <v>0</v>
      </c>
      <c r="L229" t="n">
        <v>0</v>
      </c>
      <c r="M229" t="n">
        <v>0</v>
      </c>
      <c r="N229" t="n">
        <v>0</v>
      </c>
      <c r="O229" t="n">
        <v>0</v>
      </c>
      <c r="P229" t="n">
        <v>0</v>
      </c>
      <c r="Q229" t="n">
        <v>0</v>
      </c>
      <c r="R229" s="2" t="inlineStr"/>
    </row>
    <row r="230" ht="15" customHeight="1">
      <c r="A230" t="inlineStr">
        <is>
          <t>A 21887-2025</t>
        </is>
      </c>
      <c r="B230" s="1" t="n">
        <v>45784.42898148148</v>
      </c>
      <c r="C230" s="1" t="n">
        <v>45999</v>
      </c>
      <c r="D230" t="inlineStr">
        <is>
          <t>VÄSTERBOTTENS LÄN</t>
        </is>
      </c>
      <c r="E230" t="inlineStr">
        <is>
          <t>BJURHOLM</t>
        </is>
      </c>
      <c r="G230" t="n">
        <v>1.1</v>
      </c>
      <c r="H230" t="n">
        <v>0</v>
      </c>
      <c r="I230" t="n">
        <v>0</v>
      </c>
      <c r="J230" t="n">
        <v>0</v>
      </c>
      <c r="K230" t="n">
        <v>0</v>
      </c>
      <c r="L230" t="n">
        <v>0</v>
      </c>
      <c r="M230" t="n">
        <v>0</v>
      </c>
      <c r="N230" t="n">
        <v>0</v>
      </c>
      <c r="O230" t="n">
        <v>0</v>
      </c>
      <c r="P230" t="n">
        <v>0</v>
      </c>
      <c r="Q230" t="n">
        <v>0</v>
      </c>
      <c r="R230" s="2" t="inlineStr"/>
    </row>
    <row r="231" ht="15" customHeight="1">
      <c r="A231" t="inlineStr">
        <is>
          <t>A 61806-2024</t>
        </is>
      </c>
      <c r="B231" s="1" t="n">
        <v>45649.57627314814</v>
      </c>
      <c r="C231" s="1" t="n">
        <v>45999</v>
      </c>
      <c r="D231" t="inlineStr">
        <is>
          <t>VÄSTERBOTTENS LÄN</t>
        </is>
      </c>
      <c r="E231" t="inlineStr">
        <is>
          <t>BJURHOLM</t>
        </is>
      </c>
      <c r="G231" t="n">
        <v>2.4</v>
      </c>
      <c r="H231" t="n">
        <v>0</v>
      </c>
      <c r="I231" t="n">
        <v>0</v>
      </c>
      <c r="J231" t="n">
        <v>0</v>
      </c>
      <c r="K231" t="n">
        <v>0</v>
      </c>
      <c r="L231" t="n">
        <v>0</v>
      </c>
      <c r="M231" t="n">
        <v>0</v>
      </c>
      <c r="N231" t="n">
        <v>0</v>
      </c>
      <c r="O231" t="n">
        <v>0</v>
      </c>
      <c r="P231" t="n">
        <v>0</v>
      </c>
      <c r="Q231" t="n">
        <v>0</v>
      </c>
      <c r="R231" s="2" t="inlineStr"/>
    </row>
    <row r="232" ht="15" customHeight="1">
      <c r="A232" t="inlineStr">
        <is>
          <t>A 7312-2024</t>
        </is>
      </c>
      <c r="B232" s="1" t="n">
        <v>45345.34260416667</v>
      </c>
      <c r="C232" s="1" t="n">
        <v>45999</v>
      </c>
      <c r="D232" t="inlineStr">
        <is>
          <t>VÄSTERBOTTENS LÄN</t>
        </is>
      </c>
      <c r="E232" t="inlineStr">
        <is>
          <t>BJURHOLM</t>
        </is>
      </c>
      <c r="G232" t="n">
        <v>4.4</v>
      </c>
      <c r="H232" t="n">
        <v>0</v>
      </c>
      <c r="I232" t="n">
        <v>0</v>
      </c>
      <c r="J232" t="n">
        <v>0</v>
      </c>
      <c r="K232" t="n">
        <v>0</v>
      </c>
      <c r="L232" t="n">
        <v>0</v>
      </c>
      <c r="M232" t="n">
        <v>0</v>
      </c>
      <c r="N232" t="n">
        <v>0</v>
      </c>
      <c r="O232" t="n">
        <v>0</v>
      </c>
      <c r="P232" t="n">
        <v>0</v>
      </c>
      <c r="Q232" t="n">
        <v>0</v>
      </c>
      <c r="R232" s="2" t="inlineStr"/>
    </row>
    <row r="233" ht="15" customHeight="1">
      <c r="A233" t="inlineStr">
        <is>
          <t>A 62087-2022</t>
        </is>
      </c>
      <c r="B233" s="1" t="n">
        <v>44919</v>
      </c>
      <c r="C233" s="1" t="n">
        <v>45999</v>
      </c>
      <c r="D233" t="inlineStr">
        <is>
          <t>VÄSTERBOTTENS LÄN</t>
        </is>
      </c>
      <c r="E233" t="inlineStr">
        <is>
          <t>BJURHOLM</t>
        </is>
      </c>
      <c r="G233" t="n">
        <v>6.9</v>
      </c>
      <c r="H233" t="n">
        <v>0</v>
      </c>
      <c r="I233" t="n">
        <v>0</v>
      </c>
      <c r="J233" t="n">
        <v>0</v>
      </c>
      <c r="K233" t="n">
        <v>0</v>
      </c>
      <c r="L233" t="n">
        <v>0</v>
      </c>
      <c r="M233" t="n">
        <v>0</v>
      </c>
      <c r="N233" t="n">
        <v>0</v>
      </c>
      <c r="O233" t="n">
        <v>0</v>
      </c>
      <c r="P233" t="n">
        <v>0</v>
      </c>
      <c r="Q233" t="n">
        <v>0</v>
      </c>
      <c r="R233" s="2" t="inlineStr"/>
    </row>
    <row r="234" ht="15" customHeight="1">
      <c r="A234" t="inlineStr">
        <is>
          <t>A 52535-2024</t>
        </is>
      </c>
      <c r="B234" s="1" t="n">
        <v>45609.61846064815</v>
      </c>
      <c r="C234" s="1" t="n">
        <v>45999</v>
      </c>
      <c r="D234" t="inlineStr">
        <is>
          <t>VÄSTERBOTTENS LÄN</t>
        </is>
      </c>
      <c r="E234" t="inlineStr">
        <is>
          <t>BJURHOLM</t>
        </is>
      </c>
      <c r="G234" t="n">
        <v>2.6</v>
      </c>
      <c r="H234" t="n">
        <v>0</v>
      </c>
      <c r="I234" t="n">
        <v>0</v>
      </c>
      <c r="J234" t="n">
        <v>0</v>
      </c>
      <c r="K234" t="n">
        <v>0</v>
      </c>
      <c r="L234" t="n">
        <v>0</v>
      </c>
      <c r="M234" t="n">
        <v>0</v>
      </c>
      <c r="N234" t="n">
        <v>0</v>
      </c>
      <c r="O234" t="n">
        <v>0</v>
      </c>
      <c r="P234" t="n">
        <v>0</v>
      </c>
      <c r="Q234" t="n">
        <v>0</v>
      </c>
      <c r="R234" s="2" t="inlineStr"/>
    </row>
    <row r="235" ht="15" customHeight="1">
      <c r="A235" t="inlineStr">
        <is>
          <t>A 52671-2024</t>
        </is>
      </c>
      <c r="B235" s="1" t="n">
        <v>45610.38056712963</v>
      </c>
      <c r="C235" s="1" t="n">
        <v>45999</v>
      </c>
      <c r="D235" t="inlineStr">
        <is>
          <t>VÄSTERBOTTENS LÄN</t>
        </is>
      </c>
      <c r="E235" t="inlineStr">
        <is>
          <t>BJURHOLM</t>
        </is>
      </c>
      <c r="F235" t="inlineStr">
        <is>
          <t>Holmen skog AB</t>
        </is>
      </c>
      <c r="G235" t="n">
        <v>4.4</v>
      </c>
      <c r="H235" t="n">
        <v>0</v>
      </c>
      <c r="I235" t="n">
        <v>0</v>
      </c>
      <c r="J235" t="n">
        <v>0</v>
      </c>
      <c r="K235" t="n">
        <v>0</v>
      </c>
      <c r="L235" t="n">
        <v>0</v>
      </c>
      <c r="M235" t="n">
        <v>0</v>
      </c>
      <c r="N235" t="n">
        <v>0</v>
      </c>
      <c r="O235" t="n">
        <v>0</v>
      </c>
      <c r="P235" t="n">
        <v>0</v>
      </c>
      <c r="Q235" t="n">
        <v>0</v>
      </c>
      <c r="R235" s="2" t="inlineStr"/>
    </row>
    <row r="236" ht="15" customHeight="1">
      <c r="A236" t="inlineStr">
        <is>
          <t>A 34751-2022</t>
        </is>
      </c>
      <c r="B236" s="1" t="n">
        <v>44795</v>
      </c>
      <c r="C236" s="1" t="n">
        <v>45999</v>
      </c>
      <c r="D236" t="inlineStr">
        <is>
          <t>VÄSTERBOTTENS LÄN</t>
        </is>
      </c>
      <c r="E236" t="inlineStr">
        <is>
          <t>BJURHOLM</t>
        </is>
      </c>
      <c r="G236" t="n">
        <v>2.1</v>
      </c>
      <c r="H236" t="n">
        <v>0</v>
      </c>
      <c r="I236" t="n">
        <v>0</v>
      </c>
      <c r="J236" t="n">
        <v>0</v>
      </c>
      <c r="K236" t="n">
        <v>0</v>
      </c>
      <c r="L236" t="n">
        <v>0</v>
      </c>
      <c r="M236" t="n">
        <v>0</v>
      </c>
      <c r="N236" t="n">
        <v>0</v>
      </c>
      <c r="O236" t="n">
        <v>0</v>
      </c>
      <c r="P236" t="n">
        <v>0</v>
      </c>
      <c r="Q236" t="n">
        <v>0</v>
      </c>
      <c r="R236" s="2" t="inlineStr"/>
    </row>
    <row r="237" ht="15" customHeight="1">
      <c r="A237" t="inlineStr">
        <is>
          <t>A 47591-2024</t>
        </is>
      </c>
      <c r="B237" s="1" t="n">
        <v>45587.83815972223</v>
      </c>
      <c r="C237" s="1" t="n">
        <v>45999</v>
      </c>
      <c r="D237" t="inlineStr">
        <is>
          <t>VÄSTERBOTTENS LÄN</t>
        </is>
      </c>
      <c r="E237" t="inlineStr">
        <is>
          <t>BJURHOLM</t>
        </is>
      </c>
      <c r="G237" t="n">
        <v>5.4</v>
      </c>
      <c r="H237" t="n">
        <v>0</v>
      </c>
      <c r="I237" t="n">
        <v>0</v>
      </c>
      <c r="J237" t="n">
        <v>0</v>
      </c>
      <c r="K237" t="n">
        <v>0</v>
      </c>
      <c r="L237" t="n">
        <v>0</v>
      </c>
      <c r="M237" t="n">
        <v>0</v>
      </c>
      <c r="N237" t="n">
        <v>0</v>
      </c>
      <c r="O237" t="n">
        <v>0</v>
      </c>
      <c r="P237" t="n">
        <v>0</v>
      </c>
      <c r="Q237" t="n">
        <v>0</v>
      </c>
      <c r="R237" s="2" t="inlineStr"/>
    </row>
    <row r="238" ht="15" customHeight="1">
      <c r="A238" t="inlineStr">
        <is>
          <t>A 10918-2023</t>
        </is>
      </c>
      <c r="B238" s="1" t="n">
        <v>44991</v>
      </c>
      <c r="C238" s="1" t="n">
        <v>45999</v>
      </c>
      <c r="D238" t="inlineStr">
        <is>
          <t>VÄSTERBOTTENS LÄN</t>
        </is>
      </c>
      <c r="E238" t="inlineStr">
        <is>
          <t>BJURHOLM</t>
        </is>
      </c>
      <c r="G238" t="n">
        <v>5.8</v>
      </c>
      <c r="H238" t="n">
        <v>0</v>
      </c>
      <c r="I238" t="n">
        <v>0</v>
      </c>
      <c r="J238" t="n">
        <v>0</v>
      </c>
      <c r="K238" t="n">
        <v>0</v>
      </c>
      <c r="L238" t="n">
        <v>0</v>
      </c>
      <c r="M238" t="n">
        <v>0</v>
      </c>
      <c r="N238" t="n">
        <v>0</v>
      </c>
      <c r="O238" t="n">
        <v>0</v>
      </c>
      <c r="P238" t="n">
        <v>0</v>
      </c>
      <c r="Q238" t="n">
        <v>0</v>
      </c>
      <c r="R238" s="2" t="inlineStr"/>
    </row>
    <row r="239" ht="15" customHeight="1">
      <c r="A239" t="inlineStr">
        <is>
          <t>A 52584-2024</t>
        </is>
      </c>
      <c r="B239" s="1" t="n">
        <v>45609.67881944445</v>
      </c>
      <c r="C239" s="1" t="n">
        <v>45999</v>
      </c>
      <c r="D239" t="inlineStr">
        <is>
          <t>VÄSTERBOTTENS LÄN</t>
        </is>
      </c>
      <c r="E239" t="inlineStr">
        <is>
          <t>BJURHOLM</t>
        </is>
      </c>
      <c r="G239" t="n">
        <v>0.4</v>
      </c>
      <c r="H239" t="n">
        <v>0</v>
      </c>
      <c r="I239" t="n">
        <v>0</v>
      </c>
      <c r="J239" t="n">
        <v>0</v>
      </c>
      <c r="K239" t="n">
        <v>0</v>
      </c>
      <c r="L239" t="n">
        <v>0</v>
      </c>
      <c r="M239" t="n">
        <v>0</v>
      </c>
      <c r="N239" t="n">
        <v>0</v>
      </c>
      <c r="O239" t="n">
        <v>0</v>
      </c>
      <c r="P239" t="n">
        <v>0</v>
      </c>
      <c r="Q239" t="n">
        <v>0</v>
      </c>
      <c r="R239" s="2" t="inlineStr"/>
    </row>
    <row r="240" ht="15" customHeight="1">
      <c r="A240" t="inlineStr">
        <is>
          <t>A 25944-2023</t>
        </is>
      </c>
      <c r="B240" s="1" t="n">
        <v>45090.70563657407</v>
      </c>
      <c r="C240" s="1" t="n">
        <v>45999</v>
      </c>
      <c r="D240" t="inlineStr">
        <is>
          <t>VÄSTERBOTTENS LÄN</t>
        </is>
      </c>
      <c r="E240" t="inlineStr">
        <is>
          <t>BJURHOLM</t>
        </is>
      </c>
      <c r="G240" t="n">
        <v>1.2</v>
      </c>
      <c r="H240" t="n">
        <v>0</v>
      </c>
      <c r="I240" t="n">
        <v>0</v>
      </c>
      <c r="J240" t="n">
        <v>0</v>
      </c>
      <c r="K240" t="n">
        <v>0</v>
      </c>
      <c r="L240" t="n">
        <v>0</v>
      </c>
      <c r="M240" t="n">
        <v>0</v>
      </c>
      <c r="N240" t="n">
        <v>0</v>
      </c>
      <c r="O240" t="n">
        <v>0</v>
      </c>
      <c r="P240" t="n">
        <v>0</v>
      </c>
      <c r="Q240" t="n">
        <v>0</v>
      </c>
      <c r="R240" s="2" t="inlineStr"/>
    </row>
    <row r="241" ht="15" customHeight="1">
      <c r="A241" t="inlineStr">
        <is>
          <t>A 44488-2023</t>
        </is>
      </c>
      <c r="B241" s="1" t="n">
        <v>45189.44546296296</v>
      </c>
      <c r="C241" s="1" t="n">
        <v>45999</v>
      </c>
      <c r="D241" t="inlineStr">
        <is>
          <t>VÄSTERBOTTENS LÄN</t>
        </is>
      </c>
      <c r="E241" t="inlineStr">
        <is>
          <t>BJURHOLM</t>
        </is>
      </c>
      <c r="F241" t="inlineStr">
        <is>
          <t>Holmen skog AB</t>
        </is>
      </c>
      <c r="G241" t="n">
        <v>3.2</v>
      </c>
      <c r="H241" t="n">
        <v>0</v>
      </c>
      <c r="I241" t="n">
        <v>0</v>
      </c>
      <c r="J241" t="n">
        <v>0</v>
      </c>
      <c r="K241" t="n">
        <v>0</v>
      </c>
      <c r="L241" t="n">
        <v>0</v>
      </c>
      <c r="M241" t="n">
        <v>0</v>
      </c>
      <c r="N241" t="n">
        <v>0</v>
      </c>
      <c r="O241" t="n">
        <v>0</v>
      </c>
      <c r="P241" t="n">
        <v>0</v>
      </c>
      <c r="Q241" t="n">
        <v>0</v>
      </c>
      <c r="R241" s="2" t="inlineStr"/>
    </row>
    <row r="242" ht="15" customHeight="1">
      <c r="A242" t="inlineStr">
        <is>
          <t>A 82-2025</t>
        </is>
      </c>
      <c r="B242" s="1" t="n">
        <v>45659</v>
      </c>
      <c r="C242" s="1" t="n">
        <v>45999</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52386-2023</t>
        </is>
      </c>
      <c r="B243" s="1" t="n">
        <v>45224.88442129629</v>
      </c>
      <c r="C243" s="1" t="n">
        <v>45999</v>
      </c>
      <c r="D243" t="inlineStr">
        <is>
          <t>VÄSTERBOTTENS LÄN</t>
        </is>
      </c>
      <c r="E243" t="inlineStr">
        <is>
          <t>BJURHOLM</t>
        </is>
      </c>
      <c r="G243" t="n">
        <v>5.2</v>
      </c>
      <c r="H243" t="n">
        <v>0</v>
      </c>
      <c r="I243" t="n">
        <v>0</v>
      </c>
      <c r="J243" t="n">
        <v>0</v>
      </c>
      <c r="K243" t="n">
        <v>0</v>
      </c>
      <c r="L243" t="n">
        <v>0</v>
      </c>
      <c r="M243" t="n">
        <v>0</v>
      </c>
      <c r="N243" t="n">
        <v>0</v>
      </c>
      <c r="O243" t="n">
        <v>0</v>
      </c>
      <c r="P243" t="n">
        <v>0</v>
      </c>
      <c r="Q243" t="n">
        <v>0</v>
      </c>
      <c r="R243" s="2" t="inlineStr"/>
    </row>
    <row r="244" ht="15" customHeight="1">
      <c r="A244" t="inlineStr">
        <is>
          <t>A 19578-2024</t>
        </is>
      </c>
      <c r="B244" s="1" t="n">
        <v>45429.92396990741</v>
      </c>
      <c r="C244" s="1" t="n">
        <v>45999</v>
      </c>
      <c r="D244" t="inlineStr">
        <is>
          <t>VÄSTERBOTTENS LÄN</t>
        </is>
      </c>
      <c r="E244" t="inlineStr">
        <is>
          <t>BJURHOLM</t>
        </is>
      </c>
      <c r="G244" t="n">
        <v>0.8</v>
      </c>
      <c r="H244" t="n">
        <v>0</v>
      </c>
      <c r="I244" t="n">
        <v>0</v>
      </c>
      <c r="J244" t="n">
        <v>0</v>
      </c>
      <c r="K244" t="n">
        <v>0</v>
      </c>
      <c r="L244" t="n">
        <v>0</v>
      </c>
      <c r="M244" t="n">
        <v>0</v>
      </c>
      <c r="N244" t="n">
        <v>0</v>
      </c>
      <c r="O244" t="n">
        <v>0</v>
      </c>
      <c r="P244" t="n">
        <v>0</v>
      </c>
      <c r="Q244" t="n">
        <v>0</v>
      </c>
      <c r="R244" s="2" t="inlineStr"/>
    </row>
    <row r="245" ht="15" customHeight="1">
      <c r="A245" t="inlineStr">
        <is>
          <t>A 16081-2024</t>
        </is>
      </c>
      <c r="B245" s="1" t="n">
        <v>45406</v>
      </c>
      <c r="C245" s="1" t="n">
        <v>45999</v>
      </c>
      <c r="D245" t="inlineStr">
        <is>
          <t>VÄSTERBOTTENS LÄN</t>
        </is>
      </c>
      <c r="E245" t="inlineStr">
        <is>
          <t>BJURHOLM</t>
        </is>
      </c>
      <c r="G245" t="n">
        <v>1.1</v>
      </c>
      <c r="H245" t="n">
        <v>0</v>
      </c>
      <c r="I245" t="n">
        <v>0</v>
      </c>
      <c r="J245" t="n">
        <v>0</v>
      </c>
      <c r="K245" t="n">
        <v>0</v>
      </c>
      <c r="L245" t="n">
        <v>0</v>
      </c>
      <c r="M245" t="n">
        <v>0</v>
      </c>
      <c r="N245" t="n">
        <v>0</v>
      </c>
      <c r="O245" t="n">
        <v>0</v>
      </c>
      <c r="P245" t="n">
        <v>0</v>
      </c>
      <c r="Q245" t="n">
        <v>0</v>
      </c>
      <c r="R245" s="2" t="inlineStr"/>
    </row>
    <row r="246" ht="15" customHeight="1">
      <c r="A246" t="inlineStr">
        <is>
          <t>A 28888-2024</t>
        </is>
      </c>
      <c r="B246" s="1" t="n">
        <v>45479</v>
      </c>
      <c r="C246" s="1" t="n">
        <v>45999</v>
      </c>
      <c r="D246" t="inlineStr">
        <is>
          <t>VÄSTERBOTTENS LÄN</t>
        </is>
      </c>
      <c r="E246" t="inlineStr">
        <is>
          <t>BJURHOLM</t>
        </is>
      </c>
      <c r="F246" t="inlineStr">
        <is>
          <t>SCA</t>
        </is>
      </c>
      <c r="G246" t="n">
        <v>19</v>
      </c>
      <c r="H246" t="n">
        <v>0</v>
      </c>
      <c r="I246" t="n">
        <v>0</v>
      </c>
      <c r="J246" t="n">
        <v>0</v>
      </c>
      <c r="K246" t="n">
        <v>0</v>
      </c>
      <c r="L246" t="n">
        <v>0</v>
      </c>
      <c r="M246" t="n">
        <v>0</v>
      </c>
      <c r="N246" t="n">
        <v>0</v>
      </c>
      <c r="O246" t="n">
        <v>0</v>
      </c>
      <c r="P246" t="n">
        <v>0</v>
      </c>
      <c r="Q246" t="n">
        <v>0</v>
      </c>
      <c r="R246" s="2" t="inlineStr"/>
    </row>
    <row r="247" ht="15" customHeight="1">
      <c r="A247" t="inlineStr">
        <is>
          <t>A 3705-2023</t>
        </is>
      </c>
      <c r="B247" s="1" t="n">
        <v>44950.95469907407</v>
      </c>
      <c r="C247" s="1" t="n">
        <v>45999</v>
      </c>
      <c r="D247" t="inlineStr">
        <is>
          <t>VÄSTERBOTTENS LÄN</t>
        </is>
      </c>
      <c r="E247" t="inlineStr">
        <is>
          <t>BJURHOLM</t>
        </is>
      </c>
      <c r="G247" t="n">
        <v>3.7</v>
      </c>
      <c r="H247" t="n">
        <v>0</v>
      </c>
      <c r="I247" t="n">
        <v>0</v>
      </c>
      <c r="J247" t="n">
        <v>0</v>
      </c>
      <c r="K247" t="n">
        <v>0</v>
      </c>
      <c r="L247" t="n">
        <v>0</v>
      </c>
      <c r="M247" t="n">
        <v>0</v>
      </c>
      <c r="N247" t="n">
        <v>0</v>
      </c>
      <c r="O247" t="n">
        <v>0</v>
      </c>
      <c r="P247" t="n">
        <v>0</v>
      </c>
      <c r="Q247" t="n">
        <v>0</v>
      </c>
      <c r="R247" s="2" t="inlineStr"/>
    </row>
    <row r="248" ht="15" customHeight="1">
      <c r="A248" t="inlineStr">
        <is>
          <t>A 59381-2023</t>
        </is>
      </c>
      <c r="B248" s="1" t="n">
        <v>45253.8090162037</v>
      </c>
      <c r="C248" s="1" t="n">
        <v>45999</v>
      </c>
      <c r="D248" t="inlineStr">
        <is>
          <t>VÄSTERBOTTENS LÄN</t>
        </is>
      </c>
      <c r="E248" t="inlineStr">
        <is>
          <t>BJURHOLM</t>
        </is>
      </c>
      <c r="G248" t="n">
        <v>1.5</v>
      </c>
      <c r="H248" t="n">
        <v>0</v>
      </c>
      <c r="I248" t="n">
        <v>0</v>
      </c>
      <c r="J248" t="n">
        <v>0</v>
      </c>
      <c r="K248" t="n">
        <v>0</v>
      </c>
      <c r="L248" t="n">
        <v>0</v>
      </c>
      <c r="M248" t="n">
        <v>0</v>
      </c>
      <c r="N248" t="n">
        <v>0</v>
      </c>
      <c r="O248" t="n">
        <v>0</v>
      </c>
      <c r="P248" t="n">
        <v>0</v>
      </c>
      <c r="Q248" t="n">
        <v>0</v>
      </c>
      <c r="R248" s="2" t="inlineStr"/>
    </row>
    <row r="249" ht="15" customHeight="1">
      <c r="A249" t="inlineStr">
        <is>
          <t>A 55459-2024</t>
        </is>
      </c>
      <c r="B249" s="1" t="n">
        <v>45622.42745370371</v>
      </c>
      <c r="C249" s="1" t="n">
        <v>45999</v>
      </c>
      <c r="D249" t="inlineStr">
        <is>
          <t>VÄSTERBOTTENS LÄN</t>
        </is>
      </c>
      <c r="E249" t="inlineStr">
        <is>
          <t>BJURHOLM</t>
        </is>
      </c>
      <c r="F249" t="inlineStr">
        <is>
          <t>SCA</t>
        </is>
      </c>
      <c r="G249" t="n">
        <v>3.7</v>
      </c>
      <c r="H249" t="n">
        <v>0</v>
      </c>
      <c r="I249" t="n">
        <v>0</v>
      </c>
      <c r="J249" t="n">
        <v>0</v>
      </c>
      <c r="K249" t="n">
        <v>0</v>
      </c>
      <c r="L249" t="n">
        <v>0</v>
      </c>
      <c r="M249" t="n">
        <v>0</v>
      </c>
      <c r="N249" t="n">
        <v>0</v>
      </c>
      <c r="O249" t="n">
        <v>0</v>
      </c>
      <c r="P249" t="n">
        <v>0</v>
      </c>
      <c r="Q249" t="n">
        <v>0</v>
      </c>
      <c r="R249" s="2" t="inlineStr"/>
    </row>
    <row r="250" ht="15" customHeight="1">
      <c r="A250" t="inlineStr">
        <is>
          <t>A 46614-2023</t>
        </is>
      </c>
      <c r="B250" s="1" t="n">
        <v>45198.40074074074</v>
      </c>
      <c r="C250" s="1" t="n">
        <v>45999</v>
      </c>
      <c r="D250" t="inlineStr">
        <is>
          <t>VÄSTERBOTTENS LÄN</t>
        </is>
      </c>
      <c r="E250" t="inlineStr">
        <is>
          <t>BJURHOLM</t>
        </is>
      </c>
      <c r="F250" t="inlineStr">
        <is>
          <t>Holmen skog AB</t>
        </is>
      </c>
      <c r="G250" t="n">
        <v>1.1</v>
      </c>
      <c r="H250" t="n">
        <v>0</v>
      </c>
      <c r="I250" t="n">
        <v>0</v>
      </c>
      <c r="J250" t="n">
        <v>0</v>
      </c>
      <c r="K250" t="n">
        <v>0</v>
      </c>
      <c r="L250" t="n">
        <v>0</v>
      </c>
      <c r="M250" t="n">
        <v>0</v>
      </c>
      <c r="N250" t="n">
        <v>0</v>
      </c>
      <c r="O250" t="n">
        <v>0</v>
      </c>
      <c r="P250" t="n">
        <v>0</v>
      </c>
      <c r="Q250" t="n">
        <v>0</v>
      </c>
      <c r="R250" s="2" t="inlineStr"/>
    </row>
    <row r="251" ht="15" customHeight="1">
      <c r="A251" t="inlineStr">
        <is>
          <t>A 44777-2023</t>
        </is>
      </c>
      <c r="B251" s="1" t="n">
        <v>45190</v>
      </c>
      <c r="C251" s="1" t="n">
        <v>45999</v>
      </c>
      <c r="D251" t="inlineStr">
        <is>
          <t>VÄSTERBOTTENS LÄN</t>
        </is>
      </c>
      <c r="E251" t="inlineStr">
        <is>
          <t>BJURHOLM</t>
        </is>
      </c>
      <c r="F251" t="inlineStr">
        <is>
          <t>Holmen skog AB</t>
        </is>
      </c>
      <c r="G251" t="n">
        <v>10.7</v>
      </c>
      <c r="H251" t="n">
        <v>0</v>
      </c>
      <c r="I251" t="n">
        <v>0</v>
      </c>
      <c r="J251" t="n">
        <v>0</v>
      </c>
      <c r="K251" t="n">
        <v>0</v>
      </c>
      <c r="L251" t="n">
        <v>0</v>
      </c>
      <c r="M251" t="n">
        <v>0</v>
      </c>
      <c r="N251" t="n">
        <v>0</v>
      </c>
      <c r="O251" t="n">
        <v>0</v>
      </c>
      <c r="P251" t="n">
        <v>0</v>
      </c>
      <c r="Q251" t="n">
        <v>0</v>
      </c>
      <c r="R251" s="2" t="inlineStr"/>
    </row>
    <row r="252" ht="15" customHeight="1">
      <c r="A252" t="inlineStr">
        <is>
          <t>A 28426-2023</t>
        </is>
      </c>
      <c r="B252" s="1" t="n">
        <v>45102</v>
      </c>
      <c r="C252" s="1" t="n">
        <v>45999</v>
      </c>
      <c r="D252" t="inlineStr">
        <is>
          <t>VÄSTERBOTTENS LÄN</t>
        </is>
      </c>
      <c r="E252" t="inlineStr">
        <is>
          <t>BJURHOLM</t>
        </is>
      </c>
      <c r="F252" t="inlineStr">
        <is>
          <t>Holmen skog AB</t>
        </is>
      </c>
      <c r="G252" t="n">
        <v>3.2</v>
      </c>
      <c r="H252" t="n">
        <v>0</v>
      </c>
      <c r="I252" t="n">
        <v>0</v>
      </c>
      <c r="J252" t="n">
        <v>0</v>
      </c>
      <c r="K252" t="n">
        <v>0</v>
      </c>
      <c r="L252" t="n">
        <v>0</v>
      </c>
      <c r="M252" t="n">
        <v>0</v>
      </c>
      <c r="N252" t="n">
        <v>0</v>
      </c>
      <c r="O252" t="n">
        <v>0</v>
      </c>
      <c r="P252" t="n">
        <v>0</v>
      </c>
      <c r="Q252" t="n">
        <v>0</v>
      </c>
      <c r="R252" s="2" t="inlineStr"/>
    </row>
    <row r="253" ht="15" customHeight="1">
      <c r="A253" t="inlineStr">
        <is>
          <t>A 50189-2024</t>
        </is>
      </c>
      <c r="B253" s="1" t="n">
        <v>45600.47861111111</v>
      </c>
      <c r="C253" s="1" t="n">
        <v>45999</v>
      </c>
      <c r="D253" t="inlineStr">
        <is>
          <t>VÄSTERBOTTENS LÄN</t>
        </is>
      </c>
      <c r="E253" t="inlineStr">
        <is>
          <t>BJURHOLM</t>
        </is>
      </c>
      <c r="F253" t="inlineStr">
        <is>
          <t>Holmen skog AB</t>
        </is>
      </c>
      <c r="G253" t="n">
        <v>5.9</v>
      </c>
      <c r="H253" t="n">
        <v>0</v>
      </c>
      <c r="I253" t="n">
        <v>0</v>
      </c>
      <c r="J253" t="n">
        <v>0</v>
      </c>
      <c r="K253" t="n">
        <v>0</v>
      </c>
      <c r="L253" t="n">
        <v>0</v>
      </c>
      <c r="M253" t="n">
        <v>0</v>
      </c>
      <c r="N253" t="n">
        <v>0</v>
      </c>
      <c r="O253" t="n">
        <v>0</v>
      </c>
      <c r="P253" t="n">
        <v>0</v>
      </c>
      <c r="Q253" t="n">
        <v>0</v>
      </c>
      <c r="R253" s="2" t="inlineStr"/>
    </row>
    <row r="254" ht="15" customHeight="1">
      <c r="A254" t="inlineStr">
        <is>
          <t>A 10984-2023</t>
        </is>
      </c>
      <c r="B254" s="1" t="n">
        <v>44985</v>
      </c>
      <c r="C254" s="1" t="n">
        <v>45999</v>
      </c>
      <c r="D254" t="inlineStr">
        <is>
          <t>VÄSTERBOTTENS LÄN</t>
        </is>
      </c>
      <c r="E254" t="inlineStr">
        <is>
          <t>BJURHOLM</t>
        </is>
      </c>
      <c r="G254" t="n">
        <v>4</v>
      </c>
      <c r="H254" t="n">
        <v>0</v>
      </c>
      <c r="I254" t="n">
        <v>0</v>
      </c>
      <c r="J254" t="n">
        <v>0</v>
      </c>
      <c r="K254" t="n">
        <v>0</v>
      </c>
      <c r="L254" t="n">
        <v>0</v>
      </c>
      <c r="M254" t="n">
        <v>0</v>
      </c>
      <c r="N254" t="n">
        <v>0</v>
      </c>
      <c r="O254" t="n">
        <v>0</v>
      </c>
      <c r="P254" t="n">
        <v>0</v>
      </c>
      <c r="Q254" t="n">
        <v>0</v>
      </c>
      <c r="R254" s="2" t="inlineStr"/>
    </row>
    <row r="255" ht="15" customHeight="1">
      <c r="A255" t="inlineStr">
        <is>
          <t>A 60499-2023</t>
        </is>
      </c>
      <c r="B255" s="1" t="n">
        <v>45259</v>
      </c>
      <c r="C255" s="1" t="n">
        <v>45999</v>
      </c>
      <c r="D255" t="inlineStr">
        <is>
          <t>VÄSTERBOTTENS LÄN</t>
        </is>
      </c>
      <c r="E255" t="inlineStr">
        <is>
          <t>BJURHOLM</t>
        </is>
      </c>
      <c r="G255" t="n">
        <v>9.5</v>
      </c>
      <c r="H255" t="n">
        <v>0</v>
      </c>
      <c r="I255" t="n">
        <v>0</v>
      </c>
      <c r="J255" t="n">
        <v>0</v>
      </c>
      <c r="K255" t="n">
        <v>0</v>
      </c>
      <c r="L255" t="n">
        <v>0</v>
      </c>
      <c r="M255" t="n">
        <v>0</v>
      </c>
      <c r="N255" t="n">
        <v>0</v>
      </c>
      <c r="O255" t="n">
        <v>0</v>
      </c>
      <c r="P255" t="n">
        <v>0</v>
      </c>
      <c r="Q255" t="n">
        <v>0</v>
      </c>
      <c r="R255" s="2" t="inlineStr"/>
    </row>
    <row r="256" ht="15" customHeight="1">
      <c r="A256" t="inlineStr">
        <is>
          <t>A 57883-2022</t>
        </is>
      </c>
      <c r="B256" s="1" t="n">
        <v>44899.94689814815</v>
      </c>
      <c r="C256" s="1" t="n">
        <v>45999</v>
      </c>
      <c r="D256" t="inlineStr">
        <is>
          <t>VÄSTERBOTTENS LÄN</t>
        </is>
      </c>
      <c r="E256" t="inlineStr">
        <is>
          <t>BJURHOLM</t>
        </is>
      </c>
      <c r="F256" t="inlineStr">
        <is>
          <t>SCA</t>
        </is>
      </c>
      <c r="G256" t="n">
        <v>3.2</v>
      </c>
      <c r="H256" t="n">
        <v>0</v>
      </c>
      <c r="I256" t="n">
        <v>0</v>
      </c>
      <c r="J256" t="n">
        <v>0</v>
      </c>
      <c r="K256" t="n">
        <v>0</v>
      </c>
      <c r="L256" t="n">
        <v>0</v>
      </c>
      <c r="M256" t="n">
        <v>0</v>
      </c>
      <c r="N256" t="n">
        <v>0</v>
      </c>
      <c r="O256" t="n">
        <v>0</v>
      </c>
      <c r="P256" t="n">
        <v>0</v>
      </c>
      <c r="Q256" t="n">
        <v>0</v>
      </c>
      <c r="R256" s="2" t="inlineStr"/>
    </row>
    <row r="257" ht="15" customHeight="1">
      <c r="A257" t="inlineStr">
        <is>
          <t>A 56693-2024</t>
        </is>
      </c>
      <c r="B257" s="1" t="n">
        <v>45627.71203703704</v>
      </c>
      <c r="C257" s="1" t="n">
        <v>45999</v>
      </c>
      <c r="D257" t="inlineStr">
        <is>
          <t>VÄSTERBOTTENS LÄN</t>
        </is>
      </c>
      <c r="E257" t="inlineStr">
        <is>
          <t>BJURHOLM</t>
        </is>
      </c>
      <c r="G257" t="n">
        <v>6.8</v>
      </c>
      <c r="H257" t="n">
        <v>0</v>
      </c>
      <c r="I257" t="n">
        <v>0</v>
      </c>
      <c r="J257" t="n">
        <v>0</v>
      </c>
      <c r="K257" t="n">
        <v>0</v>
      </c>
      <c r="L257" t="n">
        <v>0</v>
      </c>
      <c r="M257" t="n">
        <v>0</v>
      </c>
      <c r="N257" t="n">
        <v>0</v>
      </c>
      <c r="O257" t="n">
        <v>0</v>
      </c>
      <c r="P257" t="n">
        <v>0</v>
      </c>
      <c r="Q257" t="n">
        <v>0</v>
      </c>
      <c r="R257" s="2" t="inlineStr"/>
    </row>
    <row r="258" ht="15" customHeight="1">
      <c r="A258" t="inlineStr">
        <is>
          <t>A 40409-2023</t>
        </is>
      </c>
      <c r="B258" s="1" t="n">
        <v>45169.93868055556</v>
      </c>
      <c r="C258" s="1" t="n">
        <v>45999</v>
      </c>
      <c r="D258" t="inlineStr">
        <is>
          <t>VÄSTERBOTTENS LÄN</t>
        </is>
      </c>
      <c r="E258" t="inlineStr">
        <is>
          <t>BJURHOLM</t>
        </is>
      </c>
      <c r="F258" t="inlineStr">
        <is>
          <t>SCA</t>
        </is>
      </c>
      <c r="G258" t="n">
        <v>1.1</v>
      </c>
      <c r="H258" t="n">
        <v>0</v>
      </c>
      <c r="I258" t="n">
        <v>0</v>
      </c>
      <c r="J258" t="n">
        <v>0</v>
      </c>
      <c r="K258" t="n">
        <v>0</v>
      </c>
      <c r="L258" t="n">
        <v>0</v>
      </c>
      <c r="M258" t="n">
        <v>0</v>
      </c>
      <c r="N258" t="n">
        <v>0</v>
      </c>
      <c r="O258" t="n">
        <v>0</v>
      </c>
      <c r="P258" t="n">
        <v>0</v>
      </c>
      <c r="Q258" t="n">
        <v>0</v>
      </c>
      <c r="R258" s="2" t="inlineStr"/>
    </row>
    <row r="259" ht="15" customHeight="1">
      <c r="A259" t="inlineStr">
        <is>
          <t>A 44880-2023</t>
        </is>
      </c>
      <c r="B259" s="1" t="n">
        <v>45190.60920138889</v>
      </c>
      <c r="C259" s="1" t="n">
        <v>45999</v>
      </c>
      <c r="D259" t="inlineStr">
        <is>
          <t>VÄSTERBOTTENS LÄN</t>
        </is>
      </c>
      <c r="E259" t="inlineStr">
        <is>
          <t>BJURHOLM</t>
        </is>
      </c>
      <c r="F259" t="inlineStr">
        <is>
          <t>Holmen skog AB</t>
        </is>
      </c>
      <c r="G259" t="n">
        <v>10.5</v>
      </c>
      <c r="H259" t="n">
        <v>0</v>
      </c>
      <c r="I259" t="n">
        <v>0</v>
      </c>
      <c r="J259" t="n">
        <v>0</v>
      </c>
      <c r="K259" t="n">
        <v>0</v>
      </c>
      <c r="L259" t="n">
        <v>0</v>
      </c>
      <c r="M259" t="n">
        <v>0</v>
      </c>
      <c r="N259" t="n">
        <v>0</v>
      </c>
      <c r="O259" t="n">
        <v>0</v>
      </c>
      <c r="P259" t="n">
        <v>0</v>
      </c>
      <c r="Q259" t="n">
        <v>0</v>
      </c>
      <c r="R259" s="2" t="inlineStr"/>
    </row>
    <row r="260" ht="15" customHeight="1">
      <c r="A260" t="inlineStr">
        <is>
          <t>A 10527-2025</t>
        </is>
      </c>
      <c r="B260" s="1" t="n">
        <v>45721.445625</v>
      </c>
      <c r="C260" s="1" t="n">
        <v>45999</v>
      </c>
      <c r="D260" t="inlineStr">
        <is>
          <t>VÄSTERBOTTENS LÄN</t>
        </is>
      </c>
      <c r="E260" t="inlineStr">
        <is>
          <t>BJURHOLM</t>
        </is>
      </c>
      <c r="G260" t="n">
        <v>1.9</v>
      </c>
      <c r="H260" t="n">
        <v>0</v>
      </c>
      <c r="I260" t="n">
        <v>0</v>
      </c>
      <c r="J260" t="n">
        <v>0</v>
      </c>
      <c r="K260" t="n">
        <v>0</v>
      </c>
      <c r="L260" t="n">
        <v>0</v>
      </c>
      <c r="M260" t="n">
        <v>0</v>
      </c>
      <c r="N260" t="n">
        <v>0</v>
      </c>
      <c r="O260" t="n">
        <v>0</v>
      </c>
      <c r="P260" t="n">
        <v>0</v>
      </c>
      <c r="Q260" t="n">
        <v>0</v>
      </c>
      <c r="R260" s="2" t="inlineStr"/>
    </row>
    <row r="261" ht="15" customHeight="1">
      <c r="A261" t="inlineStr">
        <is>
          <t>A 60606-2023</t>
        </is>
      </c>
      <c r="B261" s="1" t="n">
        <v>45260.34408564815</v>
      </c>
      <c r="C261" s="1" t="n">
        <v>45999</v>
      </c>
      <c r="D261" t="inlineStr">
        <is>
          <t>VÄSTERBOTTENS LÄN</t>
        </is>
      </c>
      <c r="E261" t="inlineStr">
        <is>
          <t>BJURHOLM</t>
        </is>
      </c>
      <c r="G261" t="n">
        <v>7.5</v>
      </c>
      <c r="H261" t="n">
        <v>0</v>
      </c>
      <c r="I261" t="n">
        <v>0</v>
      </c>
      <c r="J261" t="n">
        <v>0</v>
      </c>
      <c r="K261" t="n">
        <v>0</v>
      </c>
      <c r="L261" t="n">
        <v>0</v>
      </c>
      <c r="M261" t="n">
        <v>0</v>
      </c>
      <c r="N261" t="n">
        <v>0</v>
      </c>
      <c r="O261" t="n">
        <v>0</v>
      </c>
      <c r="P261" t="n">
        <v>0</v>
      </c>
      <c r="Q261" t="n">
        <v>0</v>
      </c>
      <c r="R261" s="2" t="inlineStr"/>
    </row>
    <row r="262" ht="15" customHeight="1">
      <c r="A262" t="inlineStr">
        <is>
          <t>A 57799-2023</t>
        </is>
      </c>
      <c r="B262" s="1" t="n">
        <v>45246.96910879629</v>
      </c>
      <c r="C262" s="1" t="n">
        <v>45999</v>
      </c>
      <c r="D262" t="inlineStr">
        <is>
          <t>VÄSTERBOTTENS LÄN</t>
        </is>
      </c>
      <c r="E262" t="inlineStr">
        <is>
          <t>BJURHOLM</t>
        </is>
      </c>
      <c r="F262" t="inlineStr">
        <is>
          <t>SCA</t>
        </is>
      </c>
      <c r="G262" t="n">
        <v>0.8</v>
      </c>
      <c r="H262" t="n">
        <v>0</v>
      </c>
      <c r="I262" t="n">
        <v>0</v>
      </c>
      <c r="J262" t="n">
        <v>0</v>
      </c>
      <c r="K262" t="n">
        <v>0</v>
      </c>
      <c r="L262" t="n">
        <v>0</v>
      </c>
      <c r="M262" t="n">
        <v>0</v>
      </c>
      <c r="N262" t="n">
        <v>0</v>
      </c>
      <c r="O262" t="n">
        <v>0</v>
      </c>
      <c r="P262" t="n">
        <v>0</v>
      </c>
      <c r="Q262" t="n">
        <v>0</v>
      </c>
      <c r="R262" s="2" t="inlineStr"/>
    </row>
    <row r="263" ht="15" customHeight="1">
      <c r="A263" t="inlineStr">
        <is>
          <t>A 15581-2023</t>
        </is>
      </c>
      <c r="B263" s="1" t="n">
        <v>45019</v>
      </c>
      <c r="C263" s="1" t="n">
        <v>45999</v>
      </c>
      <c r="D263" t="inlineStr">
        <is>
          <t>VÄSTERBOTTENS LÄN</t>
        </is>
      </c>
      <c r="E263" t="inlineStr">
        <is>
          <t>BJURHOLM</t>
        </is>
      </c>
      <c r="G263" t="n">
        <v>7</v>
      </c>
      <c r="H263" t="n">
        <v>0</v>
      </c>
      <c r="I263" t="n">
        <v>0</v>
      </c>
      <c r="J263" t="n">
        <v>0</v>
      </c>
      <c r="K263" t="n">
        <v>0</v>
      </c>
      <c r="L263" t="n">
        <v>0</v>
      </c>
      <c r="M263" t="n">
        <v>0</v>
      </c>
      <c r="N263" t="n">
        <v>0</v>
      </c>
      <c r="O263" t="n">
        <v>0</v>
      </c>
      <c r="P263" t="n">
        <v>0</v>
      </c>
      <c r="Q263" t="n">
        <v>0</v>
      </c>
      <c r="R263" s="2" t="inlineStr"/>
    </row>
    <row r="264" ht="15" customHeight="1">
      <c r="A264" t="inlineStr">
        <is>
          <t>A 5582-2025</t>
        </is>
      </c>
      <c r="B264" s="1" t="n">
        <v>45693.55229166667</v>
      </c>
      <c r="C264" s="1" t="n">
        <v>45999</v>
      </c>
      <c r="D264" t="inlineStr">
        <is>
          <t>VÄSTERBOTTENS LÄN</t>
        </is>
      </c>
      <c r="E264" t="inlineStr">
        <is>
          <t>BJURHOLM</t>
        </is>
      </c>
      <c r="G264" t="n">
        <v>2.1</v>
      </c>
      <c r="H264" t="n">
        <v>0</v>
      </c>
      <c r="I264" t="n">
        <v>0</v>
      </c>
      <c r="J264" t="n">
        <v>0</v>
      </c>
      <c r="K264" t="n">
        <v>0</v>
      </c>
      <c r="L264" t="n">
        <v>0</v>
      </c>
      <c r="M264" t="n">
        <v>0</v>
      </c>
      <c r="N264" t="n">
        <v>0</v>
      </c>
      <c r="O264" t="n">
        <v>0</v>
      </c>
      <c r="P264" t="n">
        <v>0</v>
      </c>
      <c r="Q264" t="n">
        <v>0</v>
      </c>
      <c r="R264" s="2" t="inlineStr"/>
    </row>
    <row r="265" ht="15" customHeight="1">
      <c r="A265" t="inlineStr">
        <is>
          <t>A 32129-2024</t>
        </is>
      </c>
      <c r="B265" s="1" t="n">
        <v>45511</v>
      </c>
      <c r="C265" s="1" t="n">
        <v>45999</v>
      </c>
      <c r="D265" t="inlineStr">
        <is>
          <t>VÄSTERBOTTENS LÄN</t>
        </is>
      </c>
      <c r="E265" t="inlineStr">
        <is>
          <t>BJURHOLM</t>
        </is>
      </c>
      <c r="G265" t="n">
        <v>1.6</v>
      </c>
      <c r="H265" t="n">
        <v>0</v>
      </c>
      <c r="I265" t="n">
        <v>0</v>
      </c>
      <c r="J265" t="n">
        <v>0</v>
      </c>
      <c r="K265" t="n">
        <v>0</v>
      </c>
      <c r="L265" t="n">
        <v>0</v>
      </c>
      <c r="M265" t="n">
        <v>0</v>
      </c>
      <c r="N265" t="n">
        <v>0</v>
      </c>
      <c r="O265" t="n">
        <v>0</v>
      </c>
      <c r="P265" t="n">
        <v>0</v>
      </c>
      <c r="Q265" t="n">
        <v>0</v>
      </c>
      <c r="R265" s="2" t="inlineStr"/>
    </row>
    <row r="266" ht="15" customHeight="1">
      <c r="A266" t="inlineStr">
        <is>
          <t>A 56-2025</t>
        </is>
      </c>
      <c r="B266" s="1" t="n">
        <v>45659.39510416667</v>
      </c>
      <c r="C266" s="1" t="n">
        <v>45999</v>
      </c>
      <c r="D266" t="inlineStr">
        <is>
          <t>VÄSTERBOTTENS LÄN</t>
        </is>
      </c>
      <c r="E266" t="inlineStr">
        <is>
          <t>BJURHOLM</t>
        </is>
      </c>
      <c r="G266" t="n">
        <v>1.4</v>
      </c>
      <c r="H266" t="n">
        <v>0</v>
      </c>
      <c r="I266" t="n">
        <v>0</v>
      </c>
      <c r="J266" t="n">
        <v>0</v>
      </c>
      <c r="K266" t="n">
        <v>0</v>
      </c>
      <c r="L266" t="n">
        <v>0</v>
      </c>
      <c r="M266" t="n">
        <v>0</v>
      </c>
      <c r="N266" t="n">
        <v>0</v>
      </c>
      <c r="O266" t="n">
        <v>0</v>
      </c>
      <c r="P266" t="n">
        <v>0</v>
      </c>
      <c r="Q266" t="n">
        <v>0</v>
      </c>
      <c r="R266" s="2" t="inlineStr"/>
    </row>
    <row r="267" ht="15" customHeight="1">
      <c r="A267" t="inlineStr">
        <is>
          <t>A 42557-2023</t>
        </is>
      </c>
      <c r="B267" s="1" t="n">
        <v>45181.38291666667</v>
      </c>
      <c r="C267" s="1" t="n">
        <v>45999</v>
      </c>
      <c r="D267" t="inlineStr">
        <is>
          <t>VÄSTERBOTTENS LÄN</t>
        </is>
      </c>
      <c r="E267" t="inlineStr">
        <is>
          <t>BJURHOLM</t>
        </is>
      </c>
      <c r="F267" t="inlineStr">
        <is>
          <t>Holmen skog AB</t>
        </is>
      </c>
      <c r="G267" t="n">
        <v>1.9</v>
      </c>
      <c r="H267" t="n">
        <v>0</v>
      </c>
      <c r="I267" t="n">
        <v>0</v>
      </c>
      <c r="J267" t="n">
        <v>0</v>
      </c>
      <c r="K267" t="n">
        <v>0</v>
      </c>
      <c r="L267" t="n">
        <v>0</v>
      </c>
      <c r="M267" t="n">
        <v>0</v>
      </c>
      <c r="N267" t="n">
        <v>0</v>
      </c>
      <c r="O267" t="n">
        <v>0</v>
      </c>
      <c r="P267" t="n">
        <v>0</v>
      </c>
      <c r="Q267" t="n">
        <v>0</v>
      </c>
      <c r="R267" s="2" t="inlineStr"/>
    </row>
    <row r="268" ht="15" customHeight="1">
      <c r="A268" t="inlineStr">
        <is>
          <t>A 22096-2025</t>
        </is>
      </c>
      <c r="B268" s="1" t="n">
        <v>45785.46922453704</v>
      </c>
      <c r="C268" s="1" t="n">
        <v>45999</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22265-2025</t>
        </is>
      </c>
      <c r="B269" s="1" t="n">
        <v>45785.84648148148</v>
      </c>
      <c r="C269" s="1" t="n">
        <v>45999</v>
      </c>
      <c r="D269" t="inlineStr">
        <is>
          <t>VÄSTERBOTTENS LÄN</t>
        </is>
      </c>
      <c r="E269" t="inlineStr">
        <is>
          <t>BJURHOLM</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57798-2024</t>
        </is>
      </c>
      <c r="B270" s="1" t="n">
        <v>45631.34457175926</v>
      </c>
      <c r="C270" s="1" t="n">
        <v>45999</v>
      </c>
      <c r="D270" t="inlineStr">
        <is>
          <t>VÄSTERBOTTENS LÄN</t>
        </is>
      </c>
      <c r="E270" t="inlineStr">
        <is>
          <t>BJURHOLM</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9158-2024</t>
        </is>
      </c>
      <c r="B271" s="1" t="n">
        <v>45357</v>
      </c>
      <c r="C271" s="1" t="n">
        <v>45999</v>
      </c>
      <c r="D271" t="inlineStr">
        <is>
          <t>VÄSTERBOTTENS LÄN</t>
        </is>
      </c>
      <c r="E271" t="inlineStr">
        <is>
          <t>BJURHOLM</t>
        </is>
      </c>
      <c r="G271" t="n">
        <v>2.1</v>
      </c>
      <c r="H271" t="n">
        <v>0</v>
      </c>
      <c r="I271" t="n">
        <v>0</v>
      </c>
      <c r="J271" t="n">
        <v>0</v>
      </c>
      <c r="K271" t="n">
        <v>0</v>
      </c>
      <c r="L271" t="n">
        <v>0</v>
      </c>
      <c r="M271" t="n">
        <v>0</v>
      </c>
      <c r="N271" t="n">
        <v>0</v>
      </c>
      <c r="O271" t="n">
        <v>0</v>
      </c>
      <c r="P271" t="n">
        <v>0</v>
      </c>
      <c r="Q271" t="n">
        <v>0</v>
      </c>
      <c r="R271" s="2" t="inlineStr"/>
    </row>
    <row r="272" ht="15" customHeight="1">
      <c r="A272" t="inlineStr">
        <is>
          <t>A 33157-2022</t>
        </is>
      </c>
      <c r="B272" s="1" t="n">
        <v>44785</v>
      </c>
      <c r="C272" s="1" t="n">
        <v>45999</v>
      </c>
      <c r="D272" t="inlineStr">
        <is>
          <t>VÄSTERBOTTENS LÄN</t>
        </is>
      </c>
      <c r="E272" t="inlineStr">
        <is>
          <t>BJURHOLM</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35249-2023</t>
        </is>
      </c>
      <c r="B273" s="1" t="n">
        <v>45145.92299768519</v>
      </c>
      <c r="C273" s="1" t="n">
        <v>45999</v>
      </c>
      <c r="D273" t="inlineStr">
        <is>
          <t>VÄSTERBOTTENS LÄN</t>
        </is>
      </c>
      <c r="E273" t="inlineStr">
        <is>
          <t>BJURHOLM</t>
        </is>
      </c>
      <c r="G273" t="n">
        <v>0.9</v>
      </c>
      <c r="H273" t="n">
        <v>0</v>
      </c>
      <c r="I273" t="n">
        <v>0</v>
      </c>
      <c r="J273" t="n">
        <v>0</v>
      </c>
      <c r="K273" t="n">
        <v>0</v>
      </c>
      <c r="L273" t="n">
        <v>0</v>
      </c>
      <c r="M273" t="n">
        <v>0</v>
      </c>
      <c r="N273" t="n">
        <v>0</v>
      </c>
      <c r="O273" t="n">
        <v>0</v>
      </c>
      <c r="P273" t="n">
        <v>0</v>
      </c>
      <c r="Q273" t="n">
        <v>0</v>
      </c>
      <c r="R273" s="2" t="inlineStr"/>
    </row>
    <row r="274" ht="15" customHeight="1">
      <c r="A274" t="inlineStr">
        <is>
          <t>A 35251-2023</t>
        </is>
      </c>
      <c r="B274" s="1" t="n">
        <v>45145.92325231482</v>
      </c>
      <c r="C274" s="1" t="n">
        <v>45999</v>
      </c>
      <c r="D274" t="inlineStr">
        <is>
          <t>VÄSTERBOTTENS LÄN</t>
        </is>
      </c>
      <c r="E274" t="inlineStr">
        <is>
          <t>BJURHOLM</t>
        </is>
      </c>
      <c r="G274" t="n">
        <v>0.5</v>
      </c>
      <c r="H274" t="n">
        <v>0</v>
      </c>
      <c r="I274" t="n">
        <v>0</v>
      </c>
      <c r="J274" t="n">
        <v>0</v>
      </c>
      <c r="K274" t="n">
        <v>0</v>
      </c>
      <c r="L274" t="n">
        <v>0</v>
      </c>
      <c r="M274" t="n">
        <v>0</v>
      </c>
      <c r="N274" t="n">
        <v>0</v>
      </c>
      <c r="O274" t="n">
        <v>0</v>
      </c>
      <c r="P274" t="n">
        <v>0</v>
      </c>
      <c r="Q274" t="n">
        <v>0</v>
      </c>
      <c r="R274" s="2" t="inlineStr"/>
    </row>
    <row r="275" ht="15" customHeight="1">
      <c r="A275" t="inlineStr">
        <is>
          <t>A 3497-2025</t>
        </is>
      </c>
      <c r="B275" s="1" t="n">
        <v>45680.56597222222</v>
      </c>
      <c r="C275" s="1" t="n">
        <v>45999</v>
      </c>
      <c r="D275" t="inlineStr">
        <is>
          <t>VÄSTERBOTTENS LÄN</t>
        </is>
      </c>
      <c r="E275" t="inlineStr">
        <is>
          <t>BJURHOLM</t>
        </is>
      </c>
      <c r="G275" t="n">
        <v>0.9</v>
      </c>
      <c r="H275" t="n">
        <v>0</v>
      </c>
      <c r="I275" t="n">
        <v>0</v>
      </c>
      <c r="J275" t="n">
        <v>0</v>
      </c>
      <c r="K275" t="n">
        <v>0</v>
      </c>
      <c r="L275" t="n">
        <v>0</v>
      </c>
      <c r="M275" t="n">
        <v>0</v>
      </c>
      <c r="N275" t="n">
        <v>0</v>
      </c>
      <c r="O275" t="n">
        <v>0</v>
      </c>
      <c r="P275" t="n">
        <v>0</v>
      </c>
      <c r="Q275" t="n">
        <v>0</v>
      </c>
      <c r="R275" s="2" t="inlineStr"/>
    </row>
    <row r="276" ht="15" customHeight="1">
      <c r="A276" t="inlineStr">
        <is>
          <t>A 44274-2023</t>
        </is>
      </c>
      <c r="B276" s="1" t="n">
        <v>45188.61318287037</v>
      </c>
      <c r="C276" s="1" t="n">
        <v>45999</v>
      </c>
      <c r="D276" t="inlineStr">
        <is>
          <t>VÄSTERBOTTENS LÄN</t>
        </is>
      </c>
      <c r="E276" t="inlineStr">
        <is>
          <t>BJURHOLM</t>
        </is>
      </c>
      <c r="F276" t="inlineStr">
        <is>
          <t>Holmen skog AB</t>
        </is>
      </c>
      <c r="G276" t="n">
        <v>6.6</v>
      </c>
      <c r="H276" t="n">
        <v>0</v>
      </c>
      <c r="I276" t="n">
        <v>0</v>
      </c>
      <c r="J276" t="n">
        <v>0</v>
      </c>
      <c r="K276" t="n">
        <v>0</v>
      </c>
      <c r="L276" t="n">
        <v>0</v>
      </c>
      <c r="M276" t="n">
        <v>0</v>
      </c>
      <c r="N276" t="n">
        <v>0</v>
      </c>
      <c r="O276" t="n">
        <v>0</v>
      </c>
      <c r="P276" t="n">
        <v>0</v>
      </c>
      <c r="Q276" t="n">
        <v>0</v>
      </c>
      <c r="R276" s="2" t="inlineStr"/>
    </row>
    <row r="277" ht="15" customHeight="1">
      <c r="A277" t="inlineStr">
        <is>
          <t>A 20836-2022</t>
        </is>
      </c>
      <c r="B277" s="1" t="n">
        <v>44701</v>
      </c>
      <c r="C277" s="1" t="n">
        <v>45999</v>
      </c>
      <c r="D277" t="inlineStr">
        <is>
          <t>VÄSTERBOTTENS LÄN</t>
        </is>
      </c>
      <c r="E277" t="inlineStr">
        <is>
          <t>BJURHOLM</t>
        </is>
      </c>
      <c r="G277" t="n">
        <v>2.8</v>
      </c>
      <c r="H277" t="n">
        <v>0</v>
      </c>
      <c r="I277" t="n">
        <v>0</v>
      </c>
      <c r="J277" t="n">
        <v>0</v>
      </c>
      <c r="K277" t="n">
        <v>0</v>
      </c>
      <c r="L277" t="n">
        <v>0</v>
      </c>
      <c r="M277" t="n">
        <v>0</v>
      </c>
      <c r="N277" t="n">
        <v>0</v>
      </c>
      <c r="O277" t="n">
        <v>0</v>
      </c>
      <c r="P277" t="n">
        <v>0</v>
      </c>
      <c r="Q277" t="n">
        <v>0</v>
      </c>
      <c r="R277" s="2" t="inlineStr"/>
    </row>
    <row r="278" ht="15" customHeight="1">
      <c r="A278" t="inlineStr">
        <is>
          <t>A 22290-2025</t>
        </is>
      </c>
      <c r="B278" s="1" t="n">
        <v>45786.34450231482</v>
      </c>
      <c r="C278" s="1" t="n">
        <v>45999</v>
      </c>
      <c r="D278" t="inlineStr">
        <is>
          <t>VÄSTERBOTTENS LÄN</t>
        </is>
      </c>
      <c r="E278" t="inlineStr">
        <is>
          <t>BJURHOLM</t>
        </is>
      </c>
      <c r="F278" t="inlineStr">
        <is>
          <t>SCA</t>
        </is>
      </c>
      <c r="G278" t="n">
        <v>3.4</v>
      </c>
      <c r="H278" t="n">
        <v>0</v>
      </c>
      <c r="I278" t="n">
        <v>0</v>
      </c>
      <c r="J278" t="n">
        <v>0</v>
      </c>
      <c r="K278" t="n">
        <v>0</v>
      </c>
      <c r="L278" t="n">
        <v>0</v>
      </c>
      <c r="M278" t="n">
        <v>0</v>
      </c>
      <c r="N278" t="n">
        <v>0</v>
      </c>
      <c r="O278" t="n">
        <v>0</v>
      </c>
      <c r="P278" t="n">
        <v>0</v>
      </c>
      <c r="Q278" t="n">
        <v>0</v>
      </c>
      <c r="R278" s="2" t="inlineStr"/>
    </row>
    <row r="279" ht="15" customHeight="1">
      <c r="A279" t="inlineStr">
        <is>
          <t>A 13601-2025</t>
        </is>
      </c>
      <c r="B279" s="1" t="n">
        <v>45736</v>
      </c>
      <c r="C279" s="1" t="n">
        <v>45999</v>
      </c>
      <c r="D279" t="inlineStr">
        <is>
          <t>VÄSTERBOTTENS LÄN</t>
        </is>
      </c>
      <c r="E279" t="inlineStr">
        <is>
          <t>BJURHOLM</t>
        </is>
      </c>
      <c r="G279" t="n">
        <v>3.5</v>
      </c>
      <c r="H279" t="n">
        <v>0</v>
      </c>
      <c r="I279" t="n">
        <v>0</v>
      </c>
      <c r="J279" t="n">
        <v>0</v>
      </c>
      <c r="K279" t="n">
        <v>0</v>
      </c>
      <c r="L279" t="n">
        <v>0</v>
      </c>
      <c r="M279" t="n">
        <v>0</v>
      </c>
      <c r="N279" t="n">
        <v>0</v>
      </c>
      <c r="O279" t="n">
        <v>0</v>
      </c>
      <c r="P279" t="n">
        <v>0</v>
      </c>
      <c r="Q279" t="n">
        <v>0</v>
      </c>
      <c r="R279" s="2" t="inlineStr"/>
    </row>
    <row r="280" ht="15" customHeight="1">
      <c r="A280" t="inlineStr">
        <is>
          <t>A 52375-2023</t>
        </is>
      </c>
      <c r="B280" s="1" t="n">
        <v>45224.75395833333</v>
      </c>
      <c r="C280" s="1" t="n">
        <v>45999</v>
      </c>
      <c r="D280" t="inlineStr">
        <is>
          <t>VÄSTERBOTTENS LÄN</t>
        </is>
      </c>
      <c r="E280" t="inlineStr">
        <is>
          <t>BJURHOLM</t>
        </is>
      </c>
      <c r="G280" t="n">
        <v>4.5</v>
      </c>
      <c r="H280" t="n">
        <v>0</v>
      </c>
      <c r="I280" t="n">
        <v>0</v>
      </c>
      <c r="J280" t="n">
        <v>0</v>
      </c>
      <c r="K280" t="n">
        <v>0</v>
      </c>
      <c r="L280" t="n">
        <v>0</v>
      </c>
      <c r="M280" t="n">
        <v>0</v>
      </c>
      <c r="N280" t="n">
        <v>0</v>
      </c>
      <c r="O280" t="n">
        <v>0</v>
      </c>
      <c r="P280" t="n">
        <v>0</v>
      </c>
      <c r="Q280" t="n">
        <v>0</v>
      </c>
      <c r="R280" s="2" t="inlineStr"/>
    </row>
    <row r="281" ht="15" customHeight="1">
      <c r="A281" t="inlineStr">
        <is>
          <t>A 1877-2024</t>
        </is>
      </c>
      <c r="B281" s="1" t="n">
        <v>45307</v>
      </c>
      <c r="C281" s="1" t="n">
        <v>45999</v>
      </c>
      <c r="D281" t="inlineStr">
        <is>
          <t>VÄSTERBOTTENS LÄN</t>
        </is>
      </c>
      <c r="E281" t="inlineStr">
        <is>
          <t>BJURHOLM</t>
        </is>
      </c>
      <c r="G281" t="n">
        <v>7.9</v>
      </c>
      <c r="H281" t="n">
        <v>0</v>
      </c>
      <c r="I281" t="n">
        <v>0</v>
      </c>
      <c r="J281" t="n">
        <v>0</v>
      </c>
      <c r="K281" t="n">
        <v>0</v>
      </c>
      <c r="L281" t="n">
        <v>0</v>
      </c>
      <c r="M281" t="n">
        <v>0</v>
      </c>
      <c r="N281" t="n">
        <v>0</v>
      </c>
      <c r="O281" t="n">
        <v>0</v>
      </c>
      <c r="P281" t="n">
        <v>0</v>
      </c>
      <c r="Q281" t="n">
        <v>0</v>
      </c>
      <c r="R281" s="2" t="inlineStr"/>
    </row>
    <row r="282" ht="15" customHeight="1">
      <c r="A282" t="inlineStr">
        <is>
          <t>A 7440-2025</t>
        </is>
      </c>
      <c r="B282" s="1" t="n">
        <v>45705</v>
      </c>
      <c r="C282" s="1" t="n">
        <v>45999</v>
      </c>
      <c r="D282" t="inlineStr">
        <is>
          <t>VÄSTERBOTTENS LÄN</t>
        </is>
      </c>
      <c r="E282" t="inlineStr">
        <is>
          <t>BJURHOLM</t>
        </is>
      </c>
      <c r="G282" t="n">
        <v>4.5</v>
      </c>
      <c r="H282" t="n">
        <v>0</v>
      </c>
      <c r="I282" t="n">
        <v>0</v>
      </c>
      <c r="J282" t="n">
        <v>0</v>
      </c>
      <c r="K282" t="n">
        <v>0</v>
      </c>
      <c r="L282" t="n">
        <v>0</v>
      </c>
      <c r="M282" t="n">
        <v>0</v>
      </c>
      <c r="N282" t="n">
        <v>0</v>
      </c>
      <c r="O282" t="n">
        <v>0</v>
      </c>
      <c r="P282" t="n">
        <v>0</v>
      </c>
      <c r="Q282" t="n">
        <v>0</v>
      </c>
      <c r="R282" s="2" t="inlineStr"/>
    </row>
    <row r="283" ht="15" customHeight="1">
      <c r="A283" t="inlineStr">
        <is>
          <t>A 40142-2023</t>
        </is>
      </c>
      <c r="B283" s="1" t="n">
        <v>45168</v>
      </c>
      <c r="C283" s="1" t="n">
        <v>45999</v>
      </c>
      <c r="D283" t="inlineStr">
        <is>
          <t>VÄSTERBOTTENS LÄN</t>
        </is>
      </c>
      <c r="E283" t="inlineStr">
        <is>
          <t>BJURHOLM</t>
        </is>
      </c>
      <c r="G283" t="n">
        <v>2.3</v>
      </c>
      <c r="H283" t="n">
        <v>0</v>
      </c>
      <c r="I283" t="n">
        <v>0</v>
      </c>
      <c r="J283" t="n">
        <v>0</v>
      </c>
      <c r="K283" t="n">
        <v>0</v>
      </c>
      <c r="L283" t="n">
        <v>0</v>
      </c>
      <c r="M283" t="n">
        <v>0</v>
      </c>
      <c r="N283" t="n">
        <v>0</v>
      </c>
      <c r="O283" t="n">
        <v>0</v>
      </c>
      <c r="P283" t="n">
        <v>0</v>
      </c>
      <c r="Q283" t="n">
        <v>0</v>
      </c>
      <c r="R283" s="2" t="inlineStr"/>
    </row>
    <row r="284" ht="15" customHeight="1">
      <c r="A284" t="inlineStr">
        <is>
          <t>A 8502-2024</t>
        </is>
      </c>
      <c r="B284" s="1" t="n">
        <v>45351</v>
      </c>
      <c r="C284" s="1" t="n">
        <v>45999</v>
      </c>
      <c r="D284" t="inlineStr">
        <is>
          <t>VÄSTERBOTTENS LÄN</t>
        </is>
      </c>
      <c r="E284" t="inlineStr">
        <is>
          <t>BJURHOLM</t>
        </is>
      </c>
      <c r="G284" t="n">
        <v>1</v>
      </c>
      <c r="H284" t="n">
        <v>0</v>
      </c>
      <c r="I284" t="n">
        <v>0</v>
      </c>
      <c r="J284" t="n">
        <v>0</v>
      </c>
      <c r="K284" t="n">
        <v>0</v>
      </c>
      <c r="L284" t="n">
        <v>0</v>
      </c>
      <c r="M284" t="n">
        <v>0</v>
      </c>
      <c r="N284" t="n">
        <v>0</v>
      </c>
      <c r="O284" t="n">
        <v>0</v>
      </c>
      <c r="P284" t="n">
        <v>0</v>
      </c>
      <c r="Q284" t="n">
        <v>0</v>
      </c>
      <c r="R284" s="2" t="inlineStr"/>
    </row>
    <row r="285" ht="15" customHeight="1">
      <c r="A285" t="inlineStr">
        <is>
          <t>A 25801-2024</t>
        </is>
      </c>
      <c r="B285" s="1" t="n">
        <v>45467.35814814815</v>
      </c>
      <c r="C285" s="1" t="n">
        <v>45999</v>
      </c>
      <c r="D285" t="inlineStr">
        <is>
          <t>VÄSTERBOTTENS LÄN</t>
        </is>
      </c>
      <c r="E285" t="inlineStr">
        <is>
          <t>BJURHOLM</t>
        </is>
      </c>
      <c r="F285" t="inlineStr">
        <is>
          <t>Holmen skog AB</t>
        </is>
      </c>
      <c r="G285" t="n">
        <v>3</v>
      </c>
      <c r="H285" t="n">
        <v>0</v>
      </c>
      <c r="I285" t="n">
        <v>0</v>
      </c>
      <c r="J285" t="n">
        <v>0</v>
      </c>
      <c r="K285" t="n">
        <v>0</v>
      </c>
      <c r="L285" t="n">
        <v>0</v>
      </c>
      <c r="M285" t="n">
        <v>0</v>
      </c>
      <c r="N285" t="n">
        <v>0</v>
      </c>
      <c r="O285" t="n">
        <v>0</v>
      </c>
      <c r="P285" t="n">
        <v>0</v>
      </c>
      <c r="Q285" t="n">
        <v>0</v>
      </c>
      <c r="R285" s="2" t="inlineStr"/>
    </row>
    <row r="286" ht="15" customHeight="1">
      <c r="A286" t="inlineStr">
        <is>
          <t>A 8860-2023</t>
        </is>
      </c>
      <c r="B286" s="1" t="n">
        <v>44978.92381944445</v>
      </c>
      <c r="C286" s="1" t="n">
        <v>45999</v>
      </c>
      <c r="D286" t="inlineStr">
        <is>
          <t>VÄSTERBOTTENS LÄN</t>
        </is>
      </c>
      <c r="E286" t="inlineStr">
        <is>
          <t>BJURHOLM</t>
        </is>
      </c>
      <c r="G286" t="n">
        <v>3.4</v>
      </c>
      <c r="H286" t="n">
        <v>0</v>
      </c>
      <c r="I286" t="n">
        <v>0</v>
      </c>
      <c r="J286" t="n">
        <v>0</v>
      </c>
      <c r="K286" t="n">
        <v>0</v>
      </c>
      <c r="L286" t="n">
        <v>0</v>
      </c>
      <c r="M286" t="n">
        <v>0</v>
      </c>
      <c r="N286" t="n">
        <v>0</v>
      </c>
      <c r="O286" t="n">
        <v>0</v>
      </c>
      <c r="P286" t="n">
        <v>0</v>
      </c>
      <c r="Q286" t="n">
        <v>0</v>
      </c>
      <c r="R286" s="2" t="inlineStr"/>
    </row>
    <row r="287" ht="15" customHeight="1">
      <c r="A287" t="inlineStr">
        <is>
          <t>A 22266-2025</t>
        </is>
      </c>
      <c r="B287" s="1" t="n">
        <v>45785.84664351852</v>
      </c>
      <c r="C287" s="1" t="n">
        <v>45999</v>
      </c>
      <c r="D287" t="inlineStr">
        <is>
          <t>VÄSTERBOTTENS LÄN</t>
        </is>
      </c>
      <c r="E287" t="inlineStr">
        <is>
          <t>BJURHOLM</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50727-2024</t>
        </is>
      </c>
      <c r="B288" s="1" t="n">
        <v>45602.38761574074</v>
      </c>
      <c r="C288" s="1" t="n">
        <v>45999</v>
      </c>
      <c r="D288" t="inlineStr">
        <is>
          <t>VÄSTERBOTTENS LÄN</t>
        </is>
      </c>
      <c r="E288" t="inlineStr">
        <is>
          <t>BJURHOLM</t>
        </is>
      </c>
      <c r="G288" t="n">
        <v>0.2</v>
      </c>
      <c r="H288" t="n">
        <v>0</v>
      </c>
      <c r="I288" t="n">
        <v>0</v>
      </c>
      <c r="J288" t="n">
        <v>0</v>
      </c>
      <c r="K288" t="n">
        <v>0</v>
      </c>
      <c r="L288" t="n">
        <v>0</v>
      </c>
      <c r="M288" t="n">
        <v>0</v>
      </c>
      <c r="N288" t="n">
        <v>0</v>
      </c>
      <c r="O288" t="n">
        <v>0</v>
      </c>
      <c r="P288" t="n">
        <v>0</v>
      </c>
      <c r="Q288" t="n">
        <v>0</v>
      </c>
      <c r="R288" s="2" t="inlineStr"/>
    </row>
    <row r="289" ht="15" customHeight="1">
      <c r="A289" t="inlineStr">
        <is>
          <t>A 50729-2024</t>
        </is>
      </c>
      <c r="B289" s="1" t="n">
        <v>45602.38763888889</v>
      </c>
      <c r="C289" s="1" t="n">
        <v>45999</v>
      </c>
      <c r="D289" t="inlineStr">
        <is>
          <t>VÄSTERBOTTENS LÄN</t>
        </is>
      </c>
      <c r="E289" t="inlineStr">
        <is>
          <t>BJURHOLM</t>
        </is>
      </c>
      <c r="G289" t="n">
        <v>2.4</v>
      </c>
      <c r="H289" t="n">
        <v>0</v>
      </c>
      <c r="I289" t="n">
        <v>0</v>
      </c>
      <c r="J289" t="n">
        <v>0</v>
      </c>
      <c r="K289" t="n">
        <v>0</v>
      </c>
      <c r="L289" t="n">
        <v>0</v>
      </c>
      <c r="M289" t="n">
        <v>0</v>
      </c>
      <c r="N289" t="n">
        <v>0</v>
      </c>
      <c r="O289" t="n">
        <v>0</v>
      </c>
      <c r="P289" t="n">
        <v>0</v>
      </c>
      <c r="Q289" t="n">
        <v>0</v>
      </c>
      <c r="R289" s="2" t="inlineStr"/>
    </row>
    <row r="290" ht="15" customHeight="1">
      <c r="A290" t="inlineStr">
        <is>
          <t>A 23974-2022</t>
        </is>
      </c>
      <c r="B290" s="1" t="n">
        <v>44722</v>
      </c>
      <c r="C290" s="1" t="n">
        <v>45999</v>
      </c>
      <c r="D290" t="inlineStr">
        <is>
          <t>VÄSTERBOTTENS LÄN</t>
        </is>
      </c>
      <c r="E290" t="inlineStr">
        <is>
          <t>BJURHOLM</t>
        </is>
      </c>
      <c r="G290" t="n">
        <v>1.1</v>
      </c>
      <c r="H290" t="n">
        <v>0</v>
      </c>
      <c r="I290" t="n">
        <v>0</v>
      </c>
      <c r="J290" t="n">
        <v>0</v>
      </c>
      <c r="K290" t="n">
        <v>0</v>
      </c>
      <c r="L290" t="n">
        <v>0</v>
      </c>
      <c r="M290" t="n">
        <v>0</v>
      </c>
      <c r="N290" t="n">
        <v>0</v>
      </c>
      <c r="O290" t="n">
        <v>0</v>
      </c>
      <c r="P290" t="n">
        <v>0</v>
      </c>
      <c r="Q290" t="n">
        <v>0</v>
      </c>
      <c r="R290" s="2" t="inlineStr"/>
    </row>
    <row r="291" ht="15" customHeight="1">
      <c r="A291" t="inlineStr">
        <is>
          <t>A 1875-2024</t>
        </is>
      </c>
      <c r="B291" s="1" t="n">
        <v>45307.92592592593</v>
      </c>
      <c r="C291" s="1" t="n">
        <v>45999</v>
      </c>
      <c r="D291" t="inlineStr">
        <is>
          <t>VÄSTERBOTTENS LÄN</t>
        </is>
      </c>
      <c r="E291" t="inlineStr">
        <is>
          <t>BJURHOLM</t>
        </is>
      </c>
      <c r="G291" t="n">
        <v>1.1</v>
      </c>
      <c r="H291" t="n">
        <v>0</v>
      </c>
      <c r="I291" t="n">
        <v>0</v>
      </c>
      <c r="J291" t="n">
        <v>0</v>
      </c>
      <c r="K291" t="n">
        <v>0</v>
      </c>
      <c r="L291" t="n">
        <v>0</v>
      </c>
      <c r="M291" t="n">
        <v>0</v>
      </c>
      <c r="N291" t="n">
        <v>0</v>
      </c>
      <c r="O291" t="n">
        <v>0</v>
      </c>
      <c r="P291" t="n">
        <v>0</v>
      </c>
      <c r="Q291" t="n">
        <v>0</v>
      </c>
      <c r="R291" s="2" t="inlineStr"/>
    </row>
    <row r="292" ht="15" customHeight="1">
      <c r="A292" t="inlineStr">
        <is>
          <t>A 17237-2025</t>
        </is>
      </c>
      <c r="B292" s="1" t="n">
        <v>45756.47723379629</v>
      </c>
      <c r="C292" s="1" t="n">
        <v>45999</v>
      </c>
      <c r="D292" t="inlineStr">
        <is>
          <t>VÄSTERBOTTENS LÄN</t>
        </is>
      </c>
      <c r="E292" t="inlineStr">
        <is>
          <t>BJURHOLM</t>
        </is>
      </c>
      <c r="G292" t="n">
        <v>5.9</v>
      </c>
      <c r="H292" t="n">
        <v>0</v>
      </c>
      <c r="I292" t="n">
        <v>0</v>
      </c>
      <c r="J292" t="n">
        <v>0</v>
      </c>
      <c r="K292" t="n">
        <v>0</v>
      </c>
      <c r="L292" t="n">
        <v>0</v>
      </c>
      <c r="M292" t="n">
        <v>0</v>
      </c>
      <c r="N292" t="n">
        <v>0</v>
      </c>
      <c r="O292" t="n">
        <v>0</v>
      </c>
      <c r="P292" t="n">
        <v>0</v>
      </c>
      <c r="Q292" t="n">
        <v>0</v>
      </c>
      <c r="R292" s="2" t="inlineStr"/>
    </row>
    <row r="293" ht="15" customHeight="1">
      <c r="A293" t="inlineStr">
        <is>
          <t>A 57886-2023</t>
        </is>
      </c>
      <c r="B293" s="1" t="n">
        <v>45247.47538194444</v>
      </c>
      <c r="C293" s="1" t="n">
        <v>45999</v>
      </c>
      <c r="D293" t="inlineStr">
        <is>
          <t>VÄSTERBOTTENS LÄN</t>
        </is>
      </c>
      <c r="E293" t="inlineStr">
        <is>
          <t>BJURHOLM</t>
        </is>
      </c>
      <c r="G293" t="n">
        <v>0.3</v>
      </c>
      <c r="H293" t="n">
        <v>0</v>
      </c>
      <c r="I293" t="n">
        <v>0</v>
      </c>
      <c r="J293" t="n">
        <v>0</v>
      </c>
      <c r="K293" t="n">
        <v>0</v>
      </c>
      <c r="L293" t="n">
        <v>0</v>
      </c>
      <c r="M293" t="n">
        <v>0</v>
      </c>
      <c r="N293" t="n">
        <v>0</v>
      </c>
      <c r="O293" t="n">
        <v>0</v>
      </c>
      <c r="P293" t="n">
        <v>0</v>
      </c>
      <c r="Q293" t="n">
        <v>0</v>
      </c>
      <c r="R293" s="2" t="inlineStr"/>
    </row>
    <row r="294" ht="15" customHeight="1">
      <c r="A294" t="inlineStr">
        <is>
          <t>A 11715-2025</t>
        </is>
      </c>
      <c r="B294" s="1" t="n">
        <v>45727.60585648148</v>
      </c>
      <c r="C294" s="1" t="n">
        <v>45999</v>
      </c>
      <c r="D294" t="inlineStr">
        <is>
          <t>VÄSTERBOTTENS LÄN</t>
        </is>
      </c>
      <c r="E294" t="inlineStr">
        <is>
          <t>BJURHOLM</t>
        </is>
      </c>
      <c r="G294" t="n">
        <v>11.3</v>
      </c>
      <c r="H294" t="n">
        <v>0</v>
      </c>
      <c r="I294" t="n">
        <v>0</v>
      </c>
      <c r="J294" t="n">
        <v>0</v>
      </c>
      <c r="K294" t="n">
        <v>0</v>
      </c>
      <c r="L294" t="n">
        <v>0</v>
      </c>
      <c r="M294" t="n">
        <v>0</v>
      </c>
      <c r="N294" t="n">
        <v>0</v>
      </c>
      <c r="O294" t="n">
        <v>0</v>
      </c>
      <c r="P294" t="n">
        <v>0</v>
      </c>
      <c r="Q294" t="n">
        <v>0</v>
      </c>
      <c r="R294" s="2" t="inlineStr"/>
    </row>
    <row r="295" ht="15" customHeight="1">
      <c r="A295" t="inlineStr">
        <is>
          <t>A 80-2025</t>
        </is>
      </c>
      <c r="B295" s="1" t="n">
        <v>45659.44478009259</v>
      </c>
      <c r="C295" s="1" t="n">
        <v>45999</v>
      </c>
      <c r="D295" t="inlineStr">
        <is>
          <t>VÄSTERBOTTENS LÄN</t>
        </is>
      </c>
      <c r="E295" t="inlineStr">
        <is>
          <t>BJURHOLM</t>
        </is>
      </c>
      <c r="G295" t="n">
        <v>5.3</v>
      </c>
      <c r="H295" t="n">
        <v>0</v>
      </c>
      <c r="I295" t="n">
        <v>0</v>
      </c>
      <c r="J295" t="n">
        <v>0</v>
      </c>
      <c r="K295" t="n">
        <v>0</v>
      </c>
      <c r="L295" t="n">
        <v>0</v>
      </c>
      <c r="M295" t="n">
        <v>0</v>
      </c>
      <c r="N295" t="n">
        <v>0</v>
      </c>
      <c r="O295" t="n">
        <v>0</v>
      </c>
      <c r="P295" t="n">
        <v>0</v>
      </c>
      <c r="Q295" t="n">
        <v>0</v>
      </c>
      <c r="R295" s="2" t="inlineStr"/>
    </row>
    <row r="296" ht="15" customHeight="1">
      <c r="A296" t="inlineStr">
        <is>
          <t>A 48314-2024</t>
        </is>
      </c>
      <c r="B296" s="1" t="n">
        <v>45590.48991898148</v>
      </c>
      <c r="C296" s="1" t="n">
        <v>45999</v>
      </c>
      <c r="D296" t="inlineStr">
        <is>
          <t>VÄSTERBOTTENS LÄN</t>
        </is>
      </c>
      <c r="E296" t="inlineStr">
        <is>
          <t>BJURHOLM</t>
        </is>
      </c>
      <c r="G296" t="n">
        <v>3.9</v>
      </c>
      <c r="H296" t="n">
        <v>0</v>
      </c>
      <c r="I296" t="n">
        <v>0</v>
      </c>
      <c r="J296" t="n">
        <v>0</v>
      </c>
      <c r="K296" t="n">
        <v>0</v>
      </c>
      <c r="L296" t="n">
        <v>0</v>
      </c>
      <c r="M296" t="n">
        <v>0</v>
      </c>
      <c r="N296" t="n">
        <v>0</v>
      </c>
      <c r="O296" t="n">
        <v>0</v>
      </c>
      <c r="P296" t="n">
        <v>0</v>
      </c>
      <c r="Q296" t="n">
        <v>0</v>
      </c>
      <c r="R296" s="2" t="inlineStr"/>
    </row>
    <row r="297" ht="15" customHeight="1">
      <c r="A297" t="inlineStr">
        <is>
          <t>A 61151-2024</t>
        </is>
      </c>
      <c r="B297" s="1" t="n">
        <v>45645.58835648148</v>
      </c>
      <c r="C297" s="1" t="n">
        <v>45999</v>
      </c>
      <c r="D297" t="inlineStr">
        <is>
          <t>VÄSTERBOTTENS LÄN</t>
        </is>
      </c>
      <c r="E297" t="inlineStr">
        <is>
          <t>BJURHOLM</t>
        </is>
      </c>
      <c r="G297" t="n">
        <v>8</v>
      </c>
      <c r="H297" t="n">
        <v>0</v>
      </c>
      <c r="I297" t="n">
        <v>0</v>
      </c>
      <c r="J297" t="n">
        <v>0</v>
      </c>
      <c r="K297" t="n">
        <v>0</v>
      </c>
      <c r="L297" t="n">
        <v>0</v>
      </c>
      <c r="M297" t="n">
        <v>0</v>
      </c>
      <c r="N297" t="n">
        <v>0</v>
      </c>
      <c r="O297" t="n">
        <v>0</v>
      </c>
      <c r="P297" t="n">
        <v>0</v>
      </c>
      <c r="Q297" t="n">
        <v>0</v>
      </c>
      <c r="R297" s="2" t="inlineStr"/>
    </row>
    <row r="298" ht="15" customHeight="1">
      <c r="A298" t="inlineStr">
        <is>
          <t>A 53900-2024</t>
        </is>
      </c>
      <c r="B298" s="1" t="n">
        <v>45615</v>
      </c>
      <c r="C298" s="1" t="n">
        <v>45999</v>
      </c>
      <c r="D298" t="inlineStr">
        <is>
          <t>VÄSTERBOTTENS LÄN</t>
        </is>
      </c>
      <c r="E298" t="inlineStr">
        <is>
          <t>BJURHOLM</t>
        </is>
      </c>
      <c r="G298" t="n">
        <v>7.7</v>
      </c>
      <c r="H298" t="n">
        <v>0</v>
      </c>
      <c r="I298" t="n">
        <v>0</v>
      </c>
      <c r="J298" t="n">
        <v>0</v>
      </c>
      <c r="K298" t="n">
        <v>0</v>
      </c>
      <c r="L298" t="n">
        <v>0</v>
      </c>
      <c r="M298" t="n">
        <v>0</v>
      </c>
      <c r="N298" t="n">
        <v>0</v>
      </c>
      <c r="O298" t="n">
        <v>0</v>
      </c>
      <c r="P298" t="n">
        <v>0</v>
      </c>
      <c r="Q298" t="n">
        <v>0</v>
      </c>
      <c r="R298" s="2" t="inlineStr"/>
    </row>
    <row r="299" ht="15" customHeight="1">
      <c r="A299" t="inlineStr">
        <is>
          <t>A 44187-2023</t>
        </is>
      </c>
      <c r="B299" s="1" t="n">
        <v>45183</v>
      </c>
      <c r="C299" s="1" t="n">
        <v>45999</v>
      </c>
      <c r="D299" t="inlineStr">
        <is>
          <t>VÄSTERBOTTENS LÄN</t>
        </is>
      </c>
      <c r="E299" t="inlineStr">
        <is>
          <t>BJURHOLM</t>
        </is>
      </c>
      <c r="G299" t="n">
        <v>1.1</v>
      </c>
      <c r="H299" t="n">
        <v>0</v>
      </c>
      <c r="I299" t="n">
        <v>0</v>
      </c>
      <c r="J299" t="n">
        <v>0</v>
      </c>
      <c r="K299" t="n">
        <v>0</v>
      </c>
      <c r="L299" t="n">
        <v>0</v>
      </c>
      <c r="M299" t="n">
        <v>0</v>
      </c>
      <c r="N299" t="n">
        <v>0</v>
      </c>
      <c r="O299" t="n">
        <v>0</v>
      </c>
      <c r="P299" t="n">
        <v>0</v>
      </c>
      <c r="Q299" t="n">
        <v>0</v>
      </c>
      <c r="R299" s="2" t="inlineStr"/>
    </row>
    <row r="300" ht="15" customHeight="1">
      <c r="A300" t="inlineStr">
        <is>
          <t>A 9688-2024</t>
        </is>
      </c>
      <c r="B300" s="1" t="n">
        <v>45362</v>
      </c>
      <c r="C300" s="1" t="n">
        <v>45999</v>
      </c>
      <c r="D300" t="inlineStr">
        <is>
          <t>VÄSTERBOTTENS LÄN</t>
        </is>
      </c>
      <c r="E300" t="inlineStr">
        <is>
          <t>BJURHOLM</t>
        </is>
      </c>
      <c r="G300" t="n">
        <v>1.9</v>
      </c>
      <c r="H300" t="n">
        <v>0</v>
      </c>
      <c r="I300" t="n">
        <v>0</v>
      </c>
      <c r="J300" t="n">
        <v>0</v>
      </c>
      <c r="K300" t="n">
        <v>0</v>
      </c>
      <c r="L300" t="n">
        <v>0</v>
      </c>
      <c r="M300" t="n">
        <v>0</v>
      </c>
      <c r="N300" t="n">
        <v>0</v>
      </c>
      <c r="O300" t="n">
        <v>0</v>
      </c>
      <c r="P300" t="n">
        <v>0</v>
      </c>
      <c r="Q300" t="n">
        <v>0</v>
      </c>
      <c r="R300" s="2" t="inlineStr"/>
    </row>
    <row r="301" ht="15" customHeight="1">
      <c r="A301" t="inlineStr">
        <is>
          <t>A 25099-2025</t>
        </is>
      </c>
      <c r="B301" s="1" t="n">
        <v>45800</v>
      </c>
      <c r="C301" s="1" t="n">
        <v>45999</v>
      </c>
      <c r="D301" t="inlineStr">
        <is>
          <t>VÄSTERBOTTENS LÄN</t>
        </is>
      </c>
      <c r="E301" t="inlineStr">
        <is>
          <t>BJURHOLM</t>
        </is>
      </c>
      <c r="F301" t="inlineStr">
        <is>
          <t>SCA</t>
        </is>
      </c>
      <c r="G301" t="n">
        <v>7.8</v>
      </c>
      <c r="H301" t="n">
        <v>0</v>
      </c>
      <c r="I301" t="n">
        <v>0</v>
      </c>
      <c r="J301" t="n">
        <v>0</v>
      </c>
      <c r="K301" t="n">
        <v>0</v>
      </c>
      <c r="L301" t="n">
        <v>0</v>
      </c>
      <c r="M301" t="n">
        <v>0</v>
      </c>
      <c r="N301" t="n">
        <v>0</v>
      </c>
      <c r="O301" t="n">
        <v>0</v>
      </c>
      <c r="P301" t="n">
        <v>0</v>
      </c>
      <c r="Q301" t="n">
        <v>0</v>
      </c>
      <c r="R301" s="2" t="inlineStr"/>
    </row>
    <row r="302" ht="15" customHeight="1">
      <c r="A302" t="inlineStr">
        <is>
          <t>A 36104-2025</t>
        </is>
      </c>
      <c r="B302" s="1" t="n">
        <v>45866.55498842592</v>
      </c>
      <c r="C302" s="1" t="n">
        <v>45999</v>
      </c>
      <c r="D302" t="inlineStr">
        <is>
          <t>VÄSTERBOTTENS LÄN</t>
        </is>
      </c>
      <c r="E302" t="inlineStr">
        <is>
          <t>BJURHOLM</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36264-2025</t>
        </is>
      </c>
      <c r="B303" s="1" t="n">
        <v>45867.61530092593</v>
      </c>
      <c r="C303" s="1" t="n">
        <v>45999</v>
      </c>
      <c r="D303" t="inlineStr">
        <is>
          <t>VÄSTERBOTTENS LÄN</t>
        </is>
      </c>
      <c r="E303" t="inlineStr">
        <is>
          <t>BJURHOLM</t>
        </is>
      </c>
      <c r="F303" t="inlineStr">
        <is>
          <t>SCA</t>
        </is>
      </c>
      <c r="G303" t="n">
        <v>4.9</v>
      </c>
      <c r="H303" t="n">
        <v>0</v>
      </c>
      <c r="I303" t="n">
        <v>0</v>
      </c>
      <c r="J303" t="n">
        <v>0</v>
      </c>
      <c r="K303" t="n">
        <v>0</v>
      </c>
      <c r="L303" t="n">
        <v>0</v>
      </c>
      <c r="M303" t="n">
        <v>0</v>
      </c>
      <c r="N303" t="n">
        <v>0</v>
      </c>
      <c r="O303" t="n">
        <v>0</v>
      </c>
      <c r="P303" t="n">
        <v>0</v>
      </c>
      <c r="Q303" t="n">
        <v>0</v>
      </c>
      <c r="R303" s="2" t="inlineStr"/>
    </row>
    <row r="304" ht="15" customHeight="1">
      <c r="A304" t="inlineStr">
        <is>
          <t>A 42536-2024</t>
        </is>
      </c>
      <c r="B304" s="1" t="n">
        <v>45565.58391203704</v>
      </c>
      <c r="C304" s="1" t="n">
        <v>45999</v>
      </c>
      <c r="D304" t="inlineStr">
        <is>
          <t>VÄSTERBOTTENS LÄN</t>
        </is>
      </c>
      <c r="E304" t="inlineStr">
        <is>
          <t>BJURHOLM</t>
        </is>
      </c>
      <c r="G304" t="n">
        <v>5.5</v>
      </c>
      <c r="H304" t="n">
        <v>0</v>
      </c>
      <c r="I304" t="n">
        <v>0</v>
      </c>
      <c r="J304" t="n">
        <v>0</v>
      </c>
      <c r="K304" t="n">
        <v>0</v>
      </c>
      <c r="L304" t="n">
        <v>0</v>
      </c>
      <c r="M304" t="n">
        <v>0</v>
      </c>
      <c r="N304" t="n">
        <v>0</v>
      </c>
      <c r="O304" t="n">
        <v>0</v>
      </c>
      <c r="P304" t="n">
        <v>0</v>
      </c>
      <c r="Q304" t="n">
        <v>0</v>
      </c>
      <c r="R304" s="2" t="inlineStr"/>
    </row>
    <row r="305" ht="15" customHeight="1">
      <c r="A305" t="inlineStr">
        <is>
          <t>A 36901-2025</t>
        </is>
      </c>
      <c r="B305" s="1" t="n">
        <v>45874.48631944445</v>
      </c>
      <c r="C305" s="1" t="n">
        <v>45999</v>
      </c>
      <c r="D305" t="inlineStr">
        <is>
          <t>VÄSTERBOTTENS LÄN</t>
        </is>
      </c>
      <c r="E305" t="inlineStr">
        <is>
          <t>BJURHOLM</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17867-2025</t>
        </is>
      </c>
      <c r="B306" s="1" t="n">
        <v>45758.63064814815</v>
      </c>
      <c r="C306" s="1" t="n">
        <v>45999</v>
      </c>
      <c r="D306" t="inlineStr">
        <is>
          <t>VÄSTERBOTTENS LÄN</t>
        </is>
      </c>
      <c r="E306" t="inlineStr">
        <is>
          <t>BJURHOLM</t>
        </is>
      </c>
      <c r="G306" t="n">
        <v>4.6</v>
      </c>
      <c r="H306" t="n">
        <v>0</v>
      </c>
      <c r="I306" t="n">
        <v>0</v>
      </c>
      <c r="J306" t="n">
        <v>0</v>
      </c>
      <c r="K306" t="n">
        <v>0</v>
      </c>
      <c r="L306" t="n">
        <v>0</v>
      </c>
      <c r="M306" t="n">
        <v>0</v>
      </c>
      <c r="N306" t="n">
        <v>0</v>
      </c>
      <c r="O306" t="n">
        <v>0</v>
      </c>
      <c r="P306" t="n">
        <v>0</v>
      </c>
      <c r="Q306" t="n">
        <v>0</v>
      </c>
      <c r="R306" s="2" t="inlineStr"/>
    </row>
    <row r="307" ht="15" customHeight="1">
      <c r="A307" t="inlineStr">
        <is>
          <t>A 38120-2025</t>
        </is>
      </c>
      <c r="B307" s="1" t="n">
        <v>45882.55125</v>
      </c>
      <c r="C307" s="1" t="n">
        <v>45999</v>
      </c>
      <c r="D307" t="inlineStr">
        <is>
          <t>VÄSTERBOTTENS LÄN</t>
        </is>
      </c>
      <c r="E307" t="inlineStr">
        <is>
          <t>BJURHOLM</t>
        </is>
      </c>
      <c r="G307" t="n">
        <v>3.4</v>
      </c>
      <c r="H307" t="n">
        <v>0</v>
      </c>
      <c r="I307" t="n">
        <v>0</v>
      </c>
      <c r="J307" t="n">
        <v>0</v>
      </c>
      <c r="K307" t="n">
        <v>0</v>
      </c>
      <c r="L307" t="n">
        <v>0</v>
      </c>
      <c r="M307" t="n">
        <v>0</v>
      </c>
      <c r="N307" t="n">
        <v>0</v>
      </c>
      <c r="O307" t="n">
        <v>0</v>
      </c>
      <c r="P307" t="n">
        <v>0</v>
      </c>
      <c r="Q307" t="n">
        <v>0</v>
      </c>
      <c r="R307" s="2" t="inlineStr"/>
    </row>
    <row r="308" ht="15" customHeight="1">
      <c r="A308" t="inlineStr">
        <is>
          <t>A 36809-2025</t>
        </is>
      </c>
      <c r="B308" s="1" t="n">
        <v>45873.71912037037</v>
      </c>
      <c r="C308" s="1" t="n">
        <v>45999</v>
      </c>
      <c r="D308" t="inlineStr">
        <is>
          <t>VÄSTERBOTTENS LÄN</t>
        </is>
      </c>
      <c r="E308" t="inlineStr">
        <is>
          <t>BJURHOLM</t>
        </is>
      </c>
      <c r="F308" t="inlineStr">
        <is>
          <t>SCA</t>
        </is>
      </c>
      <c r="G308" t="n">
        <v>5.3</v>
      </c>
      <c r="H308" t="n">
        <v>0</v>
      </c>
      <c r="I308" t="n">
        <v>0</v>
      </c>
      <c r="J308" t="n">
        <v>0</v>
      </c>
      <c r="K308" t="n">
        <v>0</v>
      </c>
      <c r="L308" t="n">
        <v>0</v>
      </c>
      <c r="M308" t="n">
        <v>0</v>
      </c>
      <c r="N308" t="n">
        <v>0</v>
      </c>
      <c r="O308" t="n">
        <v>0</v>
      </c>
      <c r="P308" t="n">
        <v>0</v>
      </c>
      <c r="Q308" t="n">
        <v>0</v>
      </c>
      <c r="R308" s="2" t="inlineStr"/>
    </row>
    <row r="309" ht="15" customHeight="1">
      <c r="A309" t="inlineStr">
        <is>
          <t>A 22095-2025</t>
        </is>
      </c>
      <c r="B309" s="1" t="n">
        <v>45785.46921296296</v>
      </c>
      <c r="C309" s="1" t="n">
        <v>45999</v>
      </c>
      <c r="D309" t="inlineStr">
        <is>
          <t>VÄSTERBOTTENS LÄN</t>
        </is>
      </c>
      <c r="E309" t="inlineStr">
        <is>
          <t>BJURHOLM</t>
        </is>
      </c>
      <c r="G309" t="n">
        <v>3.6</v>
      </c>
      <c r="H309" t="n">
        <v>0</v>
      </c>
      <c r="I309" t="n">
        <v>0</v>
      </c>
      <c r="J309" t="n">
        <v>0</v>
      </c>
      <c r="K309" t="n">
        <v>0</v>
      </c>
      <c r="L309" t="n">
        <v>0</v>
      </c>
      <c r="M309" t="n">
        <v>0</v>
      </c>
      <c r="N309" t="n">
        <v>0</v>
      </c>
      <c r="O309" t="n">
        <v>0</v>
      </c>
      <c r="P309" t="n">
        <v>0</v>
      </c>
      <c r="Q309" t="n">
        <v>0</v>
      </c>
      <c r="R309" s="2" t="inlineStr"/>
    </row>
    <row r="310" ht="15" customHeight="1">
      <c r="A310" t="inlineStr">
        <is>
          <t>A 46662-2023</t>
        </is>
      </c>
      <c r="B310" s="1" t="n">
        <v>45198.47061342592</v>
      </c>
      <c r="C310" s="1" t="n">
        <v>45999</v>
      </c>
      <c r="D310" t="inlineStr">
        <is>
          <t>VÄSTERBOTTENS LÄN</t>
        </is>
      </c>
      <c r="E310" t="inlineStr">
        <is>
          <t>BJURHOLM</t>
        </is>
      </c>
      <c r="F310" t="inlineStr">
        <is>
          <t>Holmen skog AB</t>
        </is>
      </c>
      <c r="G310" t="n">
        <v>10.1</v>
      </c>
      <c r="H310" t="n">
        <v>0</v>
      </c>
      <c r="I310" t="n">
        <v>0</v>
      </c>
      <c r="J310" t="n">
        <v>0</v>
      </c>
      <c r="K310" t="n">
        <v>0</v>
      </c>
      <c r="L310" t="n">
        <v>0</v>
      </c>
      <c r="M310" t="n">
        <v>0</v>
      </c>
      <c r="N310" t="n">
        <v>0</v>
      </c>
      <c r="O310" t="n">
        <v>0</v>
      </c>
      <c r="P310" t="n">
        <v>0</v>
      </c>
      <c r="Q310" t="n">
        <v>0</v>
      </c>
      <c r="R310" s="2" t="inlineStr"/>
    </row>
    <row r="311" ht="15" customHeight="1">
      <c r="A311" t="inlineStr">
        <is>
          <t>A 7723-2024</t>
        </is>
      </c>
      <c r="B311" s="1" t="n">
        <v>45348</v>
      </c>
      <c r="C311" s="1" t="n">
        <v>45999</v>
      </c>
      <c r="D311" t="inlineStr">
        <is>
          <t>VÄSTERBOTTENS LÄN</t>
        </is>
      </c>
      <c r="E311" t="inlineStr">
        <is>
          <t>BJURHOLM</t>
        </is>
      </c>
      <c r="G311" t="n">
        <v>2.6</v>
      </c>
      <c r="H311" t="n">
        <v>0</v>
      </c>
      <c r="I311" t="n">
        <v>0</v>
      </c>
      <c r="J311" t="n">
        <v>0</v>
      </c>
      <c r="K311" t="n">
        <v>0</v>
      </c>
      <c r="L311" t="n">
        <v>0</v>
      </c>
      <c r="M311" t="n">
        <v>0</v>
      </c>
      <c r="N311" t="n">
        <v>0</v>
      </c>
      <c r="O311" t="n">
        <v>0</v>
      </c>
      <c r="P311" t="n">
        <v>0</v>
      </c>
      <c r="Q311" t="n">
        <v>0</v>
      </c>
      <c r="R311" s="2" t="inlineStr"/>
    </row>
    <row r="312" ht="15" customHeight="1">
      <c r="A312" t="inlineStr">
        <is>
          <t>A 23074-2025</t>
        </is>
      </c>
      <c r="B312" s="1" t="n">
        <v>45790</v>
      </c>
      <c r="C312" s="1" t="n">
        <v>45999</v>
      </c>
      <c r="D312" t="inlineStr">
        <is>
          <t>VÄSTERBOTTENS LÄN</t>
        </is>
      </c>
      <c r="E312" t="inlineStr">
        <is>
          <t>BJURHOLM</t>
        </is>
      </c>
      <c r="G312" t="n">
        <v>0.7</v>
      </c>
      <c r="H312" t="n">
        <v>0</v>
      </c>
      <c r="I312" t="n">
        <v>0</v>
      </c>
      <c r="J312" t="n">
        <v>0</v>
      </c>
      <c r="K312" t="n">
        <v>0</v>
      </c>
      <c r="L312" t="n">
        <v>0</v>
      </c>
      <c r="M312" t="n">
        <v>0</v>
      </c>
      <c r="N312" t="n">
        <v>0</v>
      </c>
      <c r="O312" t="n">
        <v>0</v>
      </c>
      <c r="P312" t="n">
        <v>0</v>
      </c>
      <c r="Q312" t="n">
        <v>0</v>
      </c>
      <c r="R312" s="2" t="inlineStr"/>
    </row>
    <row r="313" ht="15" customHeight="1">
      <c r="A313" t="inlineStr">
        <is>
          <t>A 36996-2025</t>
        </is>
      </c>
      <c r="B313" s="1" t="n">
        <v>45874.67782407408</v>
      </c>
      <c r="C313" s="1" t="n">
        <v>45999</v>
      </c>
      <c r="D313" t="inlineStr">
        <is>
          <t>VÄSTERBOTTENS LÄN</t>
        </is>
      </c>
      <c r="E313" t="inlineStr">
        <is>
          <t>BJURHOLM</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37007-2025</t>
        </is>
      </c>
      <c r="B314" s="1" t="n">
        <v>45874.69827546296</v>
      </c>
      <c r="C314" s="1" t="n">
        <v>45999</v>
      </c>
      <c r="D314" t="inlineStr">
        <is>
          <t>VÄSTERBOTTENS LÄN</t>
        </is>
      </c>
      <c r="E314" t="inlineStr">
        <is>
          <t>BJURHOLM</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62581-2022</t>
        </is>
      </c>
      <c r="B315" s="1" t="n">
        <v>44924</v>
      </c>
      <c r="C315" s="1" t="n">
        <v>45999</v>
      </c>
      <c r="D315" t="inlineStr">
        <is>
          <t>VÄSTERBOTTENS LÄN</t>
        </is>
      </c>
      <c r="E315" t="inlineStr">
        <is>
          <t>BJURHOLM</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37199-2025</t>
        </is>
      </c>
      <c r="B316" s="1" t="n">
        <v>45875.67760416667</v>
      </c>
      <c r="C316" s="1" t="n">
        <v>45999</v>
      </c>
      <c r="D316" t="inlineStr">
        <is>
          <t>VÄSTERBOTTENS LÄN</t>
        </is>
      </c>
      <c r="E316" t="inlineStr">
        <is>
          <t>BJURHOLM</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37046-2025</t>
        </is>
      </c>
      <c r="B317" s="1" t="n">
        <v>45875.34476851852</v>
      </c>
      <c r="C317" s="1" t="n">
        <v>45999</v>
      </c>
      <c r="D317" t="inlineStr">
        <is>
          <t>VÄSTERBOTTENS LÄN</t>
        </is>
      </c>
      <c r="E317" t="inlineStr">
        <is>
          <t>BJURHOLM</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38426-2025</t>
        </is>
      </c>
      <c r="B318" s="1" t="n">
        <v>45883.63590277778</v>
      </c>
      <c r="C318" s="1" t="n">
        <v>45999</v>
      </c>
      <c r="D318" t="inlineStr">
        <is>
          <t>VÄSTERBOTTENS LÄN</t>
        </is>
      </c>
      <c r="E318" t="inlineStr">
        <is>
          <t>BJURHOLM</t>
        </is>
      </c>
      <c r="F318" t="inlineStr">
        <is>
          <t>SCA</t>
        </is>
      </c>
      <c r="G318" t="n">
        <v>3.9</v>
      </c>
      <c r="H318" t="n">
        <v>0</v>
      </c>
      <c r="I318" t="n">
        <v>0</v>
      </c>
      <c r="J318" t="n">
        <v>0</v>
      </c>
      <c r="K318" t="n">
        <v>0</v>
      </c>
      <c r="L318" t="n">
        <v>0</v>
      </c>
      <c r="M318" t="n">
        <v>0</v>
      </c>
      <c r="N318" t="n">
        <v>0</v>
      </c>
      <c r="O318" t="n">
        <v>0</v>
      </c>
      <c r="P318" t="n">
        <v>0</v>
      </c>
      <c r="Q318" t="n">
        <v>0</v>
      </c>
      <c r="R318" s="2" t="inlineStr"/>
    </row>
    <row r="319" ht="15" customHeight="1">
      <c r="A319" t="inlineStr">
        <is>
          <t>A 38444-2025</t>
        </is>
      </c>
      <c r="B319" s="1" t="n">
        <v>45883.65666666667</v>
      </c>
      <c r="C319" s="1" t="n">
        <v>45999</v>
      </c>
      <c r="D319" t="inlineStr">
        <is>
          <t>VÄSTERBOTTENS LÄN</t>
        </is>
      </c>
      <c r="E319" t="inlineStr">
        <is>
          <t>BJURHOLM</t>
        </is>
      </c>
      <c r="F319" t="inlineStr">
        <is>
          <t>SCA</t>
        </is>
      </c>
      <c r="G319" t="n">
        <v>3.6</v>
      </c>
      <c r="H319" t="n">
        <v>0</v>
      </c>
      <c r="I319" t="n">
        <v>0</v>
      </c>
      <c r="J319" t="n">
        <v>0</v>
      </c>
      <c r="K319" t="n">
        <v>0</v>
      </c>
      <c r="L319" t="n">
        <v>0</v>
      </c>
      <c r="M319" t="n">
        <v>0</v>
      </c>
      <c r="N319" t="n">
        <v>0</v>
      </c>
      <c r="O319" t="n">
        <v>0</v>
      </c>
      <c r="P319" t="n">
        <v>0</v>
      </c>
      <c r="Q319" t="n">
        <v>0</v>
      </c>
      <c r="R319" s="2" t="inlineStr"/>
    </row>
    <row r="320" ht="15" customHeight="1">
      <c r="A320" t="inlineStr">
        <is>
          <t>A 37928-2025</t>
        </is>
      </c>
      <c r="B320" s="1" t="n">
        <v>45880</v>
      </c>
      <c r="C320" s="1" t="n">
        <v>45999</v>
      </c>
      <c r="D320" t="inlineStr">
        <is>
          <t>VÄSTERBOTTENS LÄN</t>
        </is>
      </c>
      <c r="E320" t="inlineStr">
        <is>
          <t>BJURHOLM</t>
        </is>
      </c>
      <c r="G320" t="n">
        <v>16.5</v>
      </c>
      <c r="H320" t="n">
        <v>0</v>
      </c>
      <c r="I320" t="n">
        <v>0</v>
      </c>
      <c r="J320" t="n">
        <v>0</v>
      </c>
      <c r="K320" t="n">
        <v>0</v>
      </c>
      <c r="L320" t="n">
        <v>0</v>
      </c>
      <c r="M320" t="n">
        <v>0</v>
      </c>
      <c r="N320" t="n">
        <v>0</v>
      </c>
      <c r="O320" t="n">
        <v>0</v>
      </c>
      <c r="P320" t="n">
        <v>0</v>
      </c>
      <c r="Q320" t="n">
        <v>0</v>
      </c>
      <c r="R320" s="2" t="inlineStr"/>
    </row>
    <row r="321" ht="15" customHeight="1">
      <c r="A321" t="inlineStr">
        <is>
          <t>A 37881-2025</t>
        </is>
      </c>
      <c r="B321" s="1" t="n">
        <v>45880</v>
      </c>
      <c r="C321" s="1" t="n">
        <v>45999</v>
      </c>
      <c r="D321" t="inlineStr">
        <is>
          <t>VÄSTERBOTTENS LÄN</t>
        </is>
      </c>
      <c r="E321" t="inlineStr">
        <is>
          <t>BJURHOLM</t>
        </is>
      </c>
      <c r="G321" t="n">
        <v>8</v>
      </c>
      <c r="H321" t="n">
        <v>0</v>
      </c>
      <c r="I321" t="n">
        <v>0</v>
      </c>
      <c r="J321" t="n">
        <v>0</v>
      </c>
      <c r="K321" t="n">
        <v>0</v>
      </c>
      <c r="L321" t="n">
        <v>0</v>
      </c>
      <c r="M321" t="n">
        <v>0</v>
      </c>
      <c r="N321" t="n">
        <v>0</v>
      </c>
      <c r="O321" t="n">
        <v>0</v>
      </c>
      <c r="P321" t="n">
        <v>0</v>
      </c>
      <c r="Q321" t="n">
        <v>0</v>
      </c>
      <c r="R321" s="2" t="inlineStr"/>
    </row>
    <row r="322" ht="15" customHeight="1">
      <c r="A322" t="inlineStr">
        <is>
          <t>A 37943-2025</t>
        </is>
      </c>
      <c r="B322" s="1" t="n">
        <v>45880</v>
      </c>
      <c r="C322" s="1" t="n">
        <v>45999</v>
      </c>
      <c r="D322" t="inlineStr">
        <is>
          <t>VÄSTERBOTTENS LÄN</t>
        </is>
      </c>
      <c r="E322" t="inlineStr">
        <is>
          <t>BJURHOLM</t>
        </is>
      </c>
      <c r="G322" t="n">
        <v>6.9</v>
      </c>
      <c r="H322" t="n">
        <v>0</v>
      </c>
      <c r="I322" t="n">
        <v>0</v>
      </c>
      <c r="J322" t="n">
        <v>0</v>
      </c>
      <c r="K322" t="n">
        <v>0</v>
      </c>
      <c r="L322" t="n">
        <v>0</v>
      </c>
      <c r="M322" t="n">
        <v>0</v>
      </c>
      <c r="N322" t="n">
        <v>0</v>
      </c>
      <c r="O322" t="n">
        <v>0</v>
      </c>
      <c r="P322" t="n">
        <v>0</v>
      </c>
      <c r="Q322" t="n">
        <v>0</v>
      </c>
      <c r="R322" s="2" t="inlineStr"/>
    </row>
    <row r="323" ht="15" customHeight="1">
      <c r="A323" t="inlineStr">
        <is>
          <t>A 37926-2025</t>
        </is>
      </c>
      <c r="B323" s="1" t="n">
        <v>45880</v>
      </c>
      <c r="C323" s="1" t="n">
        <v>45999</v>
      </c>
      <c r="D323" t="inlineStr">
        <is>
          <t>VÄSTERBOTTENS LÄN</t>
        </is>
      </c>
      <c r="E323" t="inlineStr">
        <is>
          <t>BJURHOLM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37756-2025</t>
        </is>
      </c>
      <c r="B324" s="1" t="n">
        <v>45880.67780092593</v>
      </c>
      <c r="C324" s="1" t="n">
        <v>45999</v>
      </c>
      <c r="D324" t="inlineStr">
        <is>
          <t>VÄSTERBOTTENS LÄN</t>
        </is>
      </c>
      <c r="E324" t="inlineStr">
        <is>
          <t>BJURHOLM</t>
        </is>
      </c>
      <c r="F324" t="inlineStr">
        <is>
          <t>SCA</t>
        </is>
      </c>
      <c r="G324" t="n">
        <v>4.6</v>
      </c>
      <c r="H324" t="n">
        <v>0</v>
      </c>
      <c r="I324" t="n">
        <v>0</v>
      </c>
      <c r="J324" t="n">
        <v>0</v>
      </c>
      <c r="K324" t="n">
        <v>0</v>
      </c>
      <c r="L324" t="n">
        <v>0</v>
      </c>
      <c r="M324" t="n">
        <v>0</v>
      </c>
      <c r="N324" t="n">
        <v>0</v>
      </c>
      <c r="O324" t="n">
        <v>0</v>
      </c>
      <c r="P324" t="n">
        <v>0</v>
      </c>
      <c r="Q324" t="n">
        <v>0</v>
      </c>
      <c r="R324" s="2" t="inlineStr"/>
    </row>
    <row r="325" ht="15" customHeight="1">
      <c r="A325" t="inlineStr">
        <is>
          <t>A 39136-2025</t>
        </is>
      </c>
      <c r="B325" s="1" t="n">
        <v>45888.59417824074</v>
      </c>
      <c r="C325" s="1" t="n">
        <v>45999</v>
      </c>
      <c r="D325" t="inlineStr">
        <is>
          <t>VÄSTERBOTTENS LÄN</t>
        </is>
      </c>
      <c r="E325" t="inlineStr">
        <is>
          <t>BJURHOLM</t>
        </is>
      </c>
      <c r="F325" t="inlineStr">
        <is>
          <t>SCA</t>
        </is>
      </c>
      <c r="G325" t="n">
        <v>17.8</v>
      </c>
      <c r="H325" t="n">
        <v>0</v>
      </c>
      <c r="I325" t="n">
        <v>0</v>
      </c>
      <c r="J325" t="n">
        <v>0</v>
      </c>
      <c r="K325" t="n">
        <v>0</v>
      </c>
      <c r="L325" t="n">
        <v>0</v>
      </c>
      <c r="M325" t="n">
        <v>0</v>
      </c>
      <c r="N325" t="n">
        <v>0</v>
      </c>
      <c r="O325" t="n">
        <v>0</v>
      </c>
      <c r="P325" t="n">
        <v>0</v>
      </c>
      <c r="Q325" t="n">
        <v>0</v>
      </c>
      <c r="R325" s="2" t="inlineStr"/>
    </row>
    <row r="326" ht="15" customHeight="1">
      <c r="A326" t="inlineStr">
        <is>
          <t>A 37940-2025</t>
        </is>
      </c>
      <c r="B326" s="1" t="n">
        <v>45880</v>
      </c>
      <c r="C326" s="1" t="n">
        <v>45999</v>
      </c>
      <c r="D326" t="inlineStr">
        <is>
          <t>VÄSTERBOTTENS LÄN</t>
        </is>
      </c>
      <c r="E326" t="inlineStr">
        <is>
          <t>BJURHOLM</t>
        </is>
      </c>
      <c r="G326" t="n">
        <v>2.5</v>
      </c>
      <c r="H326" t="n">
        <v>0</v>
      </c>
      <c r="I326" t="n">
        <v>0</v>
      </c>
      <c r="J326" t="n">
        <v>0</v>
      </c>
      <c r="K326" t="n">
        <v>0</v>
      </c>
      <c r="L326" t="n">
        <v>0</v>
      </c>
      <c r="M326" t="n">
        <v>0</v>
      </c>
      <c r="N326" t="n">
        <v>0</v>
      </c>
      <c r="O326" t="n">
        <v>0</v>
      </c>
      <c r="P326" t="n">
        <v>0</v>
      </c>
      <c r="Q326" t="n">
        <v>0</v>
      </c>
      <c r="R326" s="2" t="inlineStr"/>
    </row>
    <row r="327" ht="15" customHeight="1">
      <c r="A327" t="inlineStr">
        <is>
          <t>A 38146-2025</t>
        </is>
      </c>
      <c r="B327" s="1" t="n">
        <v>45882.58627314815</v>
      </c>
      <c r="C327" s="1" t="n">
        <v>45999</v>
      </c>
      <c r="D327" t="inlineStr">
        <is>
          <t>VÄSTERBOTTENS LÄN</t>
        </is>
      </c>
      <c r="E327" t="inlineStr">
        <is>
          <t>BJURHOLM</t>
        </is>
      </c>
      <c r="G327" t="n">
        <v>0.9</v>
      </c>
      <c r="H327" t="n">
        <v>0</v>
      </c>
      <c r="I327" t="n">
        <v>0</v>
      </c>
      <c r="J327" t="n">
        <v>0</v>
      </c>
      <c r="K327" t="n">
        <v>0</v>
      </c>
      <c r="L327" t="n">
        <v>0</v>
      </c>
      <c r="M327" t="n">
        <v>0</v>
      </c>
      <c r="N327" t="n">
        <v>0</v>
      </c>
      <c r="O327" t="n">
        <v>0</v>
      </c>
      <c r="P327" t="n">
        <v>0</v>
      </c>
      <c r="Q327" t="n">
        <v>0</v>
      </c>
      <c r="R327" s="2" t="inlineStr"/>
    </row>
    <row r="328" ht="15" customHeight="1">
      <c r="A328" t="inlineStr">
        <is>
          <t>A 38818-2025</t>
        </is>
      </c>
      <c r="B328" s="1" t="n">
        <v>45887.49842592593</v>
      </c>
      <c r="C328" s="1" t="n">
        <v>45999</v>
      </c>
      <c r="D328" t="inlineStr">
        <is>
          <t>VÄSTERBOTTENS LÄN</t>
        </is>
      </c>
      <c r="E328" t="inlineStr">
        <is>
          <t>BJURHOLM</t>
        </is>
      </c>
      <c r="G328" t="n">
        <v>2.8</v>
      </c>
      <c r="H328" t="n">
        <v>0</v>
      </c>
      <c r="I328" t="n">
        <v>0</v>
      </c>
      <c r="J328" t="n">
        <v>0</v>
      </c>
      <c r="K328" t="n">
        <v>0</v>
      </c>
      <c r="L328" t="n">
        <v>0</v>
      </c>
      <c r="M328" t="n">
        <v>0</v>
      </c>
      <c r="N328" t="n">
        <v>0</v>
      </c>
      <c r="O328" t="n">
        <v>0</v>
      </c>
      <c r="P328" t="n">
        <v>0</v>
      </c>
      <c r="Q328" t="n">
        <v>0</v>
      </c>
      <c r="R328" s="2" t="inlineStr"/>
    </row>
    <row r="329" ht="15" customHeight="1">
      <c r="A329" t="inlineStr">
        <is>
          <t>A 37826-2025</t>
        </is>
      </c>
      <c r="B329" s="1" t="n">
        <v>45881.40806712963</v>
      </c>
      <c r="C329" s="1" t="n">
        <v>45999</v>
      </c>
      <c r="D329" t="inlineStr">
        <is>
          <t>VÄSTERBOTTENS LÄN</t>
        </is>
      </c>
      <c r="E329" t="inlineStr">
        <is>
          <t>BJURHOLM</t>
        </is>
      </c>
      <c r="G329" t="n">
        <v>6</v>
      </c>
      <c r="H329" t="n">
        <v>0</v>
      </c>
      <c r="I329" t="n">
        <v>0</v>
      </c>
      <c r="J329" t="n">
        <v>0</v>
      </c>
      <c r="K329" t="n">
        <v>0</v>
      </c>
      <c r="L329" t="n">
        <v>0</v>
      </c>
      <c r="M329" t="n">
        <v>0</v>
      </c>
      <c r="N329" t="n">
        <v>0</v>
      </c>
      <c r="O329" t="n">
        <v>0</v>
      </c>
      <c r="P329" t="n">
        <v>0</v>
      </c>
      <c r="Q329" t="n">
        <v>0</v>
      </c>
      <c r="R329" s="2" t="inlineStr"/>
    </row>
    <row r="330" ht="15" customHeight="1">
      <c r="A330" t="inlineStr">
        <is>
          <t>A 37829-2025</t>
        </is>
      </c>
      <c r="B330" s="1" t="n">
        <v>45881.41208333334</v>
      </c>
      <c r="C330" s="1" t="n">
        <v>45999</v>
      </c>
      <c r="D330" t="inlineStr">
        <is>
          <t>VÄSTERBOTTENS LÄN</t>
        </is>
      </c>
      <c r="E330" t="inlineStr">
        <is>
          <t>BJURHOLM</t>
        </is>
      </c>
      <c r="G330" t="n">
        <v>5.6</v>
      </c>
      <c r="H330" t="n">
        <v>0</v>
      </c>
      <c r="I330" t="n">
        <v>0</v>
      </c>
      <c r="J330" t="n">
        <v>0</v>
      </c>
      <c r="K330" t="n">
        <v>0</v>
      </c>
      <c r="L330" t="n">
        <v>0</v>
      </c>
      <c r="M330" t="n">
        <v>0</v>
      </c>
      <c r="N330" t="n">
        <v>0</v>
      </c>
      <c r="O330" t="n">
        <v>0</v>
      </c>
      <c r="P330" t="n">
        <v>0</v>
      </c>
      <c r="Q330" t="n">
        <v>0</v>
      </c>
      <c r="R330" s="2" t="inlineStr"/>
    </row>
    <row r="331" ht="15" customHeight="1">
      <c r="A331" t="inlineStr">
        <is>
          <t>A 38006-2025</t>
        </is>
      </c>
      <c r="B331" s="1" t="n">
        <v>45882.28542824074</v>
      </c>
      <c r="C331" s="1" t="n">
        <v>45999</v>
      </c>
      <c r="D331" t="inlineStr">
        <is>
          <t>VÄSTERBOTTENS LÄN</t>
        </is>
      </c>
      <c r="E331" t="inlineStr">
        <is>
          <t>BJURHOLM</t>
        </is>
      </c>
      <c r="G331" t="n">
        <v>0.9</v>
      </c>
      <c r="H331" t="n">
        <v>0</v>
      </c>
      <c r="I331" t="n">
        <v>0</v>
      </c>
      <c r="J331" t="n">
        <v>0</v>
      </c>
      <c r="K331" t="n">
        <v>0</v>
      </c>
      <c r="L331" t="n">
        <v>0</v>
      </c>
      <c r="M331" t="n">
        <v>0</v>
      </c>
      <c r="N331" t="n">
        <v>0</v>
      </c>
      <c r="O331" t="n">
        <v>0</v>
      </c>
      <c r="P331" t="n">
        <v>0</v>
      </c>
      <c r="Q331" t="n">
        <v>0</v>
      </c>
      <c r="R331" s="2" t="inlineStr"/>
    </row>
    <row r="332" ht="15" customHeight="1">
      <c r="A332" t="inlineStr">
        <is>
          <t>A 38177-2025</t>
        </is>
      </c>
      <c r="B332" s="1" t="n">
        <v>45882.63927083334</v>
      </c>
      <c r="C332" s="1" t="n">
        <v>45999</v>
      </c>
      <c r="D332" t="inlineStr">
        <is>
          <t>VÄSTERBOTTENS LÄN</t>
        </is>
      </c>
      <c r="E332" t="inlineStr">
        <is>
          <t>BJURHOLM</t>
        </is>
      </c>
      <c r="G332" t="n">
        <v>14.2</v>
      </c>
      <c r="H332" t="n">
        <v>0</v>
      </c>
      <c r="I332" t="n">
        <v>0</v>
      </c>
      <c r="J332" t="n">
        <v>0</v>
      </c>
      <c r="K332" t="n">
        <v>0</v>
      </c>
      <c r="L332" t="n">
        <v>0</v>
      </c>
      <c r="M332" t="n">
        <v>0</v>
      </c>
      <c r="N332" t="n">
        <v>0</v>
      </c>
      <c r="O332" t="n">
        <v>0</v>
      </c>
      <c r="P332" t="n">
        <v>0</v>
      </c>
      <c r="Q332" t="n">
        <v>0</v>
      </c>
      <c r="R332" s="2" t="inlineStr"/>
    </row>
    <row r="333" ht="15" customHeight="1">
      <c r="A333" t="inlineStr">
        <is>
          <t>A 37888-2025</t>
        </is>
      </c>
      <c r="B333" s="1" t="n">
        <v>45881.51483796296</v>
      </c>
      <c r="C333" s="1" t="n">
        <v>45999</v>
      </c>
      <c r="D333" t="inlineStr">
        <is>
          <t>VÄSTERBOTTENS LÄN</t>
        </is>
      </c>
      <c r="E333" t="inlineStr">
        <is>
          <t>BJURHOLM</t>
        </is>
      </c>
      <c r="G333" t="n">
        <v>4.3</v>
      </c>
      <c r="H333" t="n">
        <v>0</v>
      </c>
      <c r="I333" t="n">
        <v>0</v>
      </c>
      <c r="J333" t="n">
        <v>0</v>
      </c>
      <c r="K333" t="n">
        <v>0</v>
      </c>
      <c r="L333" t="n">
        <v>0</v>
      </c>
      <c r="M333" t="n">
        <v>0</v>
      </c>
      <c r="N333" t="n">
        <v>0</v>
      </c>
      <c r="O333" t="n">
        <v>0</v>
      </c>
      <c r="P333" t="n">
        <v>0</v>
      </c>
      <c r="Q333" t="n">
        <v>0</v>
      </c>
      <c r="R333" s="2" t="inlineStr"/>
    </row>
    <row r="334" ht="15" customHeight="1">
      <c r="A334" t="inlineStr">
        <is>
          <t>A 32131-2025</t>
        </is>
      </c>
      <c r="B334" s="1" t="n">
        <v>45835.50796296296</v>
      </c>
      <c r="C334" s="1" t="n">
        <v>45999</v>
      </c>
      <c r="D334" t="inlineStr">
        <is>
          <t>VÄSTERBOTTENS LÄN</t>
        </is>
      </c>
      <c r="E334" t="inlineStr">
        <is>
          <t>BJURHOLM</t>
        </is>
      </c>
      <c r="G334" t="n">
        <v>2.5</v>
      </c>
      <c r="H334" t="n">
        <v>0</v>
      </c>
      <c r="I334" t="n">
        <v>0</v>
      </c>
      <c r="J334" t="n">
        <v>0</v>
      </c>
      <c r="K334" t="n">
        <v>0</v>
      </c>
      <c r="L334" t="n">
        <v>0</v>
      </c>
      <c r="M334" t="n">
        <v>0</v>
      </c>
      <c r="N334" t="n">
        <v>0</v>
      </c>
      <c r="O334" t="n">
        <v>0</v>
      </c>
      <c r="P334" t="n">
        <v>0</v>
      </c>
      <c r="Q334" t="n">
        <v>0</v>
      </c>
      <c r="R334" s="2" t="inlineStr"/>
    </row>
    <row r="335" ht="15" customHeight="1">
      <c r="A335" t="inlineStr">
        <is>
          <t>A 46884-2025</t>
        </is>
      </c>
      <c r="B335" s="1" t="n">
        <v>45929.36494212963</v>
      </c>
      <c r="C335" s="1" t="n">
        <v>45999</v>
      </c>
      <c r="D335" t="inlineStr">
        <is>
          <t>VÄSTERBOTTENS LÄN</t>
        </is>
      </c>
      <c r="E335" t="inlineStr">
        <is>
          <t>BJURHOLM</t>
        </is>
      </c>
      <c r="G335" t="n">
        <v>0.5</v>
      </c>
      <c r="H335" t="n">
        <v>0</v>
      </c>
      <c r="I335" t="n">
        <v>0</v>
      </c>
      <c r="J335" t="n">
        <v>0</v>
      </c>
      <c r="K335" t="n">
        <v>0</v>
      </c>
      <c r="L335" t="n">
        <v>0</v>
      </c>
      <c r="M335" t="n">
        <v>0</v>
      </c>
      <c r="N335" t="n">
        <v>0</v>
      </c>
      <c r="O335" t="n">
        <v>0</v>
      </c>
      <c r="P335" t="n">
        <v>0</v>
      </c>
      <c r="Q335" t="n">
        <v>0</v>
      </c>
      <c r="R335" s="2" t="inlineStr"/>
    </row>
    <row r="336" ht="15" customHeight="1">
      <c r="A336" t="inlineStr">
        <is>
          <t>A 46885-2025</t>
        </is>
      </c>
      <c r="B336" s="1" t="n">
        <v>45929.36496527777</v>
      </c>
      <c r="C336" s="1" t="n">
        <v>45999</v>
      </c>
      <c r="D336" t="inlineStr">
        <is>
          <t>VÄSTERBOTTENS LÄN</t>
        </is>
      </c>
      <c r="E336" t="inlineStr">
        <is>
          <t>BJURHOLM</t>
        </is>
      </c>
      <c r="G336" t="n">
        <v>1</v>
      </c>
      <c r="H336" t="n">
        <v>0</v>
      </c>
      <c r="I336" t="n">
        <v>0</v>
      </c>
      <c r="J336" t="n">
        <v>0</v>
      </c>
      <c r="K336" t="n">
        <v>0</v>
      </c>
      <c r="L336" t="n">
        <v>0</v>
      </c>
      <c r="M336" t="n">
        <v>0</v>
      </c>
      <c r="N336" t="n">
        <v>0</v>
      </c>
      <c r="O336" t="n">
        <v>0</v>
      </c>
      <c r="P336" t="n">
        <v>0</v>
      </c>
      <c r="Q336" t="n">
        <v>0</v>
      </c>
      <c r="R336" s="2" t="inlineStr"/>
    </row>
    <row r="337" ht="15" customHeight="1">
      <c r="A337" t="inlineStr">
        <is>
          <t>A 39410-2025</t>
        </is>
      </c>
      <c r="B337" s="1" t="n">
        <v>45889.65439814814</v>
      </c>
      <c r="C337" s="1" t="n">
        <v>45999</v>
      </c>
      <c r="D337" t="inlineStr">
        <is>
          <t>VÄSTERBOTTENS LÄN</t>
        </is>
      </c>
      <c r="E337" t="inlineStr">
        <is>
          <t>BJURHOLM</t>
        </is>
      </c>
      <c r="F337" t="inlineStr">
        <is>
          <t>Holmen skog AB</t>
        </is>
      </c>
      <c r="G337" t="n">
        <v>3.8</v>
      </c>
      <c r="H337" t="n">
        <v>0</v>
      </c>
      <c r="I337" t="n">
        <v>0</v>
      </c>
      <c r="J337" t="n">
        <v>0</v>
      </c>
      <c r="K337" t="n">
        <v>0</v>
      </c>
      <c r="L337" t="n">
        <v>0</v>
      </c>
      <c r="M337" t="n">
        <v>0</v>
      </c>
      <c r="N337" t="n">
        <v>0</v>
      </c>
      <c r="O337" t="n">
        <v>0</v>
      </c>
      <c r="P337" t="n">
        <v>0</v>
      </c>
      <c r="Q337" t="n">
        <v>0</v>
      </c>
      <c r="R337" s="2" t="inlineStr"/>
    </row>
    <row r="338" ht="15" customHeight="1">
      <c r="A338" t="inlineStr">
        <is>
          <t>A 39255-2025</t>
        </is>
      </c>
      <c r="B338" s="1" t="n">
        <v>45889.36472222222</v>
      </c>
      <c r="C338" s="1" t="n">
        <v>45999</v>
      </c>
      <c r="D338" t="inlineStr">
        <is>
          <t>VÄSTERBOTTENS LÄN</t>
        </is>
      </c>
      <c r="E338" t="inlineStr">
        <is>
          <t>BJURHOLM</t>
        </is>
      </c>
      <c r="G338" t="n">
        <v>2.1</v>
      </c>
      <c r="H338" t="n">
        <v>0</v>
      </c>
      <c r="I338" t="n">
        <v>0</v>
      </c>
      <c r="J338" t="n">
        <v>0</v>
      </c>
      <c r="K338" t="n">
        <v>0</v>
      </c>
      <c r="L338" t="n">
        <v>0</v>
      </c>
      <c r="M338" t="n">
        <v>0</v>
      </c>
      <c r="N338" t="n">
        <v>0</v>
      </c>
      <c r="O338" t="n">
        <v>0</v>
      </c>
      <c r="P338" t="n">
        <v>0</v>
      </c>
      <c r="Q338" t="n">
        <v>0</v>
      </c>
      <c r="R338" s="2" t="inlineStr"/>
    </row>
    <row r="339" ht="15" customHeight="1">
      <c r="A339" t="inlineStr">
        <is>
          <t>A 39267-2025</t>
        </is>
      </c>
      <c r="B339" s="1" t="n">
        <v>45889.37619212963</v>
      </c>
      <c r="C339" s="1" t="n">
        <v>45999</v>
      </c>
      <c r="D339" t="inlineStr">
        <is>
          <t>VÄSTERBOTTENS LÄN</t>
        </is>
      </c>
      <c r="E339" t="inlineStr">
        <is>
          <t>BJURHOLM</t>
        </is>
      </c>
      <c r="G339" t="n">
        <v>0.6</v>
      </c>
      <c r="H339" t="n">
        <v>0</v>
      </c>
      <c r="I339" t="n">
        <v>0</v>
      </c>
      <c r="J339" t="n">
        <v>0</v>
      </c>
      <c r="K339" t="n">
        <v>0</v>
      </c>
      <c r="L339" t="n">
        <v>0</v>
      </c>
      <c r="M339" t="n">
        <v>0</v>
      </c>
      <c r="N339" t="n">
        <v>0</v>
      </c>
      <c r="O339" t="n">
        <v>0</v>
      </c>
      <c r="P339" t="n">
        <v>0</v>
      </c>
      <c r="Q339" t="n">
        <v>0</v>
      </c>
      <c r="R339" s="2" t="inlineStr"/>
    </row>
    <row r="340" ht="15" customHeight="1">
      <c r="A340" t="inlineStr">
        <is>
          <t>A 39252-2025</t>
        </is>
      </c>
      <c r="B340" s="1" t="n">
        <v>45889.36288194444</v>
      </c>
      <c r="C340" s="1" t="n">
        <v>45999</v>
      </c>
      <c r="D340" t="inlineStr">
        <is>
          <t>VÄSTERBOTTENS LÄN</t>
        </is>
      </c>
      <c r="E340" t="inlineStr">
        <is>
          <t>BJURHOLM</t>
        </is>
      </c>
      <c r="G340" t="n">
        <v>2.1</v>
      </c>
      <c r="H340" t="n">
        <v>0</v>
      </c>
      <c r="I340" t="n">
        <v>0</v>
      </c>
      <c r="J340" t="n">
        <v>0</v>
      </c>
      <c r="K340" t="n">
        <v>0</v>
      </c>
      <c r="L340" t="n">
        <v>0</v>
      </c>
      <c r="M340" t="n">
        <v>0</v>
      </c>
      <c r="N340" t="n">
        <v>0</v>
      </c>
      <c r="O340" t="n">
        <v>0</v>
      </c>
      <c r="P340" t="n">
        <v>0</v>
      </c>
      <c r="Q340" t="n">
        <v>0</v>
      </c>
      <c r="R340" s="2" t="inlineStr"/>
    </row>
    <row r="341" ht="15" customHeight="1">
      <c r="A341" t="inlineStr">
        <is>
          <t>A 39491-2025</t>
        </is>
      </c>
      <c r="B341" s="1" t="n">
        <v>45890.37449074074</v>
      </c>
      <c r="C341" s="1" t="n">
        <v>45999</v>
      </c>
      <c r="D341" t="inlineStr">
        <is>
          <t>VÄSTERBOTTENS LÄN</t>
        </is>
      </c>
      <c r="E341" t="inlineStr">
        <is>
          <t>BJURHOLM</t>
        </is>
      </c>
      <c r="F341" t="inlineStr">
        <is>
          <t>Holmen skog AB</t>
        </is>
      </c>
      <c r="G341" t="n">
        <v>1.3</v>
      </c>
      <c r="H341" t="n">
        <v>0</v>
      </c>
      <c r="I341" t="n">
        <v>0</v>
      </c>
      <c r="J341" t="n">
        <v>0</v>
      </c>
      <c r="K341" t="n">
        <v>0</v>
      </c>
      <c r="L341" t="n">
        <v>0</v>
      </c>
      <c r="M341" t="n">
        <v>0</v>
      </c>
      <c r="N341" t="n">
        <v>0</v>
      </c>
      <c r="O341" t="n">
        <v>0</v>
      </c>
      <c r="P341" t="n">
        <v>0</v>
      </c>
      <c r="Q341" t="n">
        <v>0</v>
      </c>
      <c r="R341" s="2" t="inlineStr"/>
    </row>
    <row r="342" ht="15" customHeight="1">
      <c r="A342" t="inlineStr">
        <is>
          <t>A 39263-2025</t>
        </is>
      </c>
      <c r="B342" s="1" t="n">
        <v>45889.37246527777</v>
      </c>
      <c r="C342" s="1" t="n">
        <v>45999</v>
      </c>
      <c r="D342" t="inlineStr">
        <is>
          <t>VÄSTERBOTTENS LÄN</t>
        </is>
      </c>
      <c r="E342" t="inlineStr">
        <is>
          <t>BJURHOLM</t>
        </is>
      </c>
      <c r="G342" t="n">
        <v>3.7</v>
      </c>
      <c r="H342" t="n">
        <v>0</v>
      </c>
      <c r="I342" t="n">
        <v>0</v>
      </c>
      <c r="J342" t="n">
        <v>0</v>
      </c>
      <c r="K342" t="n">
        <v>0</v>
      </c>
      <c r="L342" t="n">
        <v>0</v>
      </c>
      <c r="M342" t="n">
        <v>0</v>
      </c>
      <c r="N342" t="n">
        <v>0</v>
      </c>
      <c r="O342" t="n">
        <v>0</v>
      </c>
      <c r="P342" t="n">
        <v>0</v>
      </c>
      <c r="Q342" t="n">
        <v>0</v>
      </c>
      <c r="R342" s="2" t="inlineStr"/>
    </row>
    <row r="343" ht="15" customHeight="1">
      <c r="A343" t="inlineStr">
        <is>
          <t>A 47150-2025</t>
        </is>
      </c>
      <c r="B343" s="1" t="n">
        <v>45929.71940972222</v>
      </c>
      <c r="C343" s="1" t="n">
        <v>45999</v>
      </c>
      <c r="D343" t="inlineStr">
        <is>
          <t>VÄSTERBOTTENS LÄN</t>
        </is>
      </c>
      <c r="E343" t="inlineStr">
        <is>
          <t>BJURHOLM</t>
        </is>
      </c>
      <c r="G343" t="n">
        <v>1.3</v>
      </c>
      <c r="H343" t="n">
        <v>0</v>
      </c>
      <c r="I343" t="n">
        <v>0</v>
      </c>
      <c r="J343" t="n">
        <v>0</v>
      </c>
      <c r="K343" t="n">
        <v>0</v>
      </c>
      <c r="L343" t="n">
        <v>0</v>
      </c>
      <c r="M343" t="n">
        <v>0</v>
      </c>
      <c r="N343" t="n">
        <v>0</v>
      </c>
      <c r="O343" t="n">
        <v>0</v>
      </c>
      <c r="P343" t="n">
        <v>0</v>
      </c>
      <c r="Q343" t="n">
        <v>0</v>
      </c>
      <c r="R343" s="2" t="inlineStr"/>
    </row>
    <row r="344" ht="15" customHeight="1">
      <c r="A344" t="inlineStr">
        <is>
          <t>A 39257-2025</t>
        </is>
      </c>
      <c r="B344" s="1" t="n">
        <v>45889.36733796296</v>
      </c>
      <c r="C344" s="1" t="n">
        <v>45999</v>
      </c>
      <c r="D344" t="inlineStr">
        <is>
          <t>VÄSTERBOTTENS LÄN</t>
        </is>
      </c>
      <c r="E344" t="inlineStr">
        <is>
          <t>BJURHOLM</t>
        </is>
      </c>
      <c r="G344" t="n">
        <v>1.3</v>
      </c>
      <c r="H344" t="n">
        <v>0</v>
      </c>
      <c r="I344" t="n">
        <v>0</v>
      </c>
      <c r="J344" t="n">
        <v>0</v>
      </c>
      <c r="K344" t="n">
        <v>0</v>
      </c>
      <c r="L344" t="n">
        <v>0</v>
      </c>
      <c r="M344" t="n">
        <v>0</v>
      </c>
      <c r="N344" t="n">
        <v>0</v>
      </c>
      <c r="O344" t="n">
        <v>0</v>
      </c>
      <c r="P344" t="n">
        <v>0</v>
      </c>
      <c r="Q344" t="n">
        <v>0</v>
      </c>
      <c r="R344" s="2" t="inlineStr"/>
    </row>
    <row r="345" ht="15" customHeight="1">
      <c r="A345" t="inlineStr">
        <is>
          <t>A 46953-2025</t>
        </is>
      </c>
      <c r="B345" s="1" t="n">
        <v>45929.47361111111</v>
      </c>
      <c r="C345" s="1" t="n">
        <v>45999</v>
      </c>
      <c r="D345" t="inlineStr">
        <is>
          <t>VÄSTERBOTTENS LÄN</t>
        </is>
      </c>
      <c r="E345" t="inlineStr">
        <is>
          <t>BJURHOLM</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39900-2025</t>
        </is>
      </c>
      <c r="B346" s="1" t="n">
        <v>45891.63541666666</v>
      </c>
      <c r="C346" s="1" t="n">
        <v>45999</v>
      </c>
      <c r="D346" t="inlineStr">
        <is>
          <t>VÄSTERBOTTENS LÄN</t>
        </is>
      </c>
      <c r="E346" t="inlineStr">
        <is>
          <t>BJURHOLM</t>
        </is>
      </c>
      <c r="F346" t="inlineStr">
        <is>
          <t>Holmen skog AB</t>
        </is>
      </c>
      <c r="G346" t="n">
        <v>18.1</v>
      </c>
      <c r="H346" t="n">
        <v>0</v>
      </c>
      <c r="I346" t="n">
        <v>0</v>
      </c>
      <c r="J346" t="n">
        <v>0</v>
      </c>
      <c r="K346" t="n">
        <v>0</v>
      </c>
      <c r="L346" t="n">
        <v>0</v>
      </c>
      <c r="M346" t="n">
        <v>0</v>
      </c>
      <c r="N346" t="n">
        <v>0</v>
      </c>
      <c r="O346" t="n">
        <v>0</v>
      </c>
      <c r="P346" t="n">
        <v>0</v>
      </c>
      <c r="Q346" t="n">
        <v>0</v>
      </c>
      <c r="R346" s="2" t="inlineStr"/>
    </row>
    <row r="347" ht="15" customHeight="1">
      <c r="A347" t="inlineStr">
        <is>
          <t>A 40191-2025</t>
        </is>
      </c>
      <c r="B347" s="1" t="n">
        <v>45894.65684027778</v>
      </c>
      <c r="C347" s="1" t="n">
        <v>45999</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40197-2025</t>
        </is>
      </c>
      <c r="B348" s="1" t="n">
        <v>45894.66121527777</v>
      </c>
      <c r="C348" s="1" t="n">
        <v>45999</v>
      </c>
      <c r="D348" t="inlineStr">
        <is>
          <t>VÄSTERBOTTENS LÄN</t>
        </is>
      </c>
      <c r="E348" t="inlineStr">
        <is>
          <t>BJURHOLM</t>
        </is>
      </c>
      <c r="F348" t="inlineStr">
        <is>
          <t>Holmen skog AB</t>
        </is>
      </c>
      <c r="G348" t="n">
        <v>4.9</v>
      </c>
      <c r="H348" t="n">
        <v>0</v>
      </c>
      <c r="I348" t="n">
        <v>0</v>
      </c>
      <c r="J348" t="n">
        <v>0</v>
      </c>
      <c r="K348" t="n">
        <v>0</v>
      </c>
      <c r="L348" t="n">
        <v>0</v>
      </c>
      <c r="M348" t="n">
        <v>0</v>
      </c>
      <c r="N348" t="n">
        <v>0</v>
      </c>
      <c r="O348" t="n">
        <v>0</v>
      </c>
      <c r="P348" t="n">
        <v>0</v>
      </c>
      <c r="Q348" t="n">
        <v>0</v>
      </c>
      <c r="R348" s="2" t="inlineStr"/>
    </row>
    <row r="349" ht="15" customHeight="1">
      <c r="A349" t="inlineStr">
        <is>
          <t>A 46871-2025</t>
        </is>
      </c>
      <c r="B349" s="1" t="n">
        <v>45929.34304398148</v>
      </c>
      <c r="C349" s="1" t="n">
        <v>45999</v>
      </c>
      <c r="D349" t="inlineStr">
        <is>
          <t>VÄSTERBOTTENS LÄN</t>
        </is>
      </c>
      <c r="E349" t="inlineStr">
        <is>
          <t>BJURHOLM</t>
        </is>
      </c>
      <c r="F349" t="inlineStr">
        <is>
          <t>Holmen skog AB</t>
        </is>
      </c>
      <c r="G349" t="n">
        <v>4.6</v>
      </c>
      <c r="H349" t="n">
        <v>0</v>
      </c>
      <c r="I349" t="n">
        <v>0</v>
      </c>
      <c r="J349" t="n">
        <v>0</v>
      </c>
      <c r="K349" t="n">
        <v>0</v>
      </c>
      <c r="L349" t="n">
        <v>0</v>
      </c>
      <c r="M349" t="n">
        <v>0</v>
      </c>
      <c r="N349" t="n">
        <v>0</v>
      </c>
      <c r="O349" t="n">
        <v>0</v>
      </c>
      <c r="P349" t="n">
        <v>0</v>
      </c>
      <c r="Q349" t="n">
        <v>0</v>
      </c>
      <c r="R349" s="2" t="inlineStr"/>
    </row>
    <row r="350" ht="15" customHeight="1">
      <c r="A350" t="inlineStr">
        <is>
          <t>A 40268-2025</t>
        </is>
      </c>
      <c r="B350" s="1" t="n">
        <v>45895.34515046296</v>
      </c>
      <c r="C350" s="1" t="n">
        <v>45999</v>
      </c>
      <c r="D350" t="inlineStr">
        <is>
          <t>VÄSTERBOTTENS LÄN</t>
        </is>
      </c>
      <c r="E350" t="inlineStr">
        <is>
          <t>BJURHOLM</t>
        </is>
      </c>
      <c r="G350" t="n">
        <v>20.9</v>
      </c>
      <c r="H350" t="n">
        <v>0</v>
      </c>
      <c r="I350" t="n">
        <v>0</v>
      </c>
      <c r="J350" t="n">
        <v>0</v>
      </c>
      <c r="K350" t="n">
        <v>0</v>
      </c>
      <c r="L350" t="n">
        <v>0</v>
      </c>
      <c r="M350" t="n">
        <v>0</v>
      </c>
      <c r="N350" t="n">
        <v>0</v>
      </c>
      <c r="O350" t="n">
        <v>0</v>
      </c>
      <c r="P350" t="n">
        <v>0</v>
      </c>
      <c r="Q350" t="n">
        <v>0</v>
      </c>
      <c r="R350" s="2" t="inlineStr"/>
    </row>
    <row r="351" ht="15" customHeight="1">
      <c r="A351" t="inlineStr">
        <is>
          <t>A 40269-2025</t>
        </is>
      </c>
      <c r="B351" s="1" t="n">
        <v>45895.34538194445</v>
      </c>
      <c r="C351" s="1" t="n">
        <v>45999</v>
      </c>
      <c r="D351" t="inlineStr">
        <is>
          <t>VÄSTERBOTTENS LÄN</t>
        </is>
      </c>
      <c r="E351" t="inlineStr">
        <is>
          <t>BJURHOLM</t>
        </is>
      </c>
      <c r="G351" t="n">
        <v>9.1</v>
      </c>
      <c r="H351" t="n">
        <v>0</v>
      </c>
      <c r="I351" t="n">
        <v>0</v>
      </c>
      <c r="J351" t="n">
        <v>0</v>
      </c>
      <c r="K351" t="n">
        <v>0</v>
      </c>
      <c r="L351" t="n">
        <v>0</v>
      </c>
      <c r="M351" t="n">
        <v>0</v>
      </c>
      <c r="N351" t="n">
        <v>0</v>
      </c>
      <c r="O351" t="n">
        <v>0</v>
      </c>
      <c r="P351" t="n">
        <v>0</v>
      </c>
      <c r="Q351" t="n">
        <v>0</v>
      </c>
      <c r="R351" s="2" t="inlineStr"/>
    </row>
    <row r="352" ht="15" customHeight="1">
      <c r="A352" t="inlineStr">
        <is>
          <t>A 47551-2025</t>
        </is>
      </c>
      <c r="B352" s="1" t="n">
        <v>45931.37207175926</v>
      </c>
      <c r="C352" s="1" t="n">
        <v>45999</v>
      </c>
      <c r="D352" t="inlineStr">
        <is>
          <t>VÄSTERBOTTENS LÄN</t>
        </is>
      </c>
      <c r="E352" t="inlineStr">
        <is>
          <t>BJURHOLM</t>
        </is>
      </c>
      <c r="G352" t="n">
        <v>3.4</v>
      </c>
      <c r="H352" t="n">
        <v>0</v>
      </c>
      <c r="I352" t="n">
        <v>0</v>
      </c>
      <c r="J352" t="n">
        <v>0</v>
      </c>
      <c r="K352" t="n">
        <v>0</v>
      </c>
      <c r="L352" t="n">
        <v>0</v>
      </c>
      <c r="M352" t="n">
        <v>0</v>
      </c>
      <c r="N352" t="n">
        <v>0</v>
      </c>
      <c r="O352" t="n">
        <v>0</v>
      </c>
      <c r="P352" t="n">
        <v>0</v>
      </c>
      <c r="Q352" t="n">
        <v>0</v>
      </c>
      <c r="R352" s="2" t="inlineStr"/>
    </row>
    <row r="353" ht="15" customHeight="1">
      <c r="A353" t="inlineStr">
        <is>
          <t>A 40303-2025</t>
        </is>
      </c>
      <c r="B353" s="1" t="n">
        <v>45895.40678240741</v>
      </c>
      <c r="C353" s="1" t="n">
        <v>45999</v>
      </c>
      <c r="D353" t="inlineStr">
        <is>
          <t>VÄSTERBOTTENS LÄN</t>
        </is>
      </c>
      <c r="E353" t="inlineStr">
        <is>
          <t>BJURHOLM</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41255-2025</t>
        </is>
      </c>
      <c r="B354" s="1" t="n">
        <v>45898.60793981481</v>
      </c>
      <c r="C354" s="1" t="n">
        <v>45999</v>
      </c>
      <c r="D354" t="inlineStr">
        <is>
          <t>VÄSTERBOTTENS LÄN</t>
        </is>
      </c>
      <c r="E354" t="inlineStr">
        <is>
          <t>BJURHOLM</t>
        </is>
      </c>
      <c r="F354" t="inlineStr">
        <is>
          <t>Holmen skog AB</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40911-2025</t>
        </is>
      </c>
      <c r="B355" s="1" t="n">
        <v>45897</v>
      </c>
      <c r="C355" s="1" t="n">
        <v>45999</v>
      </c>
      <c r="D355" t="inlineStr">
        <is>
          <t>VÄSTERBOTTENS LÄN</t>
        </is>
      </c>
      <c r="E355" t="inlineStr">
        <is>
          <t>BJURHOLM</t>
        </is>
      </c>
      <c r="F355" t="inlineStr">
        <is>
          <t>SCA</t>
        </is>
      </c>
      <c r="G355" t="n">
        <v>5.7</v>
      </c>
      <c r="H355" t="n">
        <v>0</v>
      </c>
      <c r="I355" t="n">
        <v>0</v>
      </c>
      <c r="J355" t="n">
        <v>0</v>
      </c>
      <c r="K355" t="n">
        <v>0</v>
      </c>
      <c r="L355" t="n">
        <v>0</v>
      </c>
      <c r="M355" t="n">
        <v>0</v>
      </c>
      <c r="N355" t="n">
        <v>0</v>
      </c>
      <c r="O355" t="n">
        <v>0</v>
      </c>
      <c r="P355" t="n">
        <v>0</v>
      </c>
      <c r="Q355" t="n">
        <v>0</v>
      </c>
      <c r="R355" s="2" t="inlineStr"/>
    </row>
    <row r="356" ht="15" customHeight="1">
      <c r="A356" t="inlineStr">
        <is>
          <t>A 40912-2025</t>
        </is>
      </c>
      <c r="B356" s="1" t="n">
        <v>45897</v>
      </c>
      <c r="C356" s="1" t="n">
        <v>45999</v>
      </c>
      <c r="D356" t="inlineStr">
        <is>
          <t>VÄSTERBOTTENS LÄN</t>
        </is>
      </c>
      <c r="E356" t="inlineStr">
        <is>
          <t>BJURHOLM</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40916-2025</t>
        </is>
      </c>
      <c r="B357" s="1" t="n">
        <v>45897</v>
      </c>
      <c r="C357" s="1" t="n">
        <v>45999</v>
      </c>
      <c r="D357" t="inlineStr">
        <is>
          <t>VÄSTERBOTTENS LÄN</t>
        </is>
      </c>
      <c r="E357" t="inlineStr">
        <is>
          <t>BJURHOLM</t>
        </is>
      </c>
      <c r="F357" t="inlineStr">
        <is>
          <t>SCA</t>
        </is>
      </c>
      <c r="G357" t="n">
        <v>48.1</v>
      </c>
      <c r="H357" t="n">
        <v>0</v>
      </c>
      <c r="I357" t="n">
        <v>0</v>
      </c>
      <c r="J357" t="n">
        <v>0</v>
      </c>
      <c r="K357" t="n">
        <v>0</v>
      </c>
      <c r="L357" t="n">
        <v>0</v>
      </c>
      <c r="M357" t="n">
        <v>0</v>
      </c>
      <c r="N357" t="n">
        <v>0</v>
      </c>
      <c r="O357" t="n">
        <v>0</v>
      </c>
      <c r="P357" t="n">
        <v>0</v>
      </c>
      <c r="Q357" t="n">
        <v>0</v>
      </c>
      <c r="R357" s="2" t="inlineStr"/>
    </row>
    <row r="358" ht="15" customHeight="1">
      <c r="A358" t="inlineStr">
        <is>
          <t>A 40909-2025</t>
        </is>
      </c>
      <c r="B358" s="1" t="n">
        <v>45897</v>
      </c>
      <c r="C358" s="1" t="n">
        <v>45999</v>
      </c>
      <c r="D358" t="inlineStr">
        <is>
          <t>VÄSTERBOTTENS LÄN</t>
        </is>
      </c>
      <c r="E358" t="inlineStr">
        <is>
          <t>BJURHOLM</t>
        </is>
      </c>
      <c r="F358" t="inlineStr">
        <is>
          <t>SCA</t>
        </is>
      </c>
      <c r="G358" t="n">
        <v>12.8</v>
      </c>
      <c r="H358" t="n">
        <v>0</v>
      </c>
      <c r="I358" t="n">
        <v>0</v>
      </c>
      <c r="J358" t="n">
        <v>0</v>
      </c>
      <c r="K358" t="n">
        <v>0</v>
      </c>
      <c r="L358" t="n">
        <v>0</v>
      </c>
      <c r="M358" t="n">
        <v>0</v>
      </c>
      <c r="N358" t="n">
        <v>0</v>
      </c>
      <c r="O358" t="n">
        <v>0</v>
      </c>
      <c r="P358" t="n">
        <v>0</v>
      </c>
      <c r="Q358" t="n">
        <v>0</v>
      </c>
      <c r="R358" s="2" t="inlineStr"/>
    </row>
    <row r="359" ht="15" customHeight="1">
      <c r="A359" t="inlineStr">
        <is>
          <t>A 55902-2025</t>
        </is>
      </c>
      <c r="B359" s="1" t="n">
        <v>45973.38936342593</v>
      </c>
      <c r="C359" s="1" t="n">
        <v>45999</v>
      </c>
      <c r="D359" t="inlineStr">
        <is>
          <t>VÄSTERBOTTENS LÄN</t>
        </is>
      </c>
      <c r="E359" t="inlineStr">
        <is>
          <t>BJURHOLM</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40715-2025</t>
        </is>
      </c>
      <c r="B360" s="1" t="n">
        <v>45897</v>
      </c>
      <c r="C360" s="1" t="n">
        <v>45999</v>
      </c>
      <c r="D360" t="inlineStr">
        <is>
          <t>VÄSTERBOTTENS LÄN</t>
        </is>
      </c>
      <c r="E360" t="inlineStr">
        <is>
          <t>BJURHOLM</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40716-2025</t>
        </is>
      </c>
      <c r="B361" s="1" t="n">
        <v>45897.34454861111</v>
      </c>
      <c r="C361" s="1" t="n">
        <v>45999</v>
      </c>
      <c r="D361" t="inlineStr">
        <is>
          <t>VÄSTERBOTTENS LÄN</t>
        </is>
      </c>
      <c r="E361" t="inlineStr">
        <is>
          <t>BJURHOLM</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34333-2025</t>
        </is>
      </c>
      <c r="B362" s="1" t="n">
        <v>45846.45019675926</v>
      </c>
      <c r="C362" s="1" t="n">
        <v>45999</v>
      </c>
      <c r="D362" t="inlineStr">
        <is>
          <t>VÄSTERBOTTENS LÄN</t>
        </is>
      </c>
      <c r="E362" t="inlineStr">
        <is>
          <t>BJURHOLM</t>
        </is>
      </c>
      <c r="G362" t="n">
        <v>2.9</v>
      </c>
      <c r="H362" t="n">
        <v>0</v>
      </c>
      <c r="I362" t="n">
        <v>0</v>
      </c>
      <c r="J362" t="n">
        <v>0</v>
      </c>
      <c r="K362" t="n">
        <v>0</v>
      </c>
      <c r="L362" t="n">
        <v>0</v>
      </c>
      <c r="M362" t="n">
        <v>0</v>
      </c>
      <c r="N362" t="n">
        <v>0</v>
      </c>
      <c r="O362" t="n">
        <v>0</v>
      </c>
      <c r="P362" t="n">
        <v>0</v>
      </c>
      <c r="Q362" t="n">
        <v>0</v>
      </c>
      <c r="R362" s="2" t="inlineStr"/>
    </row>
    <row r="363" ht="15" customHeight="1">
      <c r="A363" t="inlineStr">
        <is>
          <t>A 26646-2024</t>
        </is>
      </c>
      <c r="B363" s="1" t="n">
        <v>45469</v>
      </c>
      <c r="C363" s="1" t="n">
        <v>45999</v>
      </c>
      <c r="D363" t="inlineStr">
        <is>
          <t>VÄSTERBOTTENS LÄN</t>
        </is>
      </c>
      <c r="E363" t="inlineStr">
        <is>
          <t>BJURHOLM</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56808-2025</t>
        </is>
      </c>
      <c r="B364" s="1" t="n">
        <v>45978.45061342593</v>
      </c>
      <c r="C364" s="1" t="n">
        <v>45999</v>
      </c>
      <c r="D364" t="inlineStr">
        <is>
          <t>VÄSTERBOTTENS LÄN</t>
        </is>
      </c>
      <c r="E364" t="inlineStr">
        <is>
          <t>BJURHOLM</t>
        </is>
      </c>
      <c r="G364" t="n">
        <v>4.9</v>
      </c>
      <c r="H364" t="n">
        <v>0</v>
      </c>
      <c r="I364" t="n">
        <v>0</v>
      </c>
      <c r="J364" t="n">
        <v>0</v>
      </c>
      <c r="K364" t="n">
        <v>0</v>
      </c>
      <c r="L364" t="n">
        <v>0</v>
      </c>
      <c r="M364" t="n">
        <v>0</v>
      </c>
      <c r="N364" t="n">
        <v>0</v>
      </c>
      <c r="O364" t="n">
        <v>0</v>
      </c>
      <c r="P364" t="n">
        <v>0</v>
      </c>
      <c r="Q364" t="n">
        <v>0</v>
      </c>
      <c r="R364" s="2" t="inlineStr"/>
    </row>
    <row r="365" ht="15" customHeight="1">
      <c r="A365" t="inlineStr">
        <is>
          <t>A 56724-2025</t>
        </is>
      </c>
      <c r="B365" s="1" t="n">
        <v>45978.30922453704</v>
      </c>
      <c r="C365" s="1" t="n">
        <v>45999</v>
      </c>
      <c r="D365" t="inlineStr">
        <is>
          <t>VÄSTERBOTTENS LÄN</t>
        </is>
      </c>
      <c r="E365" t="inlineStr">
        <is>
          <t>BJURHOLM</t>
        </is>
      </c>
      <c r="G365" t="n">
        <v>2</v>
      </c>
      <c r="H365" t="n">
        <v>0</v>
      </c>
      <c r="I365" t="n">
        <v>0</v>
      </c>
      <c r="J365" t="n">
        <v>0</v>
      </c>
      <c r="K365" t="n">
        <v>0</v>
      </c>
      <c r="L365" t="n">
        <v>0</v>
      </c>
      <c r="M365" t="n">
        <v>0</v>
      </c>
      <c r="N365" t="n">
        <v>0</v>
      </c>
      <c r="O365" t="n">
        <v>0</v>
      </c>
      <c r="P365" t="n">
        <v>0</v>
      </c>
      <c r="Q365" t="n">
        <v>0</v>
      </c>
      <c r="R365" s="2" t="inlineStr"/>
    </row>
    <row r="366" ht="15" customHeight="1">
      <c r="A366" t="inlineStr">
        <is>
          <t>A 56467-2025</t>
        </is>
      </c>
      <c r="B366" s="1" t="n">
        <v>45975.37643518519</v>
      </c>
      <c r="C366" s="1" t="n">
        <v>45999</v>
      </c>
      <c r="D366" t="inlineStr">
        <is>
          <t>VÄSTERBOTTENS LÄN</t>
        </is>
      </c>
      <c r="E366" t="inlineStr">
        <is>
          <t>BJURHOLM</t>
        </is>
      </c>
      <c r="G366" t="n">
        <v>2.6</v>
      </c>
      <c r="H366" t="n">
        <v>0</v>
      </c>
      <c r="I366" t="n">
        <v>0</v>
      </c>
      <c r="J366" t="n">
        <v>0</v>
      </c>
      <c r="K366" t="n">
        <v>0</v>
      </c>
      <c r="L366" t="n">
        <v>0</v>
      </c>
      <c r="M366" t="n">
        <v>0</v>
      </c>
      <c r="N366" t="n">
        <v>0</v>
      </c>
      <c r="O366" t="n">
        <v>0</v>
      </c>
      <c r="P366" t="n">
        <v>0</v>
      </c>
      <c r="Q366" t="n">
        <v>0</v>
      </c>
      <c r="R366" s="2" t="inlineStr"/>
    </row>
    <row r="367" ht="15" customHeight="1">
      <c r="A367" t="inlineStr">
        <is>
          <t>A 42779-2025</t>
        </is>
      </c>
      <c r="B367" s="1" t="n">
        <v>45908.49655092593</v>
      </c>
      <c r="C367" s="1" t="n">
        <v>45999</v>
      </c>
      <c r="D367" t="inlineStr">
        <is>
          <t>VÄSTERBOTTENS LÄN</t>
        </is>
      </c>
      <c r="E367" t="inlineStr">
        <is>
          <t>BJURHOLM</t>
        </is>
      </c>
      <c r="G367" t="n">
        <v>6.4</v>
      </c>
      <c r="H367" t="n">
        <v>0</v>
      </c>
      <c r="I367" t="n">
        <v>0</v>
      </c>
      <c r="J367" t="n">
        <v>0</v>
      </c>
      <c r="K367" t="n">
        <v>0</v>
      </c>
      <c r="L367" t="n">
        <v>0</v>
      </c>
      <c r="M367" t="n">
        <v>0</v>
      </c>
      <c r="N367" t="n">
        <v>0</v>
      </c>
      <c r="O367" t="n">
        <v>0</v>
      </c>
      <c r="P367" t="n">
        <v>0</v>
      </c>
      <c r="Q367" t="n">
        <v>0</v>
      </c>
      <c r="R367" s="2" t="inlineStr"/>
    </row>
    <row r="368" ht="15" customHeight="1">
      <c r="A368" t="inlineStr">
        <is>
          <t>A 17196-2025</t>
        </is>
      </c>
      <c r="B368" s="1" t="n">
        <v>45756.4102199074</v>
      </c>
      <c r="C368" s="1" t="n">
        <v>45999</v>
      </c>
      <c r="D368" t="inlineStr">
        <is>
          <t>VÄSTERBOTTENS LÄN</t>
        </is>
      </c>
      <c r="E368" t="inlineStr">
        <is>
          <t>BJURHOLM</t>
        </is>
      </c>
      <c r="G368" t="n">
        <v>10.3</v>
      </c>
      <c r="H368" t="n">
        <v>0</v>
      </c>
      <c r="I368" t="n">
        <v>0</v>
      </c>
      <c r="J368" t="n">
        <v>0</v>
      </c>
      <c r="K368" t="n">
        <v>0</v>
      </c>
      <c r="L368" t="n">
        <v>0</v>
      </c>
      <c r="M368" t="n">
        <v>0</v>
      </c>
      <c r="N368" t="n">
        <v>0</v>
      </c>
      <c r="O368" t="n">
        <v>0</v>
      </c>
      <c r="P368" t="n">
        <v>0</v>
      </c>
      <c r="Q368" t="n">
        <v>0</v>
      </c>
      <c r="R368" s="2" t="inlineStr"/>
    </row>
    <row r="369" ht="15" customHeight="1">
      <c r="A369" t="inlineStr">
        <is>
          <t>A 29301-2025</t>
        </is>
      </c>
      <c r="B369" s="1" t="n">
        <v>45824.45652777778</v>
      </c>
      <c r="C369" s="1" t="n">
        <v>45999</v>
      </c>
      <c r="D369" t="inlineStr">
        <is>
          <t>VÄSTERBOTTENS LÄN</t>
        </is>
      </c>
      <c r="E369" t="inlineStr">
        <is>
          <t>BJURHOLM</t>
        </is>
      </c>
      <c r="G369" t="n">
        <v>2.3</v>
      </c>
      <c r="H369" t="n">
        <v>0</v>
      </c>
      <c r="I369" t="n">
        <v>0</v>
      </c>
      <c r="J369" t="n">
        <v>0</v>
      </c>
      <c r="K369" t="n">
        <v>0</v>
      </c>
      <c r="L369" t="n">
        <v>0</v>
      </c>
      <c r="M369" t="n">
        <v>0</v>
      </c>
      <c r="N369" t="n">
        <v>0</v>
      </c>
      <c r="O369" t="n">
        <v>0</v>
      </c>
      <c r="P369" t="n">
        <v>0</v>
      </c>
      <c r="Q369" t="n">
        <v>0</v>
      </c>
      <c r="R369" s="2" t="inlineStr"/>
    </row>
    <row r="370" ht="15" customHeight="1">
      <c r="A370" t="inlineStr">
        <is>
          <t>A 29641-2024</t>
        </is>
      </c>
      <c r="B370" s="1" t="n">
        <v>45484.71327546296</v>
      </c>
      <c r="C370" s="1" t="n">
        <v>45999</v>
      </c>
      <c r="D370" t="inlineStr">
        <is>
          <t>VÄSTERBOTTENS LÄN</t>
        </is>
      </c>
      <c r="E370" t="inlineStr">
        <is>
          <t>BJURHOLM</t>
        </is>
      </c>
      <c r="G370" t="n">
        <v>0.7</v>
      </c>
      <c r="H370" t="n">
        <v>0</v>
      </c>
      <c r="I370" t="n">
        <v>0</v>
      </c>
      <c r="J370" t="n">
        <v>0</v>
      </c>
      <c r="K370" t="n">
        <v>0</v>
      </c>
      <c r="L370" t="n">
        <v>0</v>
      </c>
      <c r="M370" t="n">
        <v>0</v>
      </c>
      <c r="N370" t="n">
        <v>0</v>
      </c>
      <c r="O370" t="n">
        <v>0</v>
      </c>
      <c r="P370" t="n">
        <v>0</v>
      </c>
      <c r="Q370" t="n">
        <v>0</v>
      </c>
      <c r="R370" s="2" t="inlineStr"/>
    </row>
    <row r="371" ht="15" customHeight="1">
      <c r="A371" t="inlineStr">
        <is>
          <t>A 43317-2024</t>
        </is>
      </c>
      <c r="B371" s="1" t="n">
        <v>45568</v>
      </c>
      <c r="C371" s="1" t="n">
        <v>45999</v>
      </c>
      <c r="D371" t="inlineStr">
        <is>
          <t>VÄSTERBOTTENS LÄN</t>
        </is>
      </c>
      <c r="E371" t="inlineStr">
        <is>
          <t>BJURHOLM</t>
        </is>
      </c>
      <c r="G371" t="n">
        <v>4.5</v>
      </c>
      <c r="H371" t="n">
        <v>0</v>
      </c>
      <c r="I371" t="n">
        <v>0</v>
      </c>
      <c r="J371" t="n">
        <v>0</v>
      </c>
      <c r="K371" t="n">
        <v>0</v>
      </c>
      <c r="L371" t="n">
        <v>0</v>
      </c>
      <c r="M371" t="n">
        <v>0</v>
      </c>
      <c r="N371" t="n">
        <v>0</v>
      </c>
      <c r="O371" t="n">
        <v>0</v>
      </c>
      <c r="P371" t="n">
        <v>0</v>
      </c>
      <c r="Q371" t="n">
        <v>0</v>
      </c>
      <c r="R371" s="2" t="inlineStr"/>
    </row>
    <row r="372" ht="15" customHeight="1">
      <c r="A372" t="inlineStr">
        <is>
          <t>A 43043-2024</t>
        </is>
      </c>
      <c r="B372" s="1" t="n">
        <v>45567</v>
      </c>
      <c r="C372" s="1" t="n">
        <v>45999</v>
      </c>
      <c r="D372" t="inlineStr">
        <is>
          <t>VÄSTERBOTTENS LÄN</t>
        </is>
      </c>
      <c r="E372" t="inlineStr">
        <is>
          <t>BJURHOLM</t>
        </is>
      </c>
      <c r="G372" t="n">
        <v>1.1</v>
      </c>
      <c r="H372" t="n">
        <v>0</v>
      </c>
      <c r="I372" t="n">
        <v>0</v>
      </c>
      <c r="J372" t="n">
        <v>0</v>
      </c>
      <c r="K372" t="n">
        <v>0</v>
      </c>
      <c r="L372" t="n">
        <v>0</v>
      </c>
      <c r="M372" t="n">
        <v>0</v>
      </c>
      <c r="N372" t="n">
        <v>0</v>
      </c>
      <c r="O372" t="n">
        <v>0</v>
      </c>
      <c r="P372" t="n">
        <v>0</v>
      </c>
      <c r="Q372" t="n">
        <v>0</v>
      </c>
      <c r="R372" s="2" t="inlineStr"/>
    </row>
    <row r="373" ht="15" customHeight="1">
      <c r="A373" t="inlineStr">
        <is>
          <t>A 52355-2025</t>
        </is>
      </c>
      <c r="B373" s="1" t="n">
        <v>45953.79050925926</v>
      </c>
      <c r="C373" s="1" t="n">
        <v>45999</v>
      </c>
      <c r="D373" t="inlineStr">
        <is>
          <t>VÄSTERBOTTENS LÄN</t>
        </is>
      </c>
      <c r="E373" t="inlineStr">
        <is>
          <t>BJURHOLM</t>
        </is>
      </c>
      <c r="G373" t="n">
        <v>0.6</v>
      </c>
      <c r="H373" t="n">
        <v>0</v>
      </c>
      <c r="I373" t="n">
        <v>0</v>
      </c>
      <c r="J373" t="n">
        <v>0</v>
      </c>
      <c r="K373" t="n">
        <v>0</v>
      </c>
      <c r="L373" t="n">
        <v>0</v>
      </c>
      <c r="M373" t="n">
        <v>0</v>
      </c>
      <c r="N373" t="n">
        <v>0</v>
      </c>
      <c r="O373" t="n">
        <v>0</v>
      </c>
      <c r="P373" t="n">
        <v>0</v>
      </c>
      <c r="Q373" t="n">
        <v>0</v>
      </c>
      <c r="R373" s="2" t="inlineStr"/>
    </row>
    <row r="374" ht="15" customHeight="1">
      <c r="A374" t="inlineStr">
        <is>
          <t>A 29006-2023</t>
        </is>
      </c>
      <c r="B374" s="1" t="n">
        <v>45104.65298611111</v>
      </c>
      <c r="C374" s="1" t="n">
        <v>45999</v>
      </c>
      <c r="D374" t="inlineStr">
        <is>
          <t>VÄSTERBOTTENS LÄN</t>
        </is>
      </c>
      <c r="E374" t="inlineStr">
        <is>
          <t>BJURHOLM</t>
        </is>
      </c>
      <c r="F374" t="inlineStr">
        <is>
          <t>Holmen skog AB</t>
        </is>
      </c>
      <c r="G374" t="n">
        <v>17.2</v>
      </c>
      <c r="H374" t="n">
        <v>0</v>
      </c>
      <c r="I374" t="n">
        <v>0</v>
      </c>
      <c r="J374" t="n">
        <v>0</v>
      </c>
      <c r="K374" t="n">
        <v>0</v>
      </c>
      <c r="L374" t="n">
        <v>0</v>
      </c>
      <c r="M374" t="n">
        <v>0</v>
      </c>
      <c r="N374" t="n">
        <v>0</v>
      </c>
      <c r="O374" t="n">
        <v>0</v>
      </c>
      <c r="P374" t="n">
        <v>0</v>
      </c>
      <c r="Q374" t="n">
        <v>0</v>
      </c>
      <c r="R374" s="2" t="inlineStr"/>
    </row>
    <row r="375" ht="15" customHeight="1">
      <c r="A375" t="inlineStr">
        <is>
          <t>A 43695-2025</t>
        </is>
      </c>
      <c r="B375" s="1" t="n">
        <v>45912.39425925926</v>
      </c>
      <c r="C375" s="1" t="n">
        <v>45999</v>
      </c>
      <c r="D375" t="inlineStr">
        <is>
          <t>VÄSTERBOTTENS LÄN</t>
        </is>
      </c>
      <c r="E375" t="inlineStr">
        <is>
          <t>BJURHOLM</t>
        </is>
      </c>
      <c r="F375" t="inlineStr">
        <is>
          <t>Holmen skog AB</t>
        </is>
      </c>
      <c r="G375" t="n">
        <v>12.9</v>
      </c>
      <c r="H375" t="n">
        <v>0</v>
      </c>
      <c r="I375" t="n">
        <v>0</v>
      </c>
      <c r="J375" t="n">
        <v>0</v>
      </c>
      <c r="K375" t="n">
        <v>0</v>
      </c>
      <c r="L375" t="n">
        <v>0</v>
      </c>
      <c r="M375" t="n">
        <v>0</v>
      </c>
      <c r="N375" t="n">
        <v>0</v>
      </c>
      <c r="O375" t="n">
        <v>0</v>
      </c>
      <c r="P375" t="n">
        <v>0</v>
      </c>
      <c r="Q375" t="n">
        <v>0</v>
      </c>
      <c r="R375" s="2" t="inlineStr"/>
    </row>
    <row r="376" ht="15" customHeight="1">
      <c r="A376" t="inlineStr">
        <is>
          <t>A 49236-2025</t>
        </is>
      </c>
      <c r="B376" s="1" t="n">
        <v>45938.48</v>
      </c>
      <c r="C376" s="1" t="n">
        <v>45999</v>
      </c>
      <c r="D376" t="inlineStr">
        <is>
          <t>VÄSTERBOTTENS LÄN</t>
        </is>
      </c>
      <c r="E376" t="inlineStr">
        <is>
          <t>BJURHOLM</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57368-2025</t>
        </is>
      </c>
      <c r="B377" s="1" t="n">
        <v>45980.3821875</v>
      </c>
      <c r="C377" s="1" t="n">
        <v>45999</v>
      </c>
      <c r="D377" t="inlineStr">
        <is>
          <t>VÄSTERBOTTENS LÄN</t>
        </is>
      </c>
      <c r="E377" t="inlineStr">
        <is>
          <t>BJURHOLM</t>
        </is>
      </c>
      <c r="G377" t="n">
        <v>1.2</v>
      </c>
      <c r="H377" t="n">
        <v>0</v>
      </c>
      <c r="I377" t="n">
        <v>0</v>
      </c>
      <c r="J377" t="n">
        <v>0</v>
      </c>
      <c r="K377" t="n">
        <v>0</v>
      </c>
      <c r="L377" t="n">
        <v>0</v>
      </c>
      <c r="M377" t="n">
        <v>0</v>
      </c>
      <c r="N377" t="n">
        <v>0</v>
      </c>
      <c r="O377" t="n">
        <v>0</v>
      </c>
      <c r="P377" t="n">
        <v>0</v>
      </c>
      <c r="Q377" t="n">
        <v>0</v>
      </c>
      <c r="R377" s="2" t="inlineStr"/>
    </row>
    <row r="378" ht="15" customHeight="1">
      <c r="A378" t="inlineStr">
        <is>
          <t>A 25405-2025</t>
        </is>
      </c>
      <c r="B378" s="1" t="n">
        <v>45800.65744212963</v>
      </c>
      <c r="C378" s="1" t="n">
        <v>45999</v>
      </c>
      <c r="D378" t="inlineStr">
        <is>
          <t>VÄSTERBOTTENS LÄN</t>
        </is>
      </c>
      <c r="E378" t="inlineStr">
        <is>
          <t>BJURHOLM</t>
        </is>
      </c>
      <c r="G378" t="n">
        <v>3.6</v>
      </c>
      <c r="H378" t="n">
        <v>0</v>
      </c>
      <c r="I378" t="n">
        <v>0</v>
      </c>
      <c r="J378" t="n">
        <v>0</v>
      </c>
      <c r="K378" t="n">
        <v>0</v>
      </c>
      <c r="L378" t="n">
        <v>0</v>
      </c>
      <c r="M378" t="n">
        <v>0</v>
      </c>
      <c r="N378" t="n">
        <v>0</v>
      </c>
      <c r="O378" t="n">
        <v>0</v>
      </c>
      <c r="P378" t="n">
        <v>0</v>
      </c>
      <c r="Q378" t="n">
        <v>0</v>
      </c>
      <c r="R378" s="2" t="inlineStr"/>
    </row>
    <row r="379" ht="15" customHeight="1">
      <c r="A379" t="inlineStr">
        <is>
          <t>A 49382-2025</t>
        </is>
      </c>
      <c r="B379" s="1" t="n">
        <v>45938.63704861111</v>
      </c>
      <c r="C379" s="1" t="n">
        <v>45999</v>
      </c>
      <c r="D379" t="inlineStr">
        <is>
          <t>VÄSTERBOTTENS LÄN</t>
        </is>
      </c>
      <c r="E379" t="inlineStr">
        <is>
          <t>BJURHOLM</t>
        </is>
      </c>
      <c r="G379" t="n">
        <v>0.6</v>
      </c>
      <c r="H379" t="n">
        <v>0</v>
      </c>
      <c r="I379" t="n">
        <v>0</v>
      </c>
      <c r="J379" t="n">
        <v>0</v>
      </c>
      <c r="K379" t="n">
        <v>0</v>
      </c>
      <c r="L379" t="n">
        <v>0</v>
      </c>
      <c r="M379" t="n">
        <v>0</v>
      </c>
      <c r="N379" t="n">
        <v>0</v>
      </c>
      <c r="O379" t="n">
        <v>0</v>
      </c>
      <c r="P379" t="n">
        <v>0</v>
      </c>
      <c r="Q379" t="n">
        <v>0</v>
      </c>
      <c r="R379" s="2" t="inlineStr"/>
    </row>
    <row r="380" ht="15" customHeight="1">
      <c r="A380" t="inlineStr">
        <is>
          <t>A 57215-2025</t>
        </is>
      </c>
      <c r="B380" s="1" t="n">
        <v>45979.60740740741</v>
      </c>
      <c r="C380" s="1" t="n">
        <v>45999</v>
      </c>
      <c r="D380" t="inlineStr">
        <is>
          <t>VÄSTERBOTTENS LÄN</t>
        </is>
      </c>
      <c r="E380" t="inlineStr">
        <is>
          <t>BJURHOLM</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25100-2025</t>
        </is>
      </c>
      <c r="B381" s="1" t="n">
        <v>45800.34435185185</v>
      </c>
      <c r="C381" s="1" t="n">
        <v>45999</v>
      </c>
      <c r="D381" t="inlineStr">
        <is>
          <t>VÄSTERBOTTENS LÄN</t>
        </is>
      </c>
      <c r="E381" t="inlineStr">
        <is>
          <t>BJURHOLM</t>
        </is>
      </c>
      <c r="F381" t="inlineStr">
        <is>
          <t>SCA</t>
        </is>
      </c>
      <c r="G381" t="n">
        <v>7.7</v>
      </c>
      <c r="H381" t="n">
        <v>0</v>
      </c>
      <c r="I381" t="n">
        <v>0</v>
      </c>
      <c r="J381" t="n">
        <v>0</v>
      </c>
      <c r="K381" t="n">
        <v>0</v>
      </c>
      <c r="L381" t="n">
        <v>0</v>
      </c>
      <c r="M381" t="n">
        <v>0</v>
      </c>
      <c r="N381" t="n">
        <v>0</v>
      </c>
      <c r="O381" t="n">
        <v>0</v>
      </c>
      <c r="P381" t="n">
        <v>0</v>
      </c>
      <c r="Q381" t="n">
        <v>0</v>
      </c>
      <c r="R381" s="2" t="inlineStr"/>
    </row>
    <row r="382" ht="15" customHeight="1">
      <c r="A382" t="inlineStr">
        <is>
          <t>A 44112-2025</t>
        </is>
      </c>
      <c r="B382" s="1" t="n">
        <v>45915.574375</v>
      </c>
      <c r="C382" s="1" t="n">
        <v>45999</v>
      </c>
      <c r="D382" t="inlineStr">
        <is>
          <t>VÄSTERBOTTENS LÄN</t>
        </is>
      </c>
      <c r="E382" t="inlineStr">
        <is>
          <t>BJURHOLM</t>
        </is>
      </c>
      <c r="F382" t="inlineStr">
        <is>
          <t>Sveaskog</t>
        </is>
      </c>
      <c r="G382" t="n">
        <v>5.7</v>
      </c>
      <c r="H382" t="n">
        <v>0</v>
      </c>
      <c r="I382" t="n">
        <v>0</v>
      </c>
      <c r="J382" t="n">
        <v>0</v>
      </c>
      <c r="K382" t="n">
        <v>0</v>
      </c>
      <c r="L382" t="n">
        <v>0</v>
      </c>
      <c r="M382" t="n">
        <v>0</v>
      </c>
      <c r="N382" t="n">
        <v>0</v>
      </c>
      <c r="O382" t="n">
        <v>0</v>
      </c>
      <c r="P382" t="n">
        <v>0</v>
      </c>
      <c r="Q382" t="n">
        <v>0</v>
      </c>
      <c r="R382" s="2" t="inlineStr"/>
    </row>
    <row r="383" ht="15" customHeight="1">
      <c r="A383" t="inlineStr">
        <is>
          <t>A 44144-2025</t>
        </is>
      </c>
      <c r="B383" s="1" t="n">
        <v>45915.58934027778</v>
      </c>
      <c r="C383" s="1" t="n">
        <v>45999</v>
      </c>
      <c r="D383" t="inlineStr">
        <is>
          <t>VÄSTERBOTTENS LÄN</t>
        </is>
      </c>
      <c r="E383" t="inlineStr">
        <is>
          <t>BJURHOLM</t>
        </is>
      </c>
      <c r="F383" t="inlineStr">
        <is>
          <t>Sveaskog</t>
        </is>
      </c>
      <c r="G383" t="n">
        <v>5.5</v>
      </c>
      <c r="H383" t="n">
        <v>0</v>
      </c>
      <c r="I383" t="n">
        <v>0</v>
      </c>
      <c r="J383" t="n">
        <v>0</v>
      </c>
      <c r="K383" t="n">
        <v>0</v>
      </c>
      <c r="L383" t="n">
        <v>0</v>
      </c>
      <c r="M383" t="n">
        <v>0</v>
      </c>
      <c r="N383" t="n">
        <v>0</v>
      </c>
      <c r="O383" t="n">
        <v>0</v>
      </c>
      <c r="P383" t="n">
        <v>0</v>
      </c>
      <c r="Q383" t="n">
        <v>0</v>
      </c>
      <c r="R383" s="2" t="inlineStr"/>
    </row>
    <row r="384" ht="15" customHeight="1">
      <c r="A384" t="inlineStr">
        <is>
          <t>A 46743-2023</t>
        </is>
      </c>
      <c r="B384" s="1" t="n">
        <v>45195</v>
      </c>
      <c r="C384" s="1" t="n">
        <v>45999</v>
      </c>
      <c r="D384" t="inlineStr">
        <is>
          <t>VÄSTERBOTTENS LÄN</t>
        </is>
      </c>
      <c r="E384" t="inlineStr">
        <is>
          <t>BJURHOLM</t>
        </is>
      </c>
      <c r="G384" t="n">
        <v>12.9</v>
      </c>
      <c r="H384" t="n">
        <v>0</v>
      </c>
      <c r="I384" t="n">
        <v>0</v>
      </c>
      <c r="J384" t="n">
        <v>0</v>
      </c>
      <c r="K384" t="n">
        <v>0</v>
      </c>
      <c r="L384" t="n">
        <v>0</v>
      </c>
      <c r="M384" t="n">
        <v>0</v>
      </c>
      <c r="N384" t="n">
        <v>0</v>
      </c>
      <c r="O384" t="n">
        <v>0</v>
      </c>
      <c r="P384" t="n">
        <v>0</v>
      </c>
      <c r="Q384" t="n">
        <v>0</v>
      </c>
      <c r="R384" s="2" t="inlineStr"/>
    </row>
    <row r="385" ht="15" customHeight="1">
      <c r="A385" t="inlineStr">
        <is>
          <t>A 57263-2025</t>
        </is>
      </c>
      <c r="B385" s="1" t="n">
        <v>45979.65953703703</v>
      </c>
      <c r="C385" s="1" t="n">
        <v>45999</v>
      </c>
      <c r="D385" t="inlineStr">
        <is>
          <t>VÄSTERBOTTENS LÄN</t>
        </is>
      </c>
      <c r="E385" t="inlineStr">
        <is>
          <t>BJURHOLM</t>
        </is>
      </c>
      <c r="F385" t="inlineStr">
        <is>
          <t>Sveaskog</t>
        </is>
      </c>
      <c r="G385" t="n">
        <v>28.7</v>
      </c>
      <c r="H385" t="n">
        <v>0</v>
      </c>
      <c r="I385" t="n">
        <v>0</v>
      </c>
      <c r="J385" t="n">
        <v>0</v>
      </c>
      <c r="K385" t="n">
        <v>0</v>
      </c>
      <c r="L385" t="n">
        <v>0</v>
      </c>
      <c r="M385" t="n">
        <v>0</v>
      </c>
      <c r="N385" t="n">
        <v>0</v>
      </c>
      <c r="O385" t="n">
        <v>0</v>
      </c>
      <c r="P385" t="n">
        <v>0</v>
      </c>
      <c r="Q385" t="n">
        <v>0</v>
      </c>
      <c r="R385" s="2" t="inlineStr"/>
    </row>
    <row r="386" ht="15" customHeight="1">
      <c r="A386" t="inlineStr">
        <is>
          <t>A 58489-2023</t>
        </is>
      </c>
      <c r="B386" s="1" t="n">
        <v>45251.33342592593</v>
      </c>
      <c r="C386" s="1" t="n">
        <v>45999</v>
      </c>
      <c r="D386" t="inlineStr">
        <is>
          <t>VÄSTERBOTTENS LÄN</t>
        </is>
      </c>
      <c r="E386" t="inlineStr">
        <is>
          <t>BJURHOLM</t>
        </is>
      </c>
      <c r="G386" t="n">
        <v>3.1</v>
      </c>
      <c r="H386" t="n">
        <v>0</v>
      </c>
      <c r="I386" t="n">
        <v>0</v>
      </c>
      <c r="J386" t="n">
        <v>0</v>
      </c>
      <c r="K386" t="n">
        <v>0</v>
      </c>
      <c r="L386" t="n">
        <v>0</v>
      </c>
      <c r="M386" t="n">
        <v>0</v>
      </c>
      <c r="N386" t="n">
        <v>0</v>
      </c>
      <c r="O386" t="n">
        <v>0</v>
      </c>
      <c r="P386" t="n">
        <v>0</v>
      </c>
      <c r="Q386" t="n">
        <v>0</v>
      </c>
      <c r="R386" s="2" t="inlineStr"/>
    </row>
    <row r="387" ht="15" customHeight="1">
      <c r="A387" t="inlineStr">
        <is>
          <t>A 58150-2025</t>
        </is>
      </c>
      <c r="B387" s="1" t="n">
        <v>45982.64979166666</v>
      </c>
      <c r="C387" s="1" t="n">
        <v>45999</v>
      </c>
      <c r="D387" t="inlineStr">
        <is>
          <t>VÄSTERBOTTENS LÄN</t>
        </is>
      </c>
      <c r="E387" t="inlineStr">
        <is>
          <t>BJURHOLM</t>
        </is>
      </c>
      <c r="G387" t="n">
        <v>3.4</v>
      </c>
      <c r="H387" t="n">
        <v>0</v>
      </c>
      <c r="I387" t="n">
        <v>0</v>
      </c>
      <c r="J387" t="n">
        <v>0</v>
      </c>
      <c r="K387" t="n">
        <v>0</v>
      </c>
      <c r="L387" t="n">
        <v>0</v>
      </c>
      <c r="M387" t="n">
        <v>0</v>
      </c>
      <c r="N387" t="n">
        <v>0</v>
      </c>
      <c r="O387" t="n">
        <v>0</v>
      </c>
      <c r="P387" t="n">
        <v>0</v>
      </c>
      <c r="Q387" t="n">
        <v>0</v>
      </c>
      <c r="R387" s="2" t="inlineStr"/>
    </row>
    <row r="388" ht="15" customHeight="1">
      <c r="A388" t="inlineStr">
        <is>
          <t>A 44487-2025</t>
        </is>
      </c>
      <c r="B388" s="1" t="n">
        <v>45916.65663194445</v>
      </c>
      <c r="C388" s="1" t="n">
        <v>45999</v>
      </c>
      <c r="D388" t="inlineStr">
        <is>
          <t>VÄSTERBOTTENS LÄN</t>
        </is>
      </c>
      <c r="E388" t="inlineStr">
        <is>
          <t>BJURHOLM</t>
        </is>
      </c>
      <c r="F388" t="inlineStr">
        <is>
          <t>SCA</t>
        </is>
      </c>
      <c r="G388" t="n">
        <v>2.5</v>
      </c>
      <c r="H388" t="n">
        <v>0</v>
      </c>
      <c r="I388" t="n">
        <v>0</v>
      </c>
      <c r="J388" t="n">
        <v>0</v>
      </c>
      <c r="K388" t="n">
        <v>0</v>
      </c>
      <c r="L388" t="n">
        <v>0</v>
      </c>
      <c r="M388" t="n">
        <v>0</v>
      </c>
      <c r="N388" t="n">
        <v>0</v>
      </c>
      <c r="O388" t="n">
        <v>0</v>
      </c>
      <c r="P388" t="n">
        <v>0</v>
      </c>
      <c r="Q388" t="n">
        <v>0</v>
      </c>
      <c r="R388" s="2" t="inlineStr"/>
    </row>
    <row r="389" ht="15" customHeight="1">
      <c r="A389" t="inlineStr">
        <is>
          <t>A 58005-2025</t>
        </is>
      </c>
      <c r="B389" s="1" t="n">
        <v>45982.44800925926</v>
      </c>
      <c r="C389" s="1" t="n">
        <v>45999</v>
      </c>
      <c r="D389" t="inlineStr">
        <is>
          <t>VÄSTERBOTTENS LÄN</t>
        </is>
      </c>
      <c r="E389" t="inlineStr">
        <is>
          <t>BJURHOLM</t>
        </is>
      </c>
      <c r="G389" t="n">
        <v>0.5</v>
      </c>
      <c r="H389" t="n">
        <v>0</v>
      </c>
      <c r="I389" t="n">
        <v>0</v>
      </c>
      <c r="J389" t="n">
        <v>0</v>
      </c>
      <c r="K389" t="n">
        <v>0</v>
      </c>
      <c r="L389" t="n">
        <v>0</v>
      </c>
      <c r="M389" t="n">
        <v>0</v>
      </c>
      <c r="N389" t="n">
        <v>0</v>
      </c>
      <c r="O389" t="n">
        <v>0</v>
      </c>
      <c r="P389" t="n">
        <v>0</v>
      </c>
      <c r="Q389" t="n">
        <v>0</v>
      </c>
      <c r="R389" s="2" t="inlineStr"/>
    </row>
    <row r="390" ht="15" customHeight="1">
      <c r="A390" t="inlineStr">
        <is>
          <t>A 58136-2025</t>
        </is>
      </c>
      <c r="B390" s="1" t="n">
        <v>45981</v>
      </c>
      <c r="C390" s="1" t="n">
        <v>45999</v>
      </c>
      <c r="D390" t="inlineStr">
        <is>
          <t>VÄSTERBOTTENS LÄN</t>
        </is>
      </c>
      <c r="E390" t="inlineStr">
        <is>
          <t>BJURHOLM</t>
        </is>
      </c>
      <c r="G390" t="n">
        <v>6.7</v>
      </c>
      <c r="H390" t="n">
        <v>0</v>
      </c>
      <c r="I390" t="n">
        <v>0</v>
      </c>
      <c r="J390" t="n">
        <v>0</v>
      </c>
      <c r="K390" t="n">
        <v>0</v>
      </c>
      <c r="L390" t="n">
        <v>0</v>
      </c>
      <c r="M390" t="n">
        <v>0</v>
      </c>
      <c r="N390" t="n">
        <v>0</v>
      </c>
      <c r="O390" t="n">
        <v>0</v>
      </c>
      <c r="P390" t="n">
        <v>0</v>
      </c>
      <c r="Q390" t="n">
        <v>0</v>
      </c>
      <c r="R390" s="2" t="inlineStr"/>
    </row>
    <row r="391" ht="15" customHeight="1">
      <c r="A391" t="inlineStr">
        <is>
          <t>A 36707-2024</t>
        </is>
      </c>
      <c r="B391" s="1" t="n">
        <v>45537</v>
      </c>
      <c r="C391" s="1" t="n">
        <v>45999</v>
      </c>
      <c r="D391" t="inlineStr">
        <is>
          <t>VÄSTERBOTTENS LÄN</t>
        </is>
      </c>
      <c r="E391" t="inlineStr">
        <is>
          <t>BJURHOLM</t>
        </is>
      </c>
      <c r="G391" t="n">
        <v>7.1</v>
      </c>
      <c r="H391" t="n">
        <v>0</v>
      </c>
      <c r="I391" t="n">
        <v>0</v>
      </c>
      <c r="J391" t="n">
        <v>0</v>
      </c>
      <c r="K391" t="n">
        <v>0</v>
      </c>
      <c r="L391" t="n">
        <v>0</v>
      </c>
      <c r="M391" t="n">
        <v>0</v>
      </c>
      <c r="N391" t="n">
        <v>0</v>
      </c>
      <c r="O391" t="n">
        <v>0</v>
      </c>
      <c r="P391" t="n">
        <v>0</v>
      </c>
      <c r="Q391" t="n">
        <v>0</v>
      </c>
      <c r="R391" s="2" t="inlineStr"/>
    </row>
    <row r="392" ht="15" customHeight="1">
      <c r="A392" t="inlineStr">
        <is>
          <t>A 58569-2025</t>
        </is>
      </c>
      <c r="B392" s="1" t="n">
        <v>45986.37128472222</v>
      </c>
      <c r="C392" s="1" t="n">
        <v>45999</v>
      </c>
      <c r="D392" t="inlineStr">
        <is>
          <t>VÄSTERBOTTENS LÄN</t>
        </is>
      </c>
      <c r="E392" t="inlineStr">
        <is>
          <t>BJURHOLM</t>
        </is>
      </c>
      <c r="G392" t="n">
        <v>2.5</v>
      </c>
      <c r="H392" t="n">
        <v>0</v>
      </c>
      <c r="I392" t="n">
        <v>0</v>
      </c>
      <c r="J392" t="n">
        <v>0</v>
      </c>
      <c r="K392" t="n">
        <v>0</v>
      </c>
      <c r="L392" t="n">
        <v>0</v>
      </c>
      <c r="M392" t="n">
        <v>0</v>
      </c>
      <c r="N392" t="n">
        <v>0</v>
      </c>
      <c r="O392" t="n">
        <v>0</v>
      </c>
      <c r="P392" t="n">
        <v>0</v>
      </c>
      <c r="Q392" t="n">
        <v>0</v>
      </c>
      <c r="R392" s="2" t="inlineStr"/>
    </row>
    <row r="393" ht="15" customHeight="1">
      <c r="A393" t="inlineStr">
        <is>
          <t>A 50046-2025</t>
        </is>
      </c>
      <c r="B393" s="1" t="n">
        <v>45943.40912037037</v>
      </c>
      <c r="C393" s="1" t="n">
        <v>45999</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58724-2025</t>
        </is>
      </c>
      <c r="B394" s="1" t="n">
        <v>45986.61917824074</v>
      </c>
      <c r="C394" s="1" t="n">
        <v>45999</v>
      </c>
      <c r="D394" t="inlineStr">
        <is>
          <t>VÄSTERBOTTENS LÄN</t>
        </is>
      </c>
      <c r="E394" t="inlineStr">
        <is>
          <t>BJURHOLM</t>
        </is>
      </c>
      <c r="G394" t="n">
        <v>4.4</v>
      </c>
      <c r="H394" t="n">
        <v>0</v>
      </c>
      <c r="I394" t="n">
        <v>0</v>
      </c>
      <c r="J394" t="n">
        <v>0</v>
      </c>
      <c r="K394" t="n">
        <v>0</v>
      </c>
      <c r="L394" t="n">
        <v>0</v>
      </c>
      <c r="M394" t="n">
        <v>0</v>
      </c>
      <c r="N394" t="n">
        <v>0</v>
      </c>
      <c r="O394" t="n">
        <v>0</v>
      </c>
      <c r="P394" t="n">
        <v>0</v>
      </c>
      <c r="Q394" t="n">
        <v>0</v>
      </c>
      <c r="R394" s="2" t="inlineStr"/>
    </row>
    <row r="395" ht="15" customHeight="1">
      <c r="A395" t="inlineStr">
        <is>
          <t>A 26883-2025</t>
        </is>
      </c>
      <c r="B395" s="1" t="n">
        <v>45810.8708912037</v>
      </c>
      <c r="C395" s="1" t="n">
        <v>45999</v>
      </c>
      <c r="D395" t="inlineStr">
        <is>
          <t>VÄSTERBOTTENS LÄN</t>
        </is>
      </c>
      <c r="E395" t="inlineStr">
        <is>
          <t>BJURHOLM</t>
        </is>
      </c>
      <c r="G395" t="n">
        <v>1</v>
      </c>
      <c r="H395" t="n">
        <v>0</v>
      </c>
      <c r="I395" t="n">
        <v>0</v>
      </c>
      <c r="J395" t="n">
        <v>0</v>
      </c>
      <c r="K395" t="n">
        <v>0</v>
      </c>
      <c r="L395" t="n">
        <v>0</v>
      </c>
      <c r="M395" t="n">
        <v>0</v>
      </c>
      <c r="N395" t="n">
        <v>0</v>
      </c>
      <c r="O395" t="n">
        <v>0</v>
      </c>
      <c r="P395" t="n">
        <v>0</v>
      </c>
      <c r="Q395" t="n">
        <v>0</v>
      </c>
      <c r="R395" s="2" t="inlineStr"/>
    </row>
    <row r="396" ht="15" customHeight="1">
      <c r="A396" t="inlineStr">
        <is>
          <t>A 58729-2025</t>
        </is>
      </c>
      <c r="B396" s="1" t="n">
        <v>45986.62428240741</v>
      </c>
      <c r="C396" s="1" t="n">
        <v>45999</v>
      </c>
      <c r="D396" t="inlineStr">
        <is>
          <t>VÄSTERBOTTENS LÄN</t>
        </is>
      </c>
      <c r="E396" t="inlineStr">
        <is>
          <t>BJURHOLM</t>
        </is>
      </c>
      <c r="G396" t="n">
        <v>1.4</v>
      </c>
      <c r="H396" t="n">
        <v>0</v>
      </c>
      <c r="I396" t="n">
        <v>0</v>
      </c>
      <c r="J396" t="n">
        <v>0</v>
      </c>
      <c r="K396" t="n">
        <v>0</v>
      </c>
      <c r="L396" t="n">
        <v>0</v>
      </c>
      <c r="M396" t="n">
        <v>0</v>
      </c>
      <c r="N396" t="n">
        <v>0</v>
      </c>
      <c r="O396" t="n">
        <v>0</v>
      </c>
      <c r="P396" t="n">
        <v>0</v>
      </c>
      <c r="Q396" t="n">
        <v>0</v>
      </c>
      <c r="R396" s="2" t="inlineStr"/>
    </row>
    <row r="397" ht="15" customHeight="1">
      <c r="A397" t="inlineStr">
        <is>
          <t>A 50027-2025</t>
        </is>
      </c>
      <c r="B397" s="1" t="n">
        <v>45943.38288194445</v>
      </c>
      <c r="C397" s="1" t="n">
        <v>45999</v>
      </c>
      <c r="D397" t="inlineStr">
        <is>
          <t>VÄSTERBOTTENS LÄN</t>
        </is>
      </c>
      <c r="E397" t="inlineStr">
        <is>
          <t>BJURHOLM</t>
        </is>
      </c>
      <c r="G397" t="n">
        <v>2.6</v>
      </c>
      <c r="H397" t="n">
        <v>0</v>
      </c>
      <c r="I397" t="n">
        <v>0</v>
      </c>
      <c r="J397" t="n">
        <v>0</v>
      </c>
      <c r="K397" t="n">
        <v>0</v>
      </c>
      <c r="L397" t="n">
        <v>0</v>
      </c>
      <c r="M397" t="n">
        <v>0</v>
      </c>
      <c r="N397" t="n">
        <v>0</v>
      </c>
      <c r="O397" t="n">
        <v>0</v>
      </c>
      <c r="P397" t="n">
        <v>0</v>
      </c>
      <c r="Q397" t="n">
        <v>0</v>
      </c>
      <c r="R397" s="2" t="inlineStr"/>
    </row>
    <row r="398" ht="15" customHeight="1">
      <c r="A398" t="inlineStr">
        <is>
          <t>A 50041-2025</t>
        </is>
      </c>
      <c r="B398" s="1" t="n">
        <v>45943.40491898148</v>
      </c>
      <c r="C398" s="1" t="n">
        <v>45999</v>
      </c>
      <c r="D398" t="inlineStr">
        <is>
          <t>VÄSTERBOTTENS LÄN</t>
        </is>
      </c>
      <c r="E398" t="inlineStr">
        <is>
          <t>BJURHOLM</t>
        </is>
      </c>
      <c r="G398" t="n">
        <v>1.5</v>
      </c>
      <c r="H398" t="n">
        <v>0</v>
      </c>
      <c r="I398" t="n">
        <v>0</v>
      </c>
      <c r="J398" t="n">
        <v>0</v>
      </c>
      <c r="K398" t="n">
        <v>0</v>
      </c>
      <c r="L398" t="n">
        <v>0</v>
      </c>
      <c r="M398" t="n">
        <v>0</v>
      </c>
      <c r="N398" t="n">
        <v>0</v>
      </c>
      <c r="O398" t="n">
        <v>0</v>
      </c>
      <c r="P398" t="n">
        <v>0</v>
      </c>
      <c r="Q398" t="n">
        <v>0</v>
      </c>
      <c r="R398" s="2" t="inlineStr"/>
    </row>
    <row r="399" ht="15" customHeight="1">
      <c r="A399" t="inlineStr">
        <is>
          <t>A 27256-2025</t>
        </is>
      </c>
      <c r="B399" s="1" t="n">
        <v>45812.47314814815</v>
      </c>
      <c r="C399" s="1" t="n">
        <v>45999</v>
      </c>
      <c r="D399" t="inlineStr">
        <is>
          <t>VÄSTERBOTTENS LÄN</t>
        </is>
      </c>
      <c r="E399" t="inlineStr">
        <is>
          <t>BJURHOLM</t>
        </is>
      </c>
      <c r="G399" t="n">
        <v>48.1</v>
      </c>
      <c r="H399" t="n">
        <v>0</v>
      </c>
      <c r="I399" t="n">
        <v>0</v>
      </c>
      <c r="J399" t="n">
        <v>0</v>
      </c>
      <c r="K399" t="n">
        <v>0</v>
      </c>
      <c r="L399" t="n">
        <v>0</v>
      </c>
      <c r="M399" t="n">
        <v>0</v>
      </c>
      <c r="N399" t="n">
        <v>0</v>
      </c>
      <c r="O399" t="n">
        <v>0</v>
      </c>
      <c r="P399" t="n">
        <v>0</v>
      </c>
      <c r="Q399" t="n">
        <v>0</v>
      </c>
      <c r="R399" s="2" t="inlineStr"/>
    </row>
    <row r="400" ht="15" customHeight="1">
      <c r="A400" t="inlineStr">
        <is>
          <t>A 45163-2025</t>
        </is>
      </c>
      <c r="B400" s="1" t="n">
        <v>45919.48994212963</v>
      </c>
      <c r="C400" s="1" t="n">
        <v>45999</v>
      </c>
      <c r="D400" t="inlineStr">
        <is>
          <t>VÄSTERBOTTENS LÄN</t>
        </is>
      </c>
      <c r="E400" t="inlineStr">
        <is>
          <t>BJURHOLM</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27597-2025</t>
        </is>
      </c>
      <c r="B401" s="1" t="n">
        <v>45813.52341435185</v>
      </c>
      <c r="C401" s="1" t="n">
        <v>45999</v>
      </c>
      <c r="D401" t="inlineStr">
        <is>
          <t>VÄSTERBOTTENS LÄN</t>
        </is>
      </c>
      <c r="E401" t="inlineStr">
        <is>
          <t>BJURHOLM</t>
        </is>
      </c>
      <c r="G401" t="n">
        <v>3.4</v>
      </c>
      <c r="H401" t="n">
        <v>0</v>
      </c>
      <c r="I401" t="n">
        <v>0</v>
      </c>
      <c r="J401" t="n">
        <v>0</v>
      </c>
      <c r="K401" t="n">
        <v>0</v>
      </c>
      <c r="L401" t="n">
        <v>0</v>
      </c>
      <c r="M401" t="n">
        <v>0</v>
      </c>
      <c r="N401" t="n">
        <v>0</v>
      </c>
      <c r="O401" t="n">
        <v>0</v>
      </c>
      <c r="P401" t="n">
        <v>0</v>
      </c>
      <c r="Q401" t="n">
        <v>0</v>
      </c>
      <c r="R401" s="2" t="inlineStr"/>
    </row>
    <row r="402" ht="15" customHeight="1">
      <c r="A402" t="inlineStr">
        <is>
          <t>A 27612-2025</t>
        </is>
      </c>
      <c r="B402" s="1" t="n">
        <v>45813.53979166667</v>
      </c>
      <c r="C402" s="1" t="n">
        <v>45999</v>
      </c>
      <c r="D402" t="inlineStr">
        <is>
          <t>VÄSTERBOTTENS LÄN</t>
        </is>
      </c>
      <c r="E402" t="inlineStr">
        <is>
          <t>BJURHOLM</t>
        </is>
      </c>
      <c r="G402" t="n">
        <v>3.9</v>
      </c>
      <c r="H402" t="n">
        <v>0</v>
      </c>
      <c r="I402" t="n">
        <v>0</v>
      </c>
      <c r="J402" t="n">
        <v>0</v>
      </c>
      <c r="K402" t="n">
        <v>0</v>
      </c>
      <c r="L402" t="n">
        <v>0</v>
      </c>
      <c r="M402" t="n">
        <v>0</v>
      </c>
      <c r="N402" t="n">
        <v>0</v>
      </c>
      <c r="O402" t="n">
        <v>0</v>
      </c>
      <c r="P402" t="n">
        <v>0</v>
      </c>
      <c r="Q402" t="n">
        <v>0</v>
      </c>
      <c r="R402" s="2" t="inlineStr"/>
    </row>
    <row r="403" ht="15" customHeight="1">
      <c r="A403" t="inlineStr">
        <is>
          <t>A 45168-2025</t>
        </is>
      </c>
      <c r="B403" s="1" t="n">
        <v>45919.49429398148</v>
      </c>
      <c r="C403" s="1" t="n">
        <v>45999</v>
      </c>
      <c r="D403" t="inlineStr">
        <is>
          <t>VÄSTERBOTTENS LÄN</t>
        </is>
      </c>
      <c r="E403" t="inlineStr">
        <is>
          <t>BJURHOLM</t>
        </is>
      </c>
      <c r="G403" t="n">
        <v>18.5</v>
      </c>
      <c r="H403" t="n">
        <v>0</v>
      </c>
      <c r="I403" t="n">
        <v>0</v>
      </c>
      <c r="J403" t="n">
        <v>0</v>
      </c>
      <c r="K403" t="n">
        <v>0</v>
      </c>
      <c r="L403" t="n">
        <v>0</v>
      </c>
      <c r="M403" t="n">
        <v>0</v>
      </c>
      <c r="N403" t="n">
        <v>0</v>
      </c>
      <c r="O403" t="n">
        <v>0</v>
      </c>
      <c r="P403" t="n">
        <v>0</v>
      </c>
      <c r="Q403" t="n">
        <v>0</v>
      </c>
      <c r="R403" s="2" t="inlineStr"/>
    </row>
    <row r="404" ht="15" customHeight="1">
      <c r="A404" t="inlineStr">
        <is>
          <t>A 54123-2025</t>
        </is>
      </c>
      <c r="B404" s="1" t="n">
        <v>45964.4562037037</v>
      </c>
      <c r="C404" s="1" t="n">
        <v>45999</v>
      </c>
      <c r="D404" t="inlineStr">
        <is>
          <t>VÄSTERBOTTENS LÄN</t>
        </is>
      </c>
      <c r="E404" t="inlineStr">
        <is>
          <t>BJURHOLM</t>
        </is>
      </c>
      <c r="G404" t="n">
        <v>1</v>
      </c>
      <c r="H404" t="n">
        <v>0</v>
      </c>
      <c r="I404" t="n">
        <v>0</v>
      </c>
      <c r="J404" t="n">
        <v>0</v>
      </c>
      <c r="K404" t="n">
        <v>0</v>
      </c>
      <c r="L404" t="n">
        <v>0</v>
      </c>
      <c r="M404" t="n">
        <v>0</v>
      </c>
      <c r="N404" t="n">
        <v>0</v>
      </c>
      <c r="O404" t="n">
        <v>0</v>
      </c>
      <c r="P404" t="n">
        <v>0</v>
      </c>
      <c r="Q404" t="n">
        <v>0</v>
      </c>
      <c r="R404" s="2" t="inlineStr"/>
    </row>
    <row r="405" ht="15" customHeight="1">
      <c r="A405" t="inlineStr">
        <is>
          <t>A 27614-2025</t>
        </is>
      </c>
      <c r="B405" s="1" t="n">
        <v>45813.54122685185</v>
      </c>
      <c r="C405" s="1" t="n">
        <v>45999</v>
      </c>
      <c r="D405" t="inlineStr">
        <is>
          <t>VÄSTERBOTTENS LÄN</t>
        </is>
      </c>
      <c r="E405" t="inlineStr">
        <is>
          <t>BJURHOLM</t>
        </is>
      </c>
      <c r="G405" t="n">
        <v>2.9</v>
      </c>
      <c r="H405" t="n">
        <v>0</v>
      </c>
      <c r="I405" t="n">
        <v>0</v>
      </c>
      <c r="J405" t="n">
        <v>0</v>
      </c>
      <c r="K405" t="n">
        <v>0</v>
      </c>
      <c r="L405" t="n">
        <v>0</v>
      </c>
      <c r="M405" t="n">
        <v>0</v>
      </c>
      <c r="N405" t="n">
        <v>0</v>
      </c>
      <c r="O405" t="n">
        <v>0</v>
      </c>
      <c r="P405" t="n">
        <v>0</v>
      </c>
      <c r="Q405" t="n">
        <v>0</v>
      </c>
      <c r="R405" s="2" t="inlineStr"/>
    </row>
    <row r="406" ht="15" customHeight="1">
      <c r="A406" t="inlineStr">
        <is>
          <t>A 45296-2025</t>
        </is>
      </c>
      <c r="B406" s="1" t="n">
        <v>45920.82388888889</v>
      </c>
      <c r="C406" s="1" t="n">
        <v>45999</v>
      </c>
      <c r="D406" t="inlineStr">
        <is>
          <t>VÄSTERBOTTENS LÄN</t>
        </is>
      </c>
      <c r="E406" t="inlineStr">
        <is>
          <t>BJURHOLM</t>
        </is>
      </c>
      <c r="G406" t="n">
        <v>6.9</v>
      </c>
      <c r="H406" t="n">
        <v>0</v>
      </c>
      <c r="I406" t="n">
        <v>0</v>
      </c>
      <c r="J406" t="n">
        <v>0</v>
      </c>
      <c r="K406" t="n">
        <v>0</v>
      </c>
      <c r="L406" t="n">
        <v>0</v>
      </c>
      <c r="M406" t="n">
        <v>0</v>
      </c>
      <c r="N406" t="n">
        <v>0</v>
      </c>
      <c r="O406" t="n">
        <v>0</v>
      </c>
      <c r="P406" t="n">
        <v>0</v>
      </c>
      <c r="Q406" t="n">
        <v>0</v>
      </c>
      <c r="R406" s="2" t="inlineStr"/>
    </row>
    <row r="407" ht="15" customHeight="1">
      <c r="A407" t="inlineStr">
        <is>
          <t>A 50494-2025</t>
        </is>
      </c>
      <c r="B407" s="1" t="n">
        <v>45945.40693287037</v>
      </c>
      <c r="C407" s="1" t="n">
        <v>45999</v>
      </c>
      <c r="D407" t="inlineStr">
        <is>
          <t>VÄSTERBOTTENS LÄN</t>
        </is>
      </c>
      <c r="E407" t="inlineStr">
        <is>
          <t>BJURHOLM</t>
        </is>
      </c>
      <c r="G407" t="n">
        <v>7.5</v>
      </c>
      <c r="H407" t="n">
        <v>0</v>
      </c>
      <c r="I407" t="n">
        <v>0</v>
      </c>
      <c r="J407" t="n">
        <v>0</v>
      </c>
      <c r="K407" t="n">
        <v>0</v>
      </c>
      <c r="L407" t="n">
        <v>0</v>
      </c>
      <c r="M407" t="n">
        <v>0</v>
      </c>
      <c r="N407" t="n">
        <v>0</v>
      </c>
      <c r="O407" t="n">
        <v>0</v>
      </c>
      <c r="P407" t="n">
        <v>0</v>
      </c>
      <c r="Q407" t="n">
        <v>0</v>
      </c>
      <c r="R407" s="2" t="inlineStr"/>
    </row>
    <row r="408" ht="15" customHeight="1">
      <c r="A408" t="inlineStr">
        <is>
          <t>A 50801-2025</t>
        </is>
      </c>
      <c r="B408" s="1" t="n">
        <v>45946.490625</v>
      </c>
      <c r="C408" s="1" t="n">
        <v>45999</v>
      </c>
      <c r="D408" t="inlineStr">
        <is>
          <t>VÄSTERBOTTENS LÄN</t>
        </is>
      </c>
      <c r="E408" t="inlineStr">
        <is>
          <t>BJURHOLM</t>
        </is>
      </c>
      <c r="G408" t="n">
        <v>3.9</v>
      </c>
      <c r="H408" t="n">
        <v>0</v>
      </c>
      <c r="I408" t="n">
        <v>0</v>
      </c>
      <c r="J408" t="n">
        <v>0</v>
      </c>
      <c r="K408" t="n">
        <v>0</v>
      </c>
      <c r="L408" t="n">
        <v>0</v>
      </c>
      <c r="M408" t="n">
        <v>0</v>
      </c>
      <c r="N408" t="n">
        <v>0</v>
      </c>
      <c r="O408" t="n">
        <v>0</v>
      </c>
      <c r="P408" t="n">
        <v>0</v>
      </c>
      <c r="Q408" t="n">
        <v>0</v>
      </c>
      <c r="R408" s="2" t="inlineStr"/>
    </row>
    <row r="409" ht="15" customHeight="1">
      <c r="A409" t="inlineStr">
        <is>
          <t>A 50810-2025</t>
        </is>
      </c>
      <c r="B409" s="1" t="n">
        <v>45946.51113425926</v>
      </c>
      <c r="C409" s="1" t="n">
        <v>45999</v>
      </c>
      <c r="D409" t="inlineStr">
        <is>
          <t>VÄSTERBOTTENS LÄN</t>
        </is>
      </c>
      <c r="E409" t="inlineStr">
        <is>
          <t>BJURHOLM</t>
        </is>
      </c>
      <c r="G409" t="n">
        <v>8.6</v>
      </c>
      <c r="H409" t="n">
        <v>0</v>
      </c>
      <c r="I409" t="n">
        <v>0</v>
      </c>
      <c r="J409" t="n">
        <v>0</v>
      </c>
      <c r="K409" t="n">
        <v>0</v>
      </c>
      <c r="L409" t="n">
        <v>0</v>
      </c>
      <c r="M409" t="n">
        <v>0</v>
      </c>
      <c r="N409" t="n">
        <v>0</v>
      </c>
      <c r="O409" t="n">
        <v>0</v>
      </c>
      <c r="P409" t="n">
        <v>0</v>
      </c>
      <c r="Q409" t="n">
        <v>0</v>
      </c>
      <c r="R409" s="2" t="inlineStr"/>
    </row>
    <row r="410" ht="15" customHeight="1">
      <c r="A410" t="inlineStr">
        <is>
          <t>A 28022-2025</t>
        </is>
      </c>
      <c r="B410" s="1" t="n">
        <v>45817.61836805556</v>
      </c>
      <c r="C410" s="1" t="n">
        <v>45999</v>
      </c>
      <c r="D410" t="inlineStr">
        <is>
          <t>VÄSTERBOTTENS LÄN</t>
        </is>
      </c>
      <c r="E410" t="inlineStr">
        <is>
          <t>BJURHOLM</t>
        </is>
      </c>
      <c r="F410" t="inlineStr">
        <is>
          <t>Holmen skog AB</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28032-2025</t>
        </is>
      </c>
      <c r="B411" s="1" t="n">
        <v>45817.63113425926</v>
      </c>
      <c r="C411" s="1" t="n">
        <v>45999</v>
      </c>
      <c r="D411" t="inlineStr">
        <is>
          <t>VÄSTERBOTTENS LÄN</t>
        </is>
      </c>
      <c r="E411" t="inlineStr">
        <is>
          <t>BJURHOLM</t>
        </is>
      </c>
      <c r="F411" t="inlineStr">
        <is>
          <t>Holmen skog AB</t>
        </is>
      </c>
      <c r="G411" t="n">
        <v>4.7</v>
      </c>
      <c r="H411" t="n">
        <v>0</v>
      </c>
      <c r="I411" t="n">
        <v>0</v>
      </c>
      <c r="J411" t="n">
        <v>0</v>
      </c>
      <c r="K411" t="n">
        <v>0</v>
      </c>
      <c r="L411" t="n">
        <v>0</v>
      </c>
      <c r="M411" t="n">
        <v>0</v>
      </c>
      <c r="N411" t="n">
        <v>0</v>
      </c>
      <c r="O411" t="n">
        <v>0</v>
      </c>
      <c r="P411" t="n">
        <v>0</v>
      </c>
      <c r="Q411" t="n">
        <v>0</v>
      </c>
      <c r="R411" s="2" t="inlineStr"/>
    </row>
    <row r="412" ht="15" customHeight="1">
      <c r="A412" t="inlineStr">
        <is>
          <t>A 50811-2025</t>
        </is>
      </c>
      <c r="B412" s="1" t="n">
        <v>45946.51122685185</v>
      </c>
      <c r="C412" s="1" t="n">
        <v>45999</v>
      </c>
      <c r="D412" t="inlineStr">
        <is>
          <t>VÄSTERBOTTENS LÄN</t>
        </is>
      </c>
      <c r="E412" t="inlineStr">
        <is>
          <t>BJURHOLM</t>
        </is>
      </c>
      <c r="G412" t="n">
        <v>0.7</v>
      </c>
      <c r="H412" t="n">
        <v>0</v>
      </c>
      <c r="I412" t="n">
        <v>0</v>
      </c>
      <c r="J412" t="n">
        <v>0</v>
      </c>
      <c r="K412" t="n">
        <v>0</v>
      </c>
      <c r="L412" t="n">
        <v>0</v>
      </c>
      <c r="M412" t="n">
        <v>0</v>
      </c>
      <c r="N412" t="n">
        <v>0</v>
      </c>
      <c r="O412" t="n">
        <v>0</v>
      </c>
      <c r="P412" t="n">
        <v>0</v>
      </c>
      <c r="Q412" t="n">
        <v>0</v>
      </c>
      <c r="R412" s="2" t="inlineStr"/>
    </row>
    <row r="413" ht="15" customHeight="1">
      <c r="A413" t="inlineStr">
        <is>
          <t>A 46193-2025</t>
        </is>
      </c>
      <c r="B413" s="1" t="n">
        <v>45924.67805555555</v>
      </c>
      <c r="C413" s="1" t="n">
        <v>45999</v>
      </c>
      <c r="D413" t="inlineStr">
        <is>
          <t>VÄSTERBOTTENS LÄN</t>
        </is>
      </c>
      <c r="E413" t="inlineStr">
        <is>
          <t>BJURHOLM</t>
        </is>
      </c>
      <c r="F413" t="inlineStr">
        <is>
          <t>SCA</t>
        </is>
      </c>
      <c r="G413" t="n">
        <v>4.5</v>
      </c>
      <c r="H413" t="n">
        <v>0</v>
      </c>
      <c r="I413" t="n">
        <v>0</v>
      </c>
      <c r="J413" t="n">
        <v>0</v>
      </c>
      <c r="K413" t="n">
        <v>0</v>
      </c>
      <c r="L413" t="n">
        <v>0</v>
      </c>
      <c r="M413" t="n">
        <v>0</v>
      </c>
      <c r="N413" t="n">
        <v>0</v>
      </c>
      <c r="O413" t="n">
        <v>0</v>
      </c>
      <c r="P413" t="n">
        <v>0</v>
      </c>
      <c r="Q413" t="n">
        <v>0</v>
      </c>
      <c r="R413" s="2" t="inlineStr"/>
    </row>
    <row r="414" ht="15" customHeight="1">
      <c r="A414" t="inlineStr">
        <is>
          <t>A 50877-2025</t>
        </is>
      </c>
      <c r="B414" s="1" t="n">
        <v>45946.61516203704</v>
      </c>
      <c r="C414" s="1" t="n">
        <v>45999</v>
      </c>
      <c r="D414" t="inlineStr">
        <is>
          <t>VÄSTERBOTTENS LÄN</t>
        </is>
      </c>
      <c r="E414" t="inlineStr">
        <is>
          <t>BJURHOLM</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59073-2025</t>
        </is>
      </c>
      <c r="B415" s="1" t="n">
        <v>45988.42684027777</v>
      </c>
      <c r="C415" s="1" t="n">
        <v>45999</v>
      </c>
      <c r="D415" t="inlineStr">
        <is>
          <t>VÄSTERBOTTENS LÄN</t>
        </is>
      </c>
      <c r="E415" t="inlineStr">
        <is>
          <t>BJURHOLM</t>
        </is>
      </c>
      <c r="F415" t="inlineStr">
        <is>
          <t>Holmen skog AB</t>
        </is>
      </c>
      <c r="G415" t="n">
        <v>11.8</v>
      </c>
      <c r="H415" t="n">
        <v>0</v>
      </c>
      <c r="I415" t="n">
        <v>0</v>
      </c>
      <c r="J415" t="n">
        <v>0</v>
      </c>
      <c r="K415" t="n">
        <v>0</v>
      </c>
      <c r="L415" t="n">
        <v>0</v>
      </c>
      <c r="M415" t="n">
        <v>0</v>
      </c>
      <c r="N415" t="n">
        <v>0</v>
      </c>
      <c r="O415" t="n">
        <v>0</v>
      </c>
      <c r="P415" t="n">
        <v>0</v>
      </c>
      <c r="Q415" t="n">
        <v>0</v>
      </c>
      <c r="R415" s="2" t="inlineStr"/>
    </row>
    <row r="416" ht="15" customHeight="1">
      <c r="A416" t="inlineStr">
        <is>
          <t>A 59279-2025</t>
        </is>
      </c>
      <c r="B416" s="1" t="n">
        <v>45988.7138425926</v>
      </c>
      <c r="C416" s="1" t="n">
        <v>45999</v>
      </c>
      <c r="D416" t="inlineStr">
        <is>
          <t>VÄSTERBOTTENS LÄN</t>
        </is>
      </c>
      <c r="E416" t="inlineStr">
        <is>
          <t>BJURHOLM</t>
        </is>
      </c>
      <c r="G416" t="n">
        <v>0.6</v>
      </c>
      <c r="H416" t="n">
        <v>0</v>
      </c>
      <c r="I416" t="n">
        <v>0</v>
      </c>
      <c r="J416" t="n">
        <v>0</v>
      </c>
      <c r="K416" t="n">
        <v>0</v>
      </c>
      <c r="L416" t="n">
        <v>0</v>
      </c>
      <c r="M416" t="n">
        <v>0</v>
      </c>
      <c r="N416" t="n">
        <v>0</v>
      </c>
      <c r="O416" t="n">
        <v>0</v>
      </c>
      <c r="P416" t="n">
        <v>0</v>
      </c>
      <c r="Q416" t="n">
        <v>0</v>
      </c>
      <c r="R416" s="2" t="inlineStr"/>
    </row>
    <row r="417" ht="15" customHeight="1">
      <c r="A417" t="inlineStr">
        <is>
          <t>A 59278-2025</t>
        </is>
      </c>
      <c r="B417" s="1" t="n">
        <v>45988.70458333333</v>
      </c>
      <c r="C417" s="1" t="n">
        <v>45999</v>
      </c>
      <c r="D417" t="inlineStr">
        <is>
          <t>VÄSTERBOTTENS LÄN</t>
        </is>
      </c>
      <c r="E417" t="inlineStr">
        <is>
          <t>BJURHOLM</t>
        </is>
      </c>
      <c r="G417" t="n">
        <v>3.8</v>
      </c>
      <c r="H417" t="n">
        <v>0</v>
      </c>
      <c r="I417" t="n">
        <v>0</v>
      </c>
      <c r="J417" t="n">
        <v>0</v>
      </c>
      <c r="K417" t="n">
        <v>0</v>
      </c>
      <c r="L417" t="n">
        <v>0</v>
      </c>
      <c r="M417" t="n">
        <v>0</v>
      </c>
      <c r="N417" t="n">
        <v>0</v>
      </c>
      <c r="O417" t="n">
        <v>0</v>
      </c>
      <c r="P417" t="n">
        <v>0</v>
      </c>
      <c r="Q417" t="n">
        <v>0</v>
      </c>
      <c r="R417" s="2" t="inlineStr"/>
    </row>
    <row r="418" ht="15" customHeight="1">
      <c r="A418" t="inlineStr">
        <is>
          <t>A 59386-2025</t>
        </is>
      </c>
      <c r="B418" s="1" t="n">
        <v>45989.45841435185</v>
      </c>
      <c r="C418" s="1" t="n">
        <v>45999</v>
      </c>
      <c r="D418" t="inlineStr">
        <is>
          <t>VÄSTERBOTTENS LÄN</t>
        </is>
      </c>
      <c r="E418" t="inlineStr">
        <is>
          <t>BJURHOLM</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59324-2025</t>
        </is>
      </c>
      <c r="B419" s="1" t="n">
        <v>45989.3446412037</v>
      </c>
      <c r="C419" s="1" t="n">
        <v>45999</v>
      </c>
      <c r="D419" t="inlineStr">
        <is>
          <t>VÄSTERBOTTENS LÄN</t>
        </is>
      </c>
      <c r="E419" t="inlineStr">
        <is>
          <t>BJURHOLM</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46735-2025</t>
        </is>
      </c>
      <c r="B420" s="1" t="n">
        <v>45926.59788194444</v>
      </c>
      <c r="C420" s="1" t="n">
        <v>45999</v>
      </c>
      <c r="D420" t="inlineStr">
        <is>
          <t>VÄSTERBOTTENS LÄN</t>
        </is>
      </c>
      <c r="E420" t="inlineStr">
        <is>
          <t>BJURHOLM</t>
        </is>
      </c>
      <c r="F420" t="inlineStr">
        <is>
          <t>Holmen skog AB</t>
        </is>
      </c>
      <c r="G420" t="n">
        <v>5.2</v>
      </c>
      <c r="H420" t="n">
        <v>0</v>
      </c>
      <c r="I420" t="n">
        <v>0</v>
      </c>
      <c r="J420" t="n">
        <v>0</v>
      </c>
      <c r="K420" t="n">
        <v>0</v>
      </c>
      <c r="L420" t="n">
        <v>0</v>
      </c>
      <c r="M420" t="n">
        <v>0</v>
      </c>
      <c r="N420" t="n">
        <v>0</v>
      </c>
      <c r="O420" t="n">
        <v>0</v>
      </c>
      <c r="P420" t="n">
        <v>0</v>
      </c>
      <c r="Q420" t="n">
        <v>0</v>
      </c>
      <c r="R420" s="2" t="inlineStr"/>
    </row>
    <row r="421" ht="15" customHeight="1">
      <c r="A421" t="inlineStr">
        <is>
          <t>A 29712-2025</t>
        </is>
      </c>
      <c r="B421" s="1" t="n">
        <v>45825.56524305556</v>
      </c>
      <c r="C421" s="1" t="n">
        <v>45999</v>
      </c>
      <c r="D421" t="inlineStr">
        <is>
          <t>VÄSTERBOTTENS LÄN</t>
        </is>
      </c>
      <c r="E421" t="inlineStr">
        <is>
          <t>BJURHOLM</t>
        </is>
      </c>
      <c r="G421" t="n">
        <v>1.8</v>
      </c>
      <c r="H421" t="n">
        <v>0</v>
      </c>
      <c r="I421" t="n">
        <v>0</v>
      </c>
      <c r="J421" t="n">
        <v>0</v>
      </c>
      <c r="K421" t="n">
        <v>0</v>
      </c>
      <c r="L421" t="n">
        <v>0</v>
      </c>
      <c r="M421" t="n">
        <v>0</v>
      </c>
      <c r="N421" t="n">
        <v>0</v>
      </c>
      <c r="O421" t="n">
        <v>0</v>
      </c>
      <c r="P421" t="n">
        <v>0</v>
      </c>
      <c r="Q421" t="n">
        <v>0</v>
      </c>
      <c r="R421" s="2" t="inlineStr"/>
    </row>
    <row r="422" ht="15" customHeight="1">
      <c r="A422" t="inlineStr">
        <is>
          <t>A 47151-2025</t>
        </is>
      </c>
      <c r="B422" s="1" t="n">
        <v>45929.72506944444</v>
      </c>
      <c r="C422" s="1" t="n">
        <v>45999</v>
      </c>
      <c r="D422" t="inlineStr">
        <is>
          <t>VÄSTERBOTTENS LÄN</t>
        </is>
      </c>
      <c r="E422" t="inlineStr">
        <is>
          <t>BJURHOLM</t>
        </is>
      </c>
      <c r="G422" t="n">
        <v>0.5</v>
      </c>
      <c r="H422" t="n">
        <v>0</v>
      </c>
      <c r="I422" t="n">
        <v>0</v>
      </c>
      <c r="J422" t="n">
        <v>0</v>
      </c>
      <c r="K422" t="n">
        <v>0</v>
      </c>
      <c r="L422" t="n">
        <v>0</v>
      </c>
      <c r="M422" t="n">
        <v>0</v>
      </c>
      <c r="N422" t="n">
        <v>0</v>
      </c>
      <c r="O422" t="n">
        <v>0</v>
      </c>
      <c r="P422" t="n">
        <v>0</v>
      </c>
      <c r="Q422" t="n">
        <v>0</v>
      </c>
      <c r="R422" s="2" t="inlineStr"/>
    </row>
    <row r="423" ht="15" customHeight="1">
      <c r="A423" t="inlineStr">
        <is>
          <t>A 60060-2025</t>
        </is>
      </c>
      <c r="B423" s="1" t="n">
        <v>45993.65642361111</v>
      </c>
      <c r="C423" s="1" t="n">
        <v>45999</v>
      </c>
      <c r="D423" t="inlineStr">
        <is>
          <t>VÄSTERBOTTENS LÄN</t>
        </is>
      </c>
      <c r="E423" t="inlineStr">
        <is>
          <t>BJURHOLM</t>
        </is>
      </c>
      <c r="G423" t="n">
        <v>2.4</v>
      </c>
      <c r="H423" t="n">
        <v>0</v>
      </c>
      <c r="I423" t="n">
        <v>0</v>
      </c>
      <c r="J423" t="n">
        <v>0</v>
      </c>
      <c r="K423" t="n">
        <v>0</v>
      </c>
      <c r="L423" t="n">
        <v>0</v>
      </c>
      <c r="M423" t="n">
        <v>0</v>
      </c>
      <c r="N423" t="n">
        <v>0</v>
      </c>
      <c r="O423" t="n">
        <v>0</v>
      </c>
      <c r="P423" t="n">
        <v>0</v>
      </c>
      <c r="Q423" t="n">
        <v>0</v>
      </c>
      <c r="R423" s="2" t="inlineStr"/>
    </row>
    <row r="424" ht="15" customHeight="1">
      <c r="A424" t="inlineStr">
        <is>
          <t>A 53117-2025</t>
        </is>
      </c>
      <c r="B424" s="1" t="n">
        <v>45958</v>
      </c>
      <c r="C424" s="1" t="n">
        <v>45999</v>
      </c>
      <c r="D424" t="inlineStr">
        <is>
          <t>VÄSTERBOTTENS LÄN</t>
        </is>
      </c>
      <c r="E424" t="inlineStr">
        <is>
          <t>BJURHOLM</t>
        </is>
      </c>
      <c r="G424" t="n">
        <v>1</v>
      </c>
      <c r="H424" t="n">
        <v>0</v>
      </c>
      <c r="I424" t="n">
        <v>0</v>
      </c>
      <c r="J424" t="n">
        <v>0</v>
      </c>
      <c r="K424" t="n">
        <v>0</v>
      </c>
      <c r="L424" t="n">
        <v>0</v>
      </c>
      <c r="M424" t="n">
        <v>0</v>
      </c>
      <c r="N424" t="n">
        <v>0</v>
      </c>
      <c r="O424" t="n">
        <v>0</v>
      </c>
      <c r="P424" t="n">
        <v>0</v>
      </c>
      <c r="Q424" t="n">
        <v>0</v>
      </c>
      <c r="R424" s="2" t="inlineStr"/>
    </row>
    <row r="425" ht="15" customHeight="1">
      <c r="A425" t="inlineStr">
        <is>
          <t>A 30672-2025</t>
        </is>
      </c>
      <c r="B425" s="1" t="n">
        <v>45831.51869212963</v>
      </c>
      <c r="C425" s="1" t="n">
        <v>45999</v>
      </c>
      <c r="D425" t="inlineStr">
        <is>
          <t>VÄSTERBOTTENS LÄN</t>
        </is>
      </c>
      <c r="E425" t="inlineStr">
        <is>
          <t>BJURHOLM</t>
        </is>
      </c>
      <c r="F425" t="inlineStr">
        <is>
          <t>Sveaskog</t>
        </is>
      </c>
      <c r="G425" t="n">
        <v>20.4</v>
      </c>
      <c r="H425" t="n">
        <v>0</v>
      </c>
      <c r="I425" t="n">
        <v>0</v>
      </c>
      <c r="J425" t="n">
        <v>0</v>
      </c>
      <c r="K425" t="n">
        <v>0</v>
      </c>
      <c r="L425" t="n">
        <v>0</v>
      </c>
      <c r="M425" t="n">
        <v>0</v>
      </c>
      <c r="N425" t="n">
        <v>0</v>
      </c>
      <c r="O425" t="n">
        <v>0</v>
      </c>
      <c r="P425" t="n">
        <v>0</v>
      </c>
      <c r="Q425" t="n">
        <v>0</v>
      </c>
      <c r="R425" s="2" t="inlineStr"/>
    </row>
    <row r="426" ht="15" customHeight="1">
      <c r="A426" t="inlineStr">
        <is>
          <t>A 30675-2025</t>
        </is>
      </c>
      <c r="B426" s="1" t="n">
        <v>45831.52111111111</v>
      </c>
      <c r="C426" s="1" t="n">
        <v>45999</v>
      </c>
      <c r="D426" t="inlineStr">
        <is>
          <t>VÄSTERBOTTENS LÄN</t>
        </is>
      </c>
      <c r="E426" t="inlineStr">
        <is>
          <t>BJURHOLM</t>
        </is>
      </c>
      <c r="F426" t="inlineStr">
        <is>
          <t>Sveaskog</t>
        </is>
      </c>
      <c r="G426" t="n">
        <v>18.7</v>
      </c>
      <c r="H426" t="n">
        <v>0</v>
      </c>
      <c r="I426" t="n">
        <v>0</v>
      </c>
      <c r="J426" t="n">
        <v>0</v>
      </c>
      <c r="K426" t="n">
        <v>0</v>
      </c>
      <c r="L426" t="n">
        <v>0</v>
      </c>
      <c r="M426" t="n">
        <v>0</v>
      </c>
      <c r="N426" t="n">
        <v>0</v>
      </c>
      <c r="O426" t="n">
        <v>0</v>
      </c>
      <c r="P426" t="n">
        <v>0</v>
      </c>
      <c r="Q426" t="n">
        <v>0</v>
      </c>
      <c r="R426" s="2" t="inlineStr"/>
    </row>
    <row r="427" ht="15" customHeight="1">
      <c r="A427" t="inlineStr">
        <is>
          <t>A 31116-2025</t>
        </is>
      </c>
      <c r="B427" s="1" t="n">
        <v>45832.61597222222</v>
      </c>
      <c r="C427" s="1" t="n">
        <v>45999</v>
      </c>
      <c r="D427" t="inlineStr">
        <is>
          <t>VÄSTERBOTTENS LÄN</t>
        </is>
      </c>
      <c r="E427" t="inlineStr">
        <is>
          <t>BJURHOLM</t>
        </is>
      </c>
      <c r="G427" t="n">
        <v>33.5</v>
      </c>
      <c r="H427" t="n">
        <v>0</v>
      </c>
      <c r="I427" t="n">
        <v>0</v>
      </c>
      <c r="J427" t="n">
        <v>0</v>
      </c>
      <c r="K427" t="n">
        <v>0</v>
      </c>
      <c r="L427" t="n">
        <v>0</v>
      </c>
      <c r="M427" t="n">
        <v>0</v>
      </c>
      <c r="N427" t="n">
        <v>0</v>
      </c>
      <c r="O427" t="n">
        <v>0</v>
      </c>
      <c r="P427" t="n">
        <v>0</v>
      </c>
      <c r="Q427" t="n">
        <v>0</v>
      </c>
      <c r="R427" s="2" t="inlineStr"/>
    </row>
    <row r="428" ht="15" customHeight="1">
      <c r="A428" t="inlineStr">
        <is>
          <t>A 31637-2025</t>
        </is>
      </c>
      <c r="B428" s="1" t="n">
        <v>45834.33939814815</v>
      </c>
      <c r="C428" s="1" t="n">
        <v>45999</v>
      </c>
      <c r="D428" t="inlineStr">
        <is>
          <t>VÄSTERBOTTENS LÄN</t>
        </is>
      </c>
      <c r="E428" t="inlineStr">
        <is>
          <t>BJURHOLM</t>
        </is>
      </c>
      <c r="F428" t="inlineStr">
        <is>
          <t>Holmen skog AB</t>
        </is>
      </c>
      <c r="G428" t="n">
        <v>0.6</v>
      </c>
      <c r="H428" t="n">
        <v>0</v>
      </c>
      <c r="I428" t="n">
        <v>0</v>
      </c>
      <c r="J428" t="n">
        <v>0</v>
      </c>
      <c r="K428" t="n">
        <v>0</v>
      </c>
      <c r="L428" t="n">
        <v>0</v>
      </c>
      <c r="M428" t="n">
        <v>0</v>
      </c>
      <c r="N428" t="n">
        <v>0</v>
      </c>
      <c r="O428" t="n">
        <v>0</v>
      </c>
      <c r="P428" t="n">
        <v>0</v>
      </c>
      <c r="Q428" t="n">
        <v>0</v>
      </c>
      <c r="R428" s="2" t="inlineStr"/>
    </row>
    <row r="429" ht="15" customHeight="1">
      <c r="A429" t="inlineStr">
        <is>
          <t>A 32584-2025</t>
        </is>
      </c>
      <c r="B429" s="1" t="n">
        <v>45838.59995370371</v>
      </c>
      <c r="C429" s="1" t="n">
        <v>45999</v>
      </c>
      <c r="D429" t="inlineStr">
        <is>
          <t>VÄSTERBOTTENS LÄN</t>
        </is>
      </c>
      <c r="E429" t="inlineStr">
        <is>
          <t>BJURHOLM</t>
        </is>
      </c>
      <c r="G429" t="n">
        <v>1.1</v>
      </c>
      <c r="H429" t="n">
        <v>0</v>
      </c>
      <c r="I429" t="n">
        <v>0</v>
      </c>
      <c r="J429" t="n">
        <v>0</v>
      </c>
      <c r="K429" t="n">
        <v>0</v>
      </c>
      <c r="L429" t="n">
        <v>0</v>
      </c>
      <c r="M429" t="n">
        <v>0</v>
      </c>
      <c r="N429" t="n">
        <v>0</v>
      </c>
      <c r="O429" t="n">
        <v>0</v>
      </c>
      <c r="P429" t="n">
        <v>0</v>
      </c>
      <c r="Q429" t="n">
        <v>0</v>
      </c>
      <c r="R429" s="2" t="inlineStr"/>
    </row>
    <row r="430" ht="15" customHeight="1">
      <c r="A430" t="inlineStr">
        <is>
          <t>A 32311-2025</t>
        </is>
      </c>
      <c r="B430" s="1" t="n">
        <v>45835.8281712963</v>
      </c>
      <c r="C430" s="1" t="n">
        <v>45999</v>
      </c>
      <c r="D430" t="inlineStr">
        <is>
          <t>VÄSTERBOTTENS LÄN</t>
        </is>
      </c>
      <c r="E430" t="inlineStr">
        <is>
          <t>BJURHOLM</t>
        </is>
      </c>
      <c r="F430" t="inlineStr">
        <is>
          <t>Holmen skog AB</t>
        </is>
      </c>
      <c r="G430" t="n">
        <v>8.1</v>
      </c>
      <c r="H430" t="n">
        <v>0</v>
      </c>
      <c r="I430" t="n">
        <v>0</v>
      </c>
      <c r="J430" t="n">
        <v>0</v>
      </c>
      <c r="K430" t="n">
        <v>0</v>
      </c>
      <c r="L430" t="n">
        <v>0</v>
      </c>
      <c r="M430" t="n">
        <v>0</v>
      </c>
      <c r="N430" t="n">
        <v>0</v>
      </c>
      <c r="O430" t="n">
        <v>0</v>
      </c>
      <c r="P430" t="n">
        <v>0</v>
      </c>
      <c r="Q430" t="n">
        <v>0</v>
      </c>
      <c r="R430" s="2" t="inlineStr"/>
    </row>
    <row r="431" ht="15" customHeight="1">
      <c r="A431" t="inlineStr">
        <is>
          <t>A 52208-2025</t>
        </is>
      </c>
      <c r="B431" s="1" t="n">
        <v>45953.41458333333</v>
      </c>
      <c r="C431" s="1" t="n">
        <v>45999</v>
      </c>
      <c r="D431" t="inlineStr">
        <is>
          <t>VÄSTERBOTTENS LÄN</t>
        </is>
      </c>
      <c r="E431" t="inlineStr">
        <is>
          <t>BJURHOLM</t>
        </is>
      </c>
      <c r="G431" t="n">
        <v>5.9</v>
      </c>
      <c r="H431" t="n">
        <v>0</v>
      </c>
      <c r="I431" t="n">
        <v>0</v>
      </c>
      <c r="J431" t="n">
        <v>0</v>
      </c>
      <c r="K431" t="n">
        <v>0</v>
      </c>
      <c r="L431" t="n">
        <v>0</v>
      </c>
      <c r="M431" t="n">
        <v>0</v>
      </c>
      <c r="N431" t="n">
        <v>0</v>
      </c>
      <c r="O431" t="n">
        <v>0</v>
      </c>
      <c r="P431" t="n">
        <v>0</v>
      </c>
      <c r="Q431" t="n">
        <v>0</v>
      </c>
      <c r="R431" s="2" t="inlineStr"/>
    </row>
    <row r="432" ht="15" customHeight="1">
      <c r="A432" t="inlineStr">
        <is>
          <t>A 52235-2025</t>
        </is>
      </c>
      <c r="B432" s="1" t="n">
        <v>45953.4543287037</v>
      </c>
      <c r="C432" s="1" t="n">
        <v>45999</v>
      </c>
      <c r="D432" t="inlineStr">
        <is>
          <t>VÄSTERBOTTENS LÄN</t>
        </is>
      </c>
      <c r="E432" t="inlineStr">
        <is>
          <t>BJURHOLM</t>
        </is>
      </c>
      <c r="G432" t="n">
        <v>14</v>
      </c>
      <c r="H432" t="n">
        <v>0</v>
      </c>
      <c r="I432" t="n">
        <v>0</v>
      </c>
      <c r="J432" t="n">
        <v>0</v>
      </c>
      <c r="K432" t="n">
        <v>0</v>
      </c>
      <c r="L432" t="n">
        <v>0</v>
      </c>
      <c r="M432" t="n">
        <v>0</v>
      </c>
      <c r="N432" t="n">
        <v>0</v>
      </c>
      <c r="O432" t="n">
        <v>0</v>
      </c>
      <c r="P432" t="n">
        <v>0</v>
      </c>
      <c r="Q432" t="n">
        <v>0</v>
      </c>
      <c r="R432" s="2" t="inlineStr"/>
    </row>
    <row r="433" ht="15" customHeight="1">
      <c r="A433" t="inlineStr">
        <is>
          <t>A 32314-2025</t>
        </is>
      </c>
      <c r="B433" s="1" t="n">
        <v>45835.87006944444</v>
      </c>
      <c r="C433" s="1" t="n">
        <v>45999</v>
      </c>
      <c r="D433" t="inlineStr">
        <is>
          <t>VÄSTERBOTTENS LÄN</t>
        </is>
      </c>
      <c r="E433" t="inlineStr">
        <is>
          <t>BJURHOLM</t>
        </is>
      </c>
      <c r="F433" t="inlineStr">
        <is>
          <t>Holmen skog AB</t>
        </is>
      </c>
      <c r="G433" t="n">
        <v>5.4</v>
      </c>
      <c r="H433" t="n">
        <v>0</v>
      </c>
      <c r="I433" t="n">
        <v>0</v>
      </c>
      <c r="J433" t="n">
        <v>0</v>
      </c>
      <c r="K433" t="n">
        <v>0</v>
      </c>
      <c r="L433" t="n">
        <v>0</v>
      </c>
      <c r="M433" t="n">
        <v>0</v>
      </c>
      <c r="N433" t="n">
        <v>0</v>
      </c>
      <c r="O433" t="n">
        <v>0</v>
      </c>
      <c r="P433" t="n">
        <v>0</v>
      </c>
      <c r="Q433" t="n">
        <v>0</v>
      </c>
      <c r="R433" s="2" t="inlineStr"/>
    </row>
    <row r="434" ht="15" customHeight="1">
      <c r="A434" t="inlineStr">
        <is>
          <t>A 15054-2024</t>
        </is>
      </c>
      <c r="B434" s="1" t="n">
        <v>45399</v>
      </c>
      <c r="C434" s="1" t="n">
        <v>45999</v>
      </c>
      <c r="D434" t="inlineStr">
        <is>
          <t>VÄSTERBOTTENS LÄN</t>
        </is>
      </c>
      <c r="E434" t="inlineStr">
        <is>
          <t>BJURHOLM</t>
        </is>
      </c>
      <c r="G434" t="n">
        <v>0.7</v>
      </c>
      <c r="H434" t="n">
        <v>0</v>
      </c>
      <c r="I434" t="n">
        <v>0</v>
      </c>
      <c r="J434" t="n">
        <v>0</v>
      </c>
      <c r="K434" t="n">
        <v>0</v>
      </c>
      <c r="L434" t="n">
        <v>0</v>
      </c>
      <c r="M434" t="n">
        <v>0</v>
      </c>
      <c r="N434" t="n">
        <v>0</v>
      </c>
      <c r="O434" t="n">
        <v>0</v>
      </c>
      <c r="P434" t="n">
        <v>0</v>
      </c>
      <c r="Q434" t="n">
        <v>0</v>
      </c>
      <c r="R434" s="2" t="inlineStr"/>
    </row>
    <row r="435" ht="15" customHeight="1">
      <c r="A435" t="inlineStr">
        <is>
          <t>A 57697-2024</t>
        </is>
      </c>
      <c r="B435" s="1" t="n">
        <v>45630.66277777778</v>
      </c>
      <c r="C435" s="1" t="n">
        <v>45999</v>
      </c>
      <c r="D435" t="inlineStr">
        <is>
          <t>VÄSTERBOTTENS LÄN</t>
        </is>
      </c>
      <c r="E435" t="inlineStr">
        <is>
          <t>BJURHOLM</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61044-2022</t>
        </is>
      </c>
      <c r="B436" s="1" t="n">
        <v>44914.97001157407</v>
      </c>
      <c r="C436" s="1" t="n">
        <v>45999</v>
      </c>
      <c r="D436" t="inlineStr">
        <is>
          <t>VÄSTERBOTTENS LÄN</t>
        </is>
      </c>
      <c r="E436" t="inlineStr">
        <is>
          <t>BJURHOLM</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34347-2025</t>
        </is>
      </c>
      <c r="B437" s="1" t="n">
        <v>45846.4693287037</v>
      </c>
      <c r="C437" s="1" t="n">
        <v>45999</v>
      </c>
      <c r="D437" t="inlineStr">
        <is>
          <t>VÄSTERBOTTENS LÄN</t>
        </is>
      </c>
      <c r="E437" t="inlineStr">
        <is>
          <t>BJURHOLM</t>
        </is>
      </c>
      <c r="G437" t="n">
        <v>0.8</v>
      </c>
      <c r="H437" t="n">
        <v>0</v>
      </c>
      <c r="I437" t="n">
        <v>0</v>
      </c>
      <c r="J437" t="n">
        <v>0</v>
      </c>
      <c r="K437" t="n">
        <v>0</v>
      </c>
      <c r="L437" t="n">
        <v>0</v>
      </c>
      <c r="M437" t="n">
        <v>0</v>
      </c>
      <c r="N437" t="n">
        <v>0</v>
      </c>
      <c r="O437" t="n">
        <v>0</v>
      </c>
      <c r="P437" t="n">
        <v>0</v>
      </c>
      <c r="Q437" t="n">
        <v>0</v>
      </c>
      <c r="R437" s="2" t="inlineStr"/>
    </row>
    <row r="438" ht="15" customHeight="1">
      <c r="A438" t="inlineStr">
        <is>
          <t>A 34336-2025</t>
        </is>
      </c>
      <c r="B438" s="1" t="n">
        <v>45846.45319444445</v>
      </c>
      <c r="C438" s="1" t="n">
        <v>45999</v>
      </c>
      <c r="D438" t="inlineStr">
        <is>
          <t>VÄSTERBOTTENS LÄN</t>
        </is>
      </c>
      <c r="E438" t="inlineStr">
        <is>
          <t>BJURHOLM</t>
        </is>
      </c>
      <c r="G438" t="n">
        <v>0.4</v>
      </c>
      <c r="H438" t="n">
        <v>0</v>
      </c>
      <c r="I438" t="n">
        <v>0</v>
      </c>
      <c r="J438" t="n">
        <v>0</v>
      </c>
      <c r="K438" t="n">
        <v>0</v>
      </c>
      <c r="L438" t="n">
        <v>0</v>
      </c>
      <c r="M438" t="n">
        <v>0</v>
      </c>
      <c r="N438" t="n">
        <v>0</v>
      </c>
      <c r="O438" t="n">
        <v>0</v>
      </c>
      <c r="P438" t="n">
        <v>0</v>
      </c>
      <c r="Q438" t="n">
        <v>0</v>
      </c>
      <c r="R438" s="2" t="inlineStr"/>
    </row>
    <row r="439" ht="15" customHeight="1">
      <c r="A439" t="inlineStr">
        <is>
          <t>A 34446-2025</t>
        </is>
      </c>
      <c r="B439" s="1" t="n">
        <v>45845</v>
      </c>
      <c r="C439" s="1" t="n">
        <v>45999</v>
      </c>
      <c r="D439" t="inlineStr">
        <is>
          <t>VÄSTERBOTTENS LÄN</t>
        </is>
      </c>
      <c r="E439" t="inlineStr">
        <is>
          <t>BJURHOLM</t>
        </is>
      </c>
      <c r="G439" t="n">
        <v>4.1</v>
      </c>
      <c r="H439" t="n">
        <v>0</v>
      </c>
      <c r="I439" t="n">
        <v>0</v>
      </c>
      <c r="J439" t="n">
        <v>0</v>
      </c>
      <c r="K439" t="n">
        <v>0</v>
      </c>
      <c r="L439" t="n">
        <v>0</v>
      </c>
      <c r="M439" t="n">
        <v>0</v>
      </c>
      <c r="N439" t="n">
        <v>0</v>
      </c>
      <c r="O439" t="n">
        <v>0</v>
      </c>
      <c r="P439" t="n">
        <v>0</v>
      </c>
      <c r="Q439" t="n">
        <v>0</v>
      </c>
      <c r="R439" s="2" t="inlineStr"/>
    </row>
    <row r="440" ht="15" customHeight="1">
      <c r="A440" t="inlineStr">
        <is>
          <t>A 15214-2025</t>
        </is>
      </c>
      <c r="B440" s="1" t="n">
        <v>45744.57880787037</v>
      </c>
      <c r="C440" s="1" t="n">
        <v>45999</v>
      </c>
      <c r="D440" t="inlineStr">
        <is>
          <t>VÄSTERBOTTENS LÄN</t>
        </is>
      </c>
      <c r="E440" t="inlineStr">
        <is>
          <t>BJURHOLM</t>
        </is>
      </c>
      <c r="G440" t="n">
        <v>3.3</v>
      </c>
      <c r="H440" t="n">
        <v>0</v>
      </c>
      <c r="I440" t="n">
        <v>0</v>
      </c>
      <c r="J440" t="n">
        <v>0</v>
      </c>
      <c r="K440" t="n">
        <v>0</v>
      </c>
      <c r="L440" t="n">
        <v>0</v>
      </c>
      <c r="M440" t="n">
        <v>0</v>
      </c>
      <c r="N440" t="n">
        <v>0</v>
      </c>
      <c r="O440" t="n">
        <v>0</v>
      </c>
      <c r="P440" t="n">
        <v>0</v>
      </c>
      <c r="Q440" t="n">
        <v>0</v>
      </c>
      <c r="R440" s="2" t="inlineStr"/>
    </row>
    <row r="441" ht="15" customHeight="1">
      <c r="A441" t="inlineStr">
        <is>
          <t>A 47592-2024</t>
        </is>
      </c>
      <c r="B441" s="1" t="n">
        <v>45587.8405324074</v>
      </c>
      <c r="C441" s="1" t="n">
        <v>45999</v>
      </c>
      <c r="D441" t="inlineStr">
        <is>
          <t>VÄSTERBOTTENS LÄN</t>
        </is>
      </c>
      <c r="E441" t="inlineStr">
        <is>
          <t>BJURHOLM</t>
        </is>
      </c>
      <c r="G441" t="n">
        <v>2</v>
      </c>
      <c r="H441" t="n">
        <v>0</v>
      </c>
      <c r="I441" t="n">
        <v>0</v>
      </c>
      <c r="J441" t="n">
        <v>0</v>
      </c>
      <c r="K441" t="n">
        <v>0</v>
      </c>
      <c r="L441" t="n">
        <v>0</v>
      </c>
      <c r="M441" t="n">
        <v>0</v>
      </c>
      <c r="N441" t="n">
        <v>0</v>
      </c>
      <c r="O441" t="n">
        <v>0</v>
      </c>
      <c r="P441" t="n">
        <v>0</v>
      </c>
      <c r="Q441" t="n">
        <v>0</v>
      </c>
      <c r="R441" s="2" t="inlineStr"/>
      <c r="U441">
        <f>HYPERLINK("https://klasma.github.io/Logging_2403/knärot/A 47592-2024 karta knärot.png", "A 47592-2024")</f>
        <v/>
      </c>
      <c r="V441">
        <f>HYPERLINK("https://klasma.github.io/Logging_2403/klagomål/A 47592-2024 FSC-klagomål.docx", "A 47592-2024")</f>
        <v/>
      </c>
      <c r="W441">
        <f>HYPERLINK("https://klasma.github.io/Logging_2403/klagomålsmail/A 47592-2024 FSC-klagomål mail.docx", "A 47592-2024")</f>
        <v/>
      </c>
      <c r="X441">
        <f>HYPERLINK("https://klasma.github.io/Logging_2403/tillsyn/A 47592-2024 tillsynsbegäran.docx", "A 47592-2024")</f>
        <v/>
      </c>
      <c r="Y441">
        <f>HYPERLINK("https://klasma.github.io/Logging_2403/tillsynsmail/A 47592-2024 tillsynsbegäran mail.docx", "A 47592-2024")</f>
        <v/>
      </c>
    </row>
    <row r="442" ht="15" customHeight="1">
      <c r="A442" t="inlineStr">
        <is>
          <t>A 47593-2024</t>
        </is>
      </c>
      <c r="B442" s="1" t="n">
        <v>45587.84275462963</v>
      </c>
      <c r="C442" s="1" t="n">
        <v>45999</v>
      </c>
      <c r="D442" t="inlineStr">
        <is>
          <t>VÄSTERBOTTENS LÄN</t>
        </is>
      </c>
      <c r="E442" t="inlineStr">
        <is>
          <t>BJURHOLM</t>
        </is>
      </c>
      <c r="G442" t="n">
        <v>12.3</v>
      </c>
      <c r="H442" t="n">
        <v>0</v>
      </c>
      <c r="I442" t="n">
        <v>0</v>
      </c>
      <c r="J442" t="n">
        <v>0</v>
      </c>
      <c r="K442" t="n">
        <v>0</v>
      </c>
      <c r="L442" t="n">
        <v>0</v>
      </c>
      <c r="M442" t="n">
        <v>0</v>
      </c>
      <c r="N442" t="n">
        <v>0</v>
      </c>
      <c r="O442" t="n">
        <v>0</v>
      </c>
      <c r="P442" t="n">
        <v>0</v>
      </c>
      <c r="Q442" t="n">
        <v>0</v>
      </c>
      <c r="R442" s="2" t="inlineStr"/>
    </row>
    <row r="443" ht="15" customHeight="1">
      <c r="A443" t="inlineStr">
        <is>
          <t>A 47594-2024</t>
        </is>
      </c>
      <c r="B443" s="1" t="n">
        <v>45587.848125</v>
      </c>
      <c r="C443" s="1" t="n">
        <v>45999</v>
      </c>
      <c r="D443" t="inlineStr">
        <is>
          <t>VÄSTERBOTTENS LÄN</t>
        </is>
      </c>
      <c r="E443" t="inlineStr">
        <is>
          <t>BJURHOLM</t>
        </is>
      </c>
      <c r="G443" t="n">
        <v>5</v>
      </c>
      <c r="H443" t="n">
        <v>0</v>
      </c>
      <c r="I443" t="n">
        <v>0</v>
      </c>
      <c r="J443" t="n">
        <v>0</v>
      </c>
      <c r="K443" t="n">
        <v>0</v>
      </c>
      <c r="L443" t="n">
        <v>0</v>
      </c>
      <c r="M443" t="n">
        <v>0</v>
      </c>
      <c r="N443" t="n">
        <v>0</v>
      </c>
      <c r="O443" t="n">
        <v>0</v>
      </c>
      <c r="P443" t="n">
        <v>0</v>
      </c>
      <c r="Q443" t="n">
        <v>0</v>
      </c>
      <c r="R443" s="2" t="inlineStr"/>
    </row>
    <row r="444" ht="15" customHeight="1">
      <c r="A444" t="inlineStr">
        <is>
          <t>A 43321-2024</t>
        </is>
      </c>
      <c r="B444" s="1" t="n">
        <v>45568</v>
      </c>
      <c r="C444" s="1" t="n">
        <v>45999</v>
      </c>
      <c r="D444" t="inlineStr">
        <is>
          <t>VÄSTERBOTTENS LÄN</t>
        </is>
      </c>
      <c r="E444" t="inlineStr">
        <is>
          <t>BJURHOLM</t>
        </is>
      </c>
      <c r="G444" t="n">
        <v>1.9</v>
      </c>
      <c r="H444" t="n">
        <v>0</v>
      </c>
      <c r="I444" t="n">
        <v>0</v>
      </c>
      <c r="J444" t="n">
        <v>0</v>
      </c>
      <c r="K444" t="n">
        <v>0</v>
      </c>
      <c r="L444" t="n">
        <v>0</v>
      </c>
      <c r="M444" t="n">
        <v>0</v>
      </c>
      <c r="N444" t="n">
        <v>0</v>
      </c>
      <c r="O444" t="n">
        <v>0</v>
      </c>
      <c r="P444" t="n">
        <v>0</v>
      </c>
      <c r="Q444" t="n">
        <v>0</v>
      </c>
      <c r="R444" s="2" t="inlineStr"/>
    </row>
    <row r="445" ht="15" customHeight="1">
      <c r="A445" t="inlineStr">
        <is>
          <t>A 29867-2022</t>
        </is>
      </c>
      <c r="B445" s="1" t="n">
        <v>44756</v>
      </c>
      <c r="C445" s="1" t="n">
        <v>45999</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10954-2025</t>
        </is>
      </c>
      <c r="B446" s="1" t="n">
        <v>45723.36034722222</v>
      </c>
      <c r="C446" s="1" t="n">
        <v>45999</v>
      </c>
      <c r="D446" t="inlineStr">
        <is>
          <t>VÄSTERBOTTENS LÄN</t>
        </is>
      </c>
      <c r="E446" t="inlineStr">
        <is>
          <t>BJURHOLM</t>
        </is>
      </c>
      <c r="G446" t="n">
        <v>1.2</v>
      </c>
      <c r="H446" t="n">
        <v>0</v>
      </c>
      <c r="I446" t="n">
        <v>0</v>
      </c>
      <c r="J446" t="n">
        <v>0</v>
      </c>
      <c r="K446" t="n">
        <v>0</v>
      </c>
      <c r="L446" t="n">
        <v>0</v>
      </c>
      <c r="M446" t="n">
        <v>0</v>
      </c>
      <c r="N446" t="n">
        <v>0</v>
      </c>
      <c r="O446" t="n">
        <v>0</v>
      </c>
      <c r="P446" t="n">
        <v>0</v>
      </c>
      <c r="Q446" t="n">
        <v>0</v>
      </c>
      <c r="R446" s="2" t="inlineStr"/>
    </row>
    <row r="447" ht="15" customHeight="1">
      <c r="A447" t="inlineStr">
        <is>
          <t>A 56315-2023</t>
        </is>
      </c>
      <c r="B447" s="1" t="n">
        <v>45236</v>
      </c>
      <c r="C447" s="1" t="n">
        <v>45999</v>
      </c>
      <c r="D447" t="inlineStr">
        <is>
          <t>VÄSTERBOTTENS LÄN</t>
        </is>
      </c>
      <c r="E447" t="inlineStr">
        <is>
          <t>BJURHOLM</t>
        </is>
      </c>
      <c r="G447" t="n">
        <v>2.6</v>
      </c>
      <c r="H447" t="n">
        <v>0</v>
      </c>
      <c r="I447" t="n">
        <v>0</v>
      </c>
      <c r="J447" t="n">
        <v>0</v>
      </c>
      <c r="K447" t="n">
        <v>0</v>
      </c>
      <c r="L447" t="n">
        <v>0</v>
      </c>
      <c r="M447" t="n">
        <v>0</v>
      </c>
      <c r="N447" t="n">
        <v>0</v>
      </c>
      <c r="O447" t="n">
        <v>0</v>
      </c>
      <c r="P447" t="n">
        <v>0</v>
      </c>
      <c r="Q447" t="n">
        <v>0</v>
      </c>
      <c r="R447" s="2" t="inlineStr"/>
    </row>
    <row r="448" ht="15" customHeight="1">
      <c r="A448" t="inlineStr">
        <is>
          <t>A 13828-2025</t>
        </is>
      </c>
      <c r="B448" s="1" t="n">
        <v>45737.54446759259</v>
      </c>
      <c r="C448" s="1" t="n">
        <v>45999</v>
      </c>
      <c r="D448" t="inlineStr">
        <is>
          <t>VÄSTERBOTTENS LÄN</t>
        </is>
      </c>
      <c r="E448" t="inlineStr">
        <is>
          <t>BJURHOLM</t>
        </is>
      </c>
      <c r="G448" t="n">
        <v>1.3</v>
      </c>
      <c r="H448" t="n">
        <v>0</v>
      </c>
      <c r="I448" t="n">
        <v>0</v>
      </c>
      <c r="J448" t="n">
        <v>0</v>
      </c>
      <c r="K448" t="n">
        <v>0</v>
      </c>
      <c r="L448" t="n">
        <v>0</v>
      </c>
      <c r="M448" t="n">
        <v>0</v>
      </c>
      <c r="N448" t="n">
        <v>0</v>
      </c>
      <c r="O448" t="n">
        <v>0</v>
      </c>
      <c r="P448" t="n">
        <v>0</v>
      </c>
      <c r="Q448" t="n">
        <v>0</v>
      </c>
      <c r="R448" s="2" t="inlineStr"/>
    </row>
    <row r="449" ht="15" customHeight="1">
      <c r="A449" t="inlineStr">
        <is>
          <t>A 43992-2023</t>
        </is>
      </c>
      <c r="B449" s="1" t="n">
        <v>45187</v>
      </c>
      <c r="C449" s="1" t="n">
        <v>45999</v>
      </c>
      <c r="D449" t="inlineStr">
        <is>
          <t>VÄSTERBOTTENS LÄN</t>
        </is>
      </c>
      <c r="E449" t="inlineStr">
        <is>
          <t>BJURHOLM</t>
        </is>
      </c>
      <c r="F449" t="inlineStr">
        <is>
          <t>SCA</t>
        </is>
      </c>
      <c r="G449" t="n">
        <v>10.9</v>
      </c>
      <c r="H449" t="n">
        <v>0</v>
      </c>
      <c r="I449" t="n">
        <v>0</v>
      </c>
      <c r="J449" t="n">
        <v>0</v>
      </c>
      <c r="K449" t="n">
        <v>0</v>
      </c>
      <c r="L449" t="n">
        <v>0</v>
      </c>
      <c r="M449" t="n">
        <v>0</v>
      </c>
      <c r="N449" t="n">
        <v>0</v>
      </c>
      <c r="O449" t="n">
        <v>0</v>
      </c>
      <c r="P449" t="n">
        <v>0</v>
      </c>
      <c r="Q449" t="n">
        <v>0</v>
      </c>
      <c r="R449" s="2" t="inlineStr"/>
    </row>
    <row r="450" ht="15" customHeight="1">
      <c r="A450" t="inlineStr">
        <is>
          <t>A 16792-2022</t>
        </is>
      </c>
      <c r="B450" s="1" t="n">
        <v>44673</v>
      </c>
      <c r="C450" s="1" t="n">
        <v>45999</v>
      </c>
      <c r="D450" t="inlineStr">
        <is>
          <t>VÄSTERBOTTENS LÄN</t>
        </is>
      </c>
      <c r="E450" t="inlineStr">
        <is>
          <t>BJURHOLM</t>
        </is>
      </c>
      <c r="G450" t="n">
        <v>3.1</v>
      </c>
      <c r="H450" t="n">
        <v>0</v>
      </c>
      <c r="I450" t="n">
        <v>0</v>
      </c>
      <c r="J450" t="n">
        <v>0</v>
      </c>
      <c r="K450" t="n">
        <v>0</v>
      </c>
      <c r="L450" t="n">
        <v>0</v>
      </c>
      <c r="M450" t="n">
        <v>0</v>
      </c>
      <c r="N450" t="n">
        <v>0</v>
      </c>
      <c r="O450" t="n">
        <v>0</v>
      </c>
      <c r="P450" t="n">
        <v>0</v>
      </c>
      <c r="Q450" t="n">
        <v>0</v>
      </c>
      <c r="R450" s="2" t="inlineStr"/>
    </row>
    <row r="451" ht="15" customHeight="1">
      <c r="A451" t="inlineStr">
        <is>
          <t>A 8663-2025</t>
        </is>
      </c>
      <c r="B451" s="1" t="n">
        <v>45712.39594907407</v>
      </c>
      <c r="C451" s="1" t="n">
        <v>45999</v>
      </c>
      <c r="D451" t="inlineStr">
        <is>
          <t>VÄSTERBOTTENS LÄN</t>
        </is>
      </c>
      <c r="E451" t="inlineStr">
        <is>
          <t>BJURHOLM</t>
        </is>
      </c>
      <c r="F451" t="inlineStr">
        <is>
          <t>Holmen skog AB</t>
        </is>
      </c>
      <c r="G451" t="n">
        <v>5.2</v>
      </c>
      <c r="H451" t="n">
        <v>0</v>
      </c>
      <c r="I451" t="n">
        <v>0</v>
      </c>
      <c r="J451" t="n">
        <v>0</v>
      </c>
      <c r="K451" t="n">
        <v>0</v>
      </c>
      <c r="L451" t="n">
        <v>0</v>
      </c>
      <c r="M451" t="n">
        <v>0</v>
      </c>
      <c r="N451" t="n">
        <v>0</v>
      </c>
      <c r="O451" t="n">
        <v>0</v>
      </c>
      <c r="P451" t="n">
        <v>0</v>
      </c>
      <c r="Q451" t="n">
        <v>0</v>
      </c>
      <c r="R451" s="2" t="inlineStr"/>
    </row>
    <row r="452" ht="15" customHeight="1">
      <c r="A452" t="inlineStr">
        <is>
          <t>A 8510-2024</t>
        </is>
      </c>
      <c r="B452" s="1" t="n">
        <v>45351</v>
      </c>
      <c r="C452" s="1" t="n">
        <v>45999</v>
      </c>
      <c r="D452" t="inlineStr">
        <is>
          <t>VÄSTERBOTTENS LÄN</t>
        </is>
      </c>
      <c r="E452" t="inlineStr">
        <is>
          <t>BJURHOLM</t>
        </is>
      </c>
      <c r="G452" t="n">
        <v>0.4</v>
      </c>
      <c r="H452" t="n">
        <v>0</v>
      </c>
      <c r="I452" t="n">
        <v>0</v>
      </c>
      <c r="J452" t="n">
        <v>0</v>
      </c>
      <c r="K452" t="n">
        <v>0</v>
      </c>
      <c r="L452" t="n">
        <v>0</v>
      </c>
      <c r="M452" t="n">
        <v>0</v>
      </c>
      <c r="N452" t="n">
        <v>0</v>
      </c>
      <c r="O452" t="n">
        <v>0</v>
      </c>
      <c r="P452" t="n">
        <v>0</v>
      </c>
      <c r="Q452" t="n">
        <v>0</v>
      </c>
      <c r="R452" s="2" t="inlineStr"/>
    </row>
    <row r="453" ht="15" customHeight="1">
      <c r="A453" t="inlineStr">
        <is>
          <t>A 12197-2023</t>
        </is>
      </c>
      <c r="B453" s="1" t="n">
        <v>44998</v>
      </c>
      <c r="C453" s="1" t="n">
        <v>45999</v>
      </c>
      <c r="D453" t="inlineStr">
        <is>
          <t>VÄSTERBOTTENS LÄN</t>
        </is>
      </c>
      <c r="E453" t="inlineStr">
        <is>
          <t>BJURHOLM</t>
        </is>
      </c>
      <c r="G453" t="n">
        <v>1.9</v>
      </c>
      <c r="H453" t="n">
        <v>0</v>
      </c>
      <c r="I453" t="n">
        <v>0</v>
      </c>
      <c r="J453" t="n">
        <v>0</v>
      </c>
      <c r="K453" t="n">
        <v>0</v>
      </c>
      <c r="L453" t="n">
        <v>0</v>
      </c>
      <c r="M453" t="n">
        <v>0</v>
      </c>
      <c r="N453" t="n">
        <v>0</v>
      </c>
      <c r="O453" t="n">
        <v>0</v>
      </c>
      <c r="P453" t="n">
        <v>0</v>
      </c>
      <c r="Q453" t="n">
        <v>0</v>
      </c>
      <c r="R453" s="2" t="inlineStr"/>
    </row>
    <row r="454" ht="15" customHeight="1">
      <c r="A454" t="inlineStr">
        <is>
          <t>A 52549-2024</t>
        </is>
      </c>
      <c r="B454" s="1" t="n">
        <v>45609.64043981482</v>
      </c>
      <c r="C454" s="1" t="n">
        <v>45999</v>
      </c>
      <c r="D454" t="inlineStr">
        <is>
          <t>VÄSTERBOTTENS LÄN</t>
        </is>
      </c>
      <c r="E454" t="inlineStr">
        <is>
          <t>BJURHOLM</t>
        </is>
      </c>
      <c r="G454" t="n">
        <v>1.4</v>
      </c>
      <c r="H454" t="n">
        <v>0</v>
      </c>
      <c r="I454" t="n">
        <v>0</v>
      </c>
      <c r="J454" t="n">
        <v>0</v>
      </c>
      <c r="K454" t="n">
        <v>0</v>
      </c>
      <c r="L454" t="n">
        <v>0</v>
      </c>
      <c r="M454" t="n">
        <v>0</v>
      </c>
      <c r="N454" t="n">
        <v>0</v>
      </c>
      <c r="O454" t="n">
        <v>0</v>
      </c>
      <c r="P454" t="n">
        <v>0</v>
      </c>
      <c r="Q454" t="n">
        <v>0</v>
      </c>
      <c r="R454" s="2" t="inlineStr"/>
    </row>
    <row r="455" ht="15" customHeight="1">
      <c r="A455" t="inlineStr">
        <is>
          <t>A 56151-2024</t>
        </is>
      </c>
      <c r="B455" s="1" t="n">
        <v>45623</v>
      </c>
      <c r="C455" s="1" t="n">
        <v>45999</v>
      </c>
      <c r="D455" t="inlineStr">
        <is>
          <t>VÄSTERBOTTENS LÄN</t>
        </is>
      </c>
      <c r="E455" t="inlineStr">
        <is>
          <t>BJURHOLM</t>
        </is>
      </c>
      <c r="G455" t="n">
        <v>2.4</v>
      </c>
      <c r="H455" t="n">
        <v>0</v>
      </c>
      <c r="I455" t="n">
        <v>0</v>
      </c>
      <c r="J455" t="n">
        <v>0</v>
      </c>
      <c r="K455" t="n">
        <v>0</v>
      </c>
      <c r="L455" t="n">
        <v>0</v>
      </c>
      <c r="M455" t="n">
        <v>0</v>
      </c>
      <c r="N455" t="n">
        <v>0</v>
      </c>
      <c r="O455" t="n">
        <v>0</v>
      </c>
      <c r="P455" t="n">
        <v>0</v>
      </c>
      <c r="Q455" t="n">
        <v>0</v>
      </c>
      <c r="R455" s="2" t="inlineStr"/>
    </row>
    <row r="456" ht="15" customHeight="1">
      <c r="A456" t="inlineStr">
        <is>
          <t>A 56114-2024</t>
        </is>
      </c>
      <c r="B456" s="1" t="n">
        <v>45623</v>
      </c>
      <c r="C456" s="1" t="n">
        <v>45999</v>
      </c>
      <c r="D456" t="inlineStr">
        <is>
          <t>VÄSTERBOTTENS LÄN</t>
        </is>
      </c>
      <c r="E456" t="inlineStr">
        <is>
          <t>BJURHOLM</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53374-2024</t>
        </is>
      </c>
      <c r="B457" s="1" t="n">
        <v>45614</v>
      </c>
      <c r="C457" s="1" t="n">
        <v>45999</v>
      </c>
      <c r="D457" t="inlineStr">
        <is>
          <t>VÄSTERBOTTENS LÄN</t>
        </is>
      </c>
      <c r="E457" t="inlineStr">
        <is>
          <t>BJURHOLM</t>
        </is>
      </c>
      <c r="G457" t="n">
        <v>0.5</v>
      </c>
      <c r="H457" t="n">
        <v>0</v>
      </c>
      <c r="I457" t="n">
        <v>0</v>
      </c>
      <c r="J457" t="n">
        <v>0</v>
      </c>
      <c r="K457" t="n">
        <v>0</v>
      </c>
      <c r="L457" t="n">
        <v>0</v>
      </c>
      <c r="M457" t="n">
        <v>0</v>
      </c>
      <c r="N457" t="n">
        <v>0</v>
      </c>
      <c r="O457" t="n">
        <v>0</v>
      </c>
      <c r="P457" t="n">
        <v>0</v>
      </c>
      <c r="Q457" t="n">
        <v>0</v>
      </c>
      <c r="R457" s="2" t="inlineStr"/>
    </row>
    <row r="458" ht="15" customHeight="1">
      <c r="A458" t="inlineStr">
        <is>
          <t>A 20594-2023</t>
        </is>
      </c>
      <c r="B458" s="1" t="n">
        <v>45057.9408912037</v>
      </c>
      <c r="C458" s="1" t="n">
        <v>45999</v>
      </c>
      <c r="D458" t="inlineStr">
        <is>
          <t>VÄSTERBOTTENS LÄN</t>
        </is>
      </c>
      <c r="E458" t="inlineStr">
        <is>
          <t>BJURHOLM</t>
        </is>
      </c>
      <c r="F458" t="inlineStr">
        <is>
          <t>SCA</t>
        </is>
      </c>
      <c r="G458" t="n">
        <v>6</v>
      </c>
      <c r="H458" t="n">
        <v>0</v>
      </c>
      <c r="I458" t="n">
        <v>0</v>
      </c>
      <c r="J458" t="n">
        <v>0</v>
      </c>
      <c r="K458" t="n">
        <v>0</v>
      </c>
      <c r="L458" t="n">
        <v>0</v>
      </c>
      <c r="M458" t="n">
        <v>0</v>
      </c>
      <c r="N458" t="n">
        <v>0</v>
      </c>
      <c r="O458" t="n">
        <v>0</v>
      </c>
      <c r="P458" t="n">
        <v>0</v>
      </c>
      <c r="Q458" t="n">
        <v>0</v>
      </c>
      <c r="R458" s="2" t="inlineStr"/>
    </row>
    <row r="459" ht="15" customHeight="1">
      <c r="A459" t="inlineStr">
        <is>
          <t>A 23325-2023</t>
        </is>
      </c>
      <c r="B459" s="1" t="n">
        <v>45076</v>
      </c>
      <c r="C459" s="1" t="n">
        <v>45999</v>
      </c>
      <c r="D459" t="inlineStr">
        <is>
          <t>VÄSTERBOTTENS LÄN</t>
        </is>
      </c>
      <c r="E459" t="inlineStr">
        <is>
          <t>BJURHOLM</t>
        </is>
      </c>
      <c r="G459" t="n">
        <v>3.3</v>
      </c>
      <c r="H459" t="n">
        <v>0</v>
      </c>
      <c r="I459" t="n">
        <v>0</v>
      </c>
      <c r="J459" t="n">
        <v>0</v>
      </c>
      <c r="K459" t="n">
        <v>0</v>
      </c>
      <c r="L459" t="n">
        <v>0</v>
      </c>
      <c r="M459" t="n">
        <v>0</v>
      </c>
      <c r="N459" t="n">
        <v>0</v>
      </c>
      <c r="O459" t="n">
        <v>0</v>
      </c>
      <c r="P459" t="n">
        <v>0</v>
      </c>
      <c r="Q459" t="n">
        <v>0</v>
      </c>
      <c r="R459" s="2" t="inlineStr"/>
    </row>
    <row r="460" ht="15" customHeight="1">
      <c r="A460" t="inlineStr">
        <is>
          <t>A 53127-2024</t>
        </is>
      </c>
      <c r="B460" s="1" t="n">
        <v>45611</v>
      </c>
      <c r="C460" s="1" t="n">
        <v>45999</v>
      </c>
      <c r="D460" t="inlineStr">
        <is>
          <t>VÄSTERBOTTENS LÄN</t>
        </is>
      </c>
      <c r="E460" t="inlineStr">
        <is>
          <t>BJURHOLM</t>
        </is>
      </c>
      <c r="G460" t="n">
        <v>2.9</v>
      </c>
      <c r="H460" t="n">
        <v>0</v>
      </c>
      <c r="I460" t="n">
        <v>0</v>
      </c>
      <c r="J460" t="n">
        <v>0</v>
      </c>
      <c r="K460" t="n">
        <v>0</v>
      </c>
      <c r="L460" t="n">
        <v>0</v>
      </c>
      <c r="M460" t="n">
        <v>0</v>
      </c>
      <c r="N460" t="n">
        <v>0</v>
      </c>
      <c r="O460" t="n">
        <v>0</v>
      </c>
      <c r="P460" t="n">
        <v>0</v>
      </c>
      <c r="Q460" t="n">
        <v>0</v>
      </c>
      <c r="R460" s="2" t="inlineStr"/>
    </row>
    <row r="461" ht="15" customHeight="1">
      <c r="A461" t="inlineStr">
        <is>
          <t>A 46498-2024</t>
        </is>
      </c>
      <c r="B461" s="1" t="n">
        <v>45582</v>
      </c>
      <c r="C461" s="1" t="n">
        <v>45999</v>
      </c>
      <c r="D461" t="inlineStr">
        <is>
          <t>VÄSTERBOTTENS LÄN</t>
        </is>
      </c>
      <c r="E461" t="inlineStr">
        <is>
          <t>BJURHOLM</t>
        </is>
      </c>
      <c r="G461" t="n">
        <v>3.7</v>
      </c>
      <c r="H461" t="n">
        <v>0</v>
      </c>
      <c r="I461" t="n">
        <v>0</v>
      </c>
      <c r="J461" t="n">
        <v>0</v>
      </c>
      <c r="K461" t="n">
        <v>0</v>
      </c>
      <c r="L461" t="n">
        <v>0</v>
      </c>
      <c r="M461" t="n">
        <v>0</v>
      </c>
      <c r="N461" t="n">
        <v>0</v>
      </c>
      <c r="O461" t="n">
        <v>0</v>
      </c>
      <c r="P461" t="n">
        <v>0</v>
      </c>
      <c r="Q461" t="n">
        <v>0</v>
      </c>
      <c r="R461" s="2" t="inlineStr"/>
    </row>
    <row r="462" ht="15" customHeight="1">
      <c r="A462" t="inlineStr">
        <is>
          <t>A 3181-2025</t>
        </is>
      </c>
      <c r="B462" s="1" t="n">
        <v>45679.39748842592</v>
      </c>
      <c r="C462" s="1" t="n">
        <v>45999</v>
      </c>
      <c r="D462" t="inlineStr">
        <is>
          <t>VÄSTERBOTTENS LÄN</t>
        </is>
      </c>
      <c r="E462" t="inlineStr">
        <is>
          <t>BJURHOLM</t>
        </is>
      </c>
      <c r="G462" t="n">
        <v>2.7</v>
      </c>
      <c r="H462" t="n">
        <v>0</v>
      </c>
      <c r="I462" t="n">
        <v>0</v>
      </c>
      <c r="J462" t="n">
        <v>0</v>
      </c>
      <c r="K462" t="n">
        <v>0</v>
      </c>
      <c r="L462" t="n">
        <v>0</v>
      </c>
      <c r="M462" t="n">
        <v>0</v>
      </c>
      <c r="N462" t="n">
        <v>0</v>
      </c>
      <c r="O462" t="n">
        <v>0</v>
      </c>
      <c r="P462" t="n">
        <v>0</v>
      </c>
      <c r="Q462" t="n">
        <v>0</v>
      </c>
      <c r="R462" s="2" t="inlineStr"/>
    </row>
    <row r="463" ht="15" customHeight="1">
      <c r="A463" t="inlineStr">
        <is>
          <t>A 38906-2024</t>
        </is>
      </c>
      <c r="B463" s="1" t="n">
        <v>45547</v>
      </c>
      <c r="C463" s="1" t="n">
        <v>45999</v>
      </c>
      <c r="D463" t="inlineStr">
        <is>
          <t>VÄSTERBOTTENS LÄN</t>
        </is>
      </c>
      <c r="E463" t="inlineStr">
        <is>
          <t>BJURHOLM</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55512-2023</t>
        </is>
      </c>
      <c r="B464" s="1" t="n">
        <v>45232</v>
      </c>
      <c r="C464" s="1" t="n">
        <v>45999</v>
      </c>
      <c r="D464" t="inlineStr">
        <is>
          <t>VÄSTERBOTTENS LÄN</t>
        </is>
      </c>
      <c r="E464" t="inlineStr">
        <is>
          <t>BJURHOLM</t>
        </is>
      </c>
      <c r="G464" t="n">
        <v>1.1</v>
      </c>
      <c r="H464" t="n">
        <v>0</v>
      </c>
      <c r="I464" t="n">
        <v>0</v>
      </c>
      <c r="J464" t="n">
        <v>0</v>
      </c>
      <c r="K464" t="n">
        <v>0</v>
      </c>
      <c r="L464" t="n">
        <v>0</v>
      </c>
      <c r="M464" t="n">
        <v>0</v>
      </c>
      <c r="N464" t="n">
        <v>0</v>
      </c>
      <c r="O464" t="n">
        <v>0</v>
      </c>
      <c r="P464" t="n">
        <v>0</v>
      </c>
      <c r="Q464" t="n">
        <v>0</v>
      </c>
      <c r="R464" s="2" t="inlineStr"/>
    </row>
    <row r="465" ht="15" customHeight="1">
      <c r="A465" t="inlineStr">
        <is>
          <t>A 50238-2024</t>
        </is>
      </c>
      <c r="B465" s="1" t="n">
        <v>45600.55559027778</v>
      </c>
      <c r="C465" s="1" t="n">
        <v>45999</v>
      </c>
      <c r="D465" t="inlineStr">
        <is>
          <t>VÄSTERBOTTENS LÄN</t>
        </is>
      </c>
      <c r="E465" t="inlineStr">
        <is>
          <t>BJURHOLM</t>
        </is>
      </c>
      <c r="F465" t="inlineStr">
        <is>
          <t>Holmen skog AB</t>
        </is>
      </c>
      <c r="G465" t="n">
        <v>5.7</v>
      </c>
      <c r="H465" t="n">
        <v>0</v>
      </c>
      <c r="I465" t="n">
        <v>0</v>
      </c>
      <c r="J465" t="n">
        <v>0</v>
      </c>
      <c r="K465" t="n">
        <v>0</v>
      </c>
      <c r="L465" t="n">
        <v>0</v>
      </c>
      <c r="M465" t="n">
        <v>0</v>
      </c>
      <c r="N465" t="n">
        <v>0</v>
      </c>
      <c r="O465" t="n">
        <v>0</v>
      </c>
      <c r="P465" t="n">
        <v>0</v>
      </c>
      <c r="Q465" t="n">
        <v>0</v>
      </c>
      <c r="R465" s="2" t="inlineStr"/>
    </row>
    <row r="466" ht="15" customHeight="1">
      <c r="A466" t="inlineStr">
        <is>
          <t>A 33395-2023</t>
        </is>
      </c>
      <c r="B466" s="1" t="n">
        <v>45128.62215277777</v>
      </c>
      <c r="C466" s="1" t="n">
        <v>45999</v>
      </c>
      <c r="D466" t="inlineStr">
        <is>
          <t>VÄSTERBOTTENS LÄN</t>
        </is>
      </c>
      <c r="E466" t="inlineStr">
        <is>
          <t>BJURHOLM</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57609-2024</t>
        </is>
      </c>
      <c r="B467" s="1" t="n">
        <v>45630</v>
      </c>
      <c r="C467" s="1" t="n">
        <v>45999</v>
      </c>
      <c r="D467" t="inlineStr">
        <is>
          <t>VÄSTERBOTTENS LÄN</t>
        </is>
      </c>
      <c r="E467" t="inlineStr">
        <is>
          <t>BJURHOLM</t>
        </is>
      </c>
      <c r="F467" t="inlineStr">
        <is>
          <t>Sveaskog</t>
        </is>
      </c>
      <c r="G467" t="n">
        <v>3.7</v>
      </c>
      <c r="H467" t="n">
        <v>0</v>
      </c>
      <c r="I467" t="n">
        <v>0</v>
      </c>
      <c r="J467" t="n">
        <v>0</v>
      </c>
      <c r="K467" t="n">
        <v>0</v>
      </c>
      <c r="L467" t="n">
        <v>0</v>
      </c>
      <c r="M467" t="n">
        <v>0</v>
      </c>
      <c r="N467" t="n">
        <v>0</v>
      </c>
      <c r="O467" t="n">
        <v>0</v>
      </c>
      <c r="P467" t="n">
        <v>0</v>
      </c>
      <c r="Q467" t="n">
        <v>0</v>
      </c>
      <c r="R467" s="2" t="inlineStr"/>
    </row>
    <row r="468" ht="15" customHeight="1">
      <c r="A468" t="inlineStr">
        <is>
          <t>A 11437-2025</t>
        </is>
      </c>
      <c r="B468" s="1" t="n">
        <v>45726.61538194444</v>
      </c>
      <c r="C468" s="1" t="n">
        <v>45999</v>
      </c>
      <c r="D468" t="inlineStr">
        <is>
          <t>VÄSTERBOTTENS LÄN</t>
        </is>
      </c>
      <c r="E468" t="inlineStr">
        <is>
          <t>BJURHOLM</t>
        </is>
      </c>
      <c r="F468" t="inlineStr">
        <is>
          <t>SCA</t>
        </is>
      </c>
      <c r="G468" t="n">
        <v>1.2</v>
      </c>
      <c r="H468" t="n">
        <v>0</v>
      </c>
      <c r="I468" t="n">
        <v>0</v>
      </c>
      <c r="J468" t="n">
        <v>0</v>
      </c>
      <c r="K468" t="n">
        <v>0</v>
      </c>
      <c r="L468" t="n">
        <v>0</v>
      </c>
      <c r="M468" t="n">
        <v>0</v>
      </c>
      <c r="N468" t="n">
        <v>0</v>
      </c>
      <c r="O468" t="n">
        <v>0</v>
      </c>
      <c r="P468" t="n">
        <v>0</v>
      </c>
      <c r="Q468" t="n">
        <v>0</v>
      </c>
      <c r="R468" s="2" t="inlineStr"/>
    </row>
    <row r="469" ht="15" customHeight="1">
      <c r="A469" t="inlineStr">
        <is>
          <t>A 22852-2023</t>
        </is>
      </c>
      <c r="B469" s="1" t="n">
        <v>45072.47021990741</v>
      </c>
      <c r="C469" s="1" t="n">
        <v>45999</v>
      </c>
      <c r="D469" t="inlineStr">
        <is>
          <t>VÄSTERBOTTENS LÄN</t>
        </is>
      </c>
      <c r="E469" t="inlineStr">
        <is>
          <t>BJURHOLM</t>
        </is>
      </c>
      <c r="G469" t="n">
        <v>0.2</v>
      </c>
      <c r="H469" t="n">
        <v>0</v>
      </c>
      <c r="I469" t="n">
        <v>0</v>
      </c>
      <c r="J469" t="n">
        <v>0</v>
      </c>
      <c r="K469" t="n">
        <v>0</v>
      </c>
      <c r="L469" t="n">
        <v>0</v>
      </c>
      <c r="M469" t="n">
        <v>0</v>
      </c>
      <c r="N469" t="n">
        <v>0</v>
      </c>
      <c r="O469" t="n">
        <v>0</v>
      </c>
      <c r="P469" t="n">
        <v>0</v>
      </c>
      <c r="Q469" t="n">
        <v>0</v>
      </c>
      <c r="R469" s="2" t="inlineStr"/>
    </row>
    <row r="470" ht="15" customHeight="1">
      <c r="A470" t="inlineStr">
        <is>
          <t>A 33711-2023</t>
        </is>
      </c>
      <c r="B470" s="1" t="n">
        <v>45132</v>
      </c>
      <c r="C470" s="1" t="n">
        <v>45999</v>
      </c>
      <c r="D470" t="inlineStr">
        <is>
          <t>VÄSTERBOTTENS LÄN</t>
        </is>
      </c>
      <c r="E470" t="inlineStr">
        <is>
          <t>BJURHOLM</t>
        </is>
      </c>
      <c r="F470" t="inlineStr">
        <is>
          <t>SCA</t>
        </is>
      </c>
      <c r="G470" t="n">
        <v>70.09999999999999</v>
      </c>
      <c r="H470" t="n">
        <v>0</v>
      </c>
      <c r="I470" t="n">
        <v>0</v>
      </c>
      <c r="J470" t="n">
        <v>0</v>
      </c>
      <c r="K470" t="n">
        <v>0</v>
      </c>
      <c r="L470" t="n">
        <v>0</v>
      </c>
      <c r="M470" t="n">
        <v>0</v>
      </c>
      <c r="N470" t="n">
        <v>0</v>
      </c>
      <c r="O470" t="n">
        <v>0</v>
      </c>
      <c r="P470" t="n">
        <v>0</v>
      </c>
      <c r="Q470" t="n">
        <v>0</v>
      </c>
      <c r="R470" s="2" t="inlineStr"/>
    </row>
    <row r="471" ht="15" customHeight="1">
      <c r="A471" t="inlineStr">
        <is>
          <t>A 15910-2025</t>
        </is>
      </c>
      <c r="B471" s="1" t="n">
        <v>45749.44096064815</v>
      </c>
      <c r="C471" s="1" t="n">
        <v>45999</v>
      </c>
      <c r="D471" t="inlineStr">
        <is>
          <t>VÄSTERBOTTENS LÄN</t>
        </is>
      </c>
      <c r="E471" t="inlineStr">
        <is>
          <t>BJURHOLM</t>
        </is>
      </c>
      <c r="G471" t="n">
        <v>6</v>
      </c>
      <c r="H471" t="n">
        <v>0</v>
      </c>
      <c r="I471" t="n">
        <v>0</v>
      </c>
      <c r="J471" t="n">
        <v>0</v>
      </c>
      <c r="K471" t="n">
        <v>0</v>
      </c>
      <c r="L471" t="n">
        <v>0</v>
      </c>
      <c r="M471" t="n">
        <v>0</v>
      </c>
      <c r="N471" t="n">
        <v>0</v>
      </c>
      <c r="O471" t="n">
        <v>0</v>
      </c>
      <c r="P471" t="n">
        <v>0</v>
      </c>
      <c r="Q471" t="n">
        <v>0</v>
      </c>
      <c r="R471" s="2" t="inlineStr"/>
    </row>
    <row r="472" ht="15" customHeight="1">
      <c r="A472" t="inlineStr">
        <is>
          <t>A 61654-2022</t>
        </is>
      </c>
      <c r="B472" s="1" t="n">
        <v>44916.9260300926</v>
      </c>
      <c r="C472" s="1" t="n">
        <v>45999</v>
      </c>
      <c r="D472" t="inlineStr">
        <is>
          <t>VÄSTERBOTTENS LÄN</t>
        </is>
      </c>
      <c r="E472" t="inlineStr">
        <is>
          <t>BJURHOLM</t>
        </is>
      </c>
      <c r="G472" t="n">
        <v>0.7</v>
      </c>
      <c r="H472" t="n">
        <v>0</v>
      </c>
      <c r="I472" t="n">
        <v>0</v>
      </c>
      <c r="J472" t="n">
        <v>0</v>
      </c>
      <c r="K472" t="n">
        <v>0</v>
      </c>
      <c r="L472" t="n">
        <v>0</v>
      </c>
      <c r="M472" t="n">
        <v>0</v>
      </c>
      <c r="N472" t="n">
        <v>0</v>
      </c>
      <c r="O472" t="n">
        <v>0</v>
      </c>
      <c r="P472" t="n">
        <v>0</v>
      </c>
      <c r="Q472" t="n">
        <v>0</v>
      </c>
      <c r="R472" s="2" t="inlineStr"/>
    </row>
    <row r="473" ht="15" customHeight="1">
      <c r="A473" t="inlineStr">
        <is>
          <t>A 42004-2022</t>
        </is>
      </c>
      <c r="B473" s="1" t="n">
        <v>44827</v>
      </c>
      <c r="C473" s="1" t="n">
        <v>45999</v>
      </c>
      <c r="D473" t="inlineStr">
        <is>
          <t>VÄSTERBOTTENS LÄN</t>
        </is>
      </c>
      <c r="E473" t="inlineStr">
        <is>
          <t>BJURHOLM</t>
        </is>
      </c>
      <c r="G473" t="n">
        <v>5.9</v>
      </c>
      <c r="H473" t="n">
        <v>0</v>
      </c>
      <c r="I473" t="n">
        <v>0</v>
      </c>
      <c r="J473" t="n">
        <v>0</v>
      </c>
      <c r="K473" t="n">
        <v>0</v>
      </c>
      <c r="L473" t="n">
        <v>0</v>
      </c>
      <c r="M473" t="n">
        <v>0</v>
      </c>
      <c r="N473" t="n">
        <v>0</v>
      </c>
      <c r="O473" t="n">
        <v>0</v>
      </c>
      <c r="P473" t="n">
        <v>0</v>
      </c>
      <c r="Q473" t="n">
        <v>0</v>
      </c>
      <c r="R473" s="2" t="inlineStr"/>
    </row>
    <row r="474">
      <c r="A474" t="inlineStr">
        <is>
          <t>A 33460-2022</t>
        </is>
      </c>
      <c r="B474" s="1" t="n">
        <v>44788.6674537037</v>
      </c>
      <c r="C474" s="1" t="n">
        <v>45999</v>
      </c>
      <c r="D474" t="inlineStr">
        <is>
          <t>VÄSTERBOTTENS LÄN</t>
        </is>
      </c>
      <c r="E474" t="inlineStr">
        <is>
          <t>BJURHOLM</t>
        </is>
      </c>
      <c r="G474" t="n">
        <v>2.2</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2025-12-08T10:26:30Z</dcterms:created>
  <dcterms:modified xmlns:dcterms="http://purl.org/dc/terms/" xmlns:xsi="http://www.w3.org/2001/XMLSchema-instance" xsi:type="dcterms:W3CDTF">2025-12-08T10:26:30Z</dcterms:modified>
</cp:coreProperties>
</file>