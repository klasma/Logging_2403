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45645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45645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45645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45645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45645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45645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45645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45645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45645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45645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45645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45645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45645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45645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45645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45645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45645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45645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45645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45645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45645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45645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45645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45645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45645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45645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45645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45645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45645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45645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45645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45645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45645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45645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45645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45645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45645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45645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45645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45645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45645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19106-2019</t>
        </is>
      </c>
      <c r="B43" s="1" t="n">
        <v>43564</v>
      </c>
      <c r="C43" s="1" t="n">
        <v>45645</v>
      </c>
      <c r="D43" t="inlineStr">
        <is>
          <t>VÄSTERBOTTENS LÄN</t>
        </is>
      </c>
      <c r="E43" t="inlineStr">
        <is>
          <t>BJURHOLM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HYPERLINK("https://klasma.github.io/Logging_2403/artfynd/A 19106-2019 artfynd.xlsx", "A 19106-2019")</f>
        <v/>
      </c>
      <c r="T43">
        <f>HYPERLINK("https://klasma.github.io/Logging_2403/kartor/A 19106-2019 karta.png", "A 19106-2019")</f>
        <v/>
      </c>
      <c r="V43">
        <f>HYPERLINK("https://klasma.github.io/Logging_2403/klagomål/A 19106-2019 FSC-klagomål.docx", "A 19106-2019")</f>
        <v/>
      </c>
      <c r="W43">
        <f>HYPERLINK("https://klasma.github.io/Logging_2403/klagomålsmail/A 19106-2019 FSC-klagomål mail.docx", "A 19106-2019")</f>
        <v/>
      </c>
      <c r="X43">
        <f>HYPERLINK("https://klasma.github.io/Logging_2403/tillsyn/A 19106-2019 tillsynsbegäran.docx", "A 19106-2019")</f>
        <v/>
      </c>
      <c r="Y43">
        <f>HYPERLINK("https://klasma.github.io/Logging_2403/tillsynsmail/A 19106-2019 tillsynsbegäran mail.docx", "A 19106-2019")</f>
        <v/>
      </c>
    </row>
    <row r="44" ht="15" customHeight="1">
      <c r="A44" t="inlineStr">
        <is>
          <t>A 39136-2019</t>
        </is>
      </c>
      <c r="B44" s="1" t="n">
        <v>43689</v>
      </c>
      <c r="C44" s="1" t="n">
        <v>45645</v>
      </c>
      <c r="D44" t="inlineStr">
        <is>
          <t>VÄSTERBOTTENS LÄN</t>
        </is>
      </c>
      <c r="E44" t="inlineStr">
        <is>
          <t>BJURHOLM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HYPERLINK("https://klasma.github.io/Logging_2403/artfynd/A 39136-2019 artfynd.xlsx", "A 39136-2019")</f>
        <v/>
      </c>
      <c r="T44">
        <f>HYPERLINK("https://klasma.github.io/Logging_2403/kartor/A 39136-2019 karta.png", "A 39136-2019")</f>
        <v/>
      </c>
      <c r="V44">
        <f>HYPERLINK("https://klasma.github.io/Logging_2403/klagomål/A 39136-2019 FSC-klagomål.docx", "A 39136-2019")</f>
        <v/>
      </c>
      <c r="W44">
        <f>HYPERLINK("https://klasma.github.io/Logging_2403/klagomålsmail/A 39136-2019 FSC-klagomål mail.docx", "A 39136-2019")</f>
        <v/>
      </c>
      <c r="X44">
        <f>HYPERLINK("https://klasma.github.io/Logging_2403/tillsyn/A 39136-2019 tillsynsbegäran.docx", "A 39136-2019")</f>
        <v/>
      </c>
      <c r="Y44">
        <f>HYPERLINK("https://klasma.github.io/Logging_2403/tillsynsmail/A 39136-2019 tillsynsbegäran mail.docx", "A 39136-2019")</f>
        <v/>
      </c>
    </row>
    <row r="45" ht="15" customHeight="1">
      <c r="A45" t="inlineStr">
        <is>
          <t>A 54215-2019</t>
        </is>
      </c>
      <c r="B45" s="1" t="n">
        <v>43753</v>
      </c>
      <c r="C45" s="1" t="n">
        <v>45645</v>
      </c>
      <c r="D45" t="inlineStr">
        <is>
          <t>VÄSTERBOTTENS LÄN</t>
        </is>
      </c>
      <c r="E45" t="inlineStr">
        <is>
          <t>BJURHOLM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HYPERLINK("https://klasma.github.io/Logging_2403/artfynd/A 54215-2019 artfynd.xlsx", "A 54215-2019")</f>
        <v/>
      </c>
      <c r="T45">
        <f>HYPERLINK("https://klasma.github.io/Logging_2403/kartor/A 54215-2019 karta.png", "A 54215-2019")</f>
        <v/>
      </c>
      <c r="U45">
        <f>HYPERLINK("https://klasma.github.io/Logging_2403/knärot/A 54215-2019 karta knärot.png", "A 54215-2019")</f>
        <v/>
      </c>
      <c r="V45">
        <f>HYPERLINK("https://klasma.github.io/Logging_2403/klagomål/A 54215-2019 FSC-klagomål.docx", "A 54215-2019")</f>
        <v/>
      </c>
      <c r="W45">
        <f>HYPERLINK("https://klasma.github.io/Logging_2403/klagomålsmail/A 54215-2019 FSC-klagomål mail.docx", "A 54215-2019")</f>
        <v/>
      </c>
      <c r="X45">
        <f>HYPERLINK("https://klasma.github.io/Logging_2403/tillsyn/A 54215-2019 tillsynsbegäran.docx", "A 54215-2019")</f>
        <v/>
      </c>
      <c r="Y45">
        <f>HYPERLINK("https://klasma.github.io/Logging_2403/tillsynsmail/A 54215-2019 tillsynsbegäran mail.docx", "A 54215-2019")</f>
        <v/>
      </c>
    </row>
    <row r="46" ht="15" customHeight="1">
      <c r="A46" t="inlineStr">
        <is>
          <t>A 495-2020</t>
        </is>
      </c>
      <c r="B46" s="1" t="n">
        <v>43837</v>
      </c>
      <c r="C46" s="1" t="n">
        <v>45645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495-2020 artfynd.xlsx", "A 495-2020")</f>
        <v/>
      </c>
      <c r="T46">
        <f>HYPERLINK("https://klasma.github.io/Logging_2403/kartor/A 495-2020 karta.png", "A 495-2020")</f>
        <v/>
      </c>
      <c r="V46">
        <f>HYPERLINK("https://klasma.github.io/Logging_2403/klagomål/A 495-2020 FSC-klagomål.docx", "A 495-2020")</f>
        <v/>
      </c>
      <c r="W46">
        <f>HYPERLINK("https://klasma.github.io/Logging_2403/klagomålsmail/A 495-2020 FSC-klagomål mail.docx", "A 495-2020")</f>
        <v/>
      </c>
      <c r="X46">
        <f>HYPERLINK("https://klasma.github.io/Logging_2403/tillsyn/A 495-2020 tillsynsbegäran.docx", "A 495-2020")</f>
        <v/>
      </c>
      <c r="Y46">
        <f>HYPERLINK("https://klasma.github.io/Logging_2403/tillsynsmail/A 495-2020 tillsynsbegäran mail.docx", "A 495-2020")</f>
        <v/>
      </c>
    </row>
    <row r="47" ht="15" customHeight="1">
      <c r="A47" t="inlineStr">
        <is>
          <t>A 19295-2020</t>
        </is>
      </c>
      <c r="B47" s="1" t="n">
        <v>43937</v>
      </c>
      <c r="C47" s="1" t="n">
        <v>45645</v>
      </c>
      <c r="D47" t="inlineStr">
        <is>
          <t>VÄSTERBOTTENS LÄN</t>
        </is>
      </c>
      <c r="E47" t="inlineStr">
        <is>
          <t>BJURHOLM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HYPERLINK("https://klasma.github.io/Logging_2403/artfynd/A 19295-2020 artfynd.xlsx", "A 19295-2020")</f>
        <v/>
      </c>
      <c r="T47">
        <f>HYPERLINK("https://klasma.github.io/Logging_2403/kartor/A 19295-2020 karta.png", "A 19295-2020")</f>
        <v/>
      </c>
      <c r="V47">
        <f>HYPERLINK("https://klasma.github.io/Logging_2403/klagomål/A 19295-2020 FSC-klagomål.docx", "A 19295-2020")</f>
        <v/>
      </c>
      <c r="W47">
        <f>HYPERLINK("https://klasma.github.io/Logging_2403/klagomålsmail/A 19295-2020 FSC-klagomål mail.docx", "A 19295-2020")</f>
        <v/>
      </c>
      <c r="X47">
        <f>HYPERLINK("https://klasma.github.io/Logging_2403/tillsyn/A 19295-2020 tillsynsbegäran.docx", "A 19295-2020")</f>
        <v/>
      </c>
      <c r="Y47">
        <f>HYPERLINK("https://klasma.github.io/Logging_2403/tillsynsmail/A 19295-2020 tillsynsbegäran mail.docx", "A 19295-2020")</f>
        <v/>
      </c>
    </row>
    <row r="48" ht="15" customHeight="1">
      <c r="A48" t="inlineStr">
        <is>
          <t>A 14083-2021</t>
        </is>
      </c>
      <c r="B48" s="1" t="n">
        <v>44277</v>
      </c>
      <c r="C48" s="1" t="n">
        <v>45645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Dvärgbägarlav</t>
        </is>
      </c>
      <c r="S48">
        <f>HYPERLINK("https://klasma.github.io/Logging_2403/artfynd/A 14083-2021 artfynd.xlsx", "A 14083-2021")</f>
        <v/>
      </c>
      <c r="T48">
        <f>HYPERLINK("https://klasma.github.io/Logging_2403/kartor/A 14083-2021 karta.png", "A 14083-2021")</f>
        <v/>
      </c>
      <c r="V48">
        <f>HYPERLINK("https://klasma.github.io/Logging_2403/klagomål/A 14083-2021 FSC-klagomål.docx", "A 14083-2021")</f>
        <v/>
      </c>
      <c r="W48">
        <f>HYPERLINK("https://klasma.github.io/Logging_2403/klagomålsmail/A 14083-2021 FSC-klagomål mail.docx", "A 14083-2021")</f>
        <v/>
      </c>
      <c r="X48">
        <f>HYPERLINK("https://klasma.github.io/Logging_2403/tillsyn/A 14083-2021 tillsynsbegäran.docx", "A 14083-2021")</f>
        <v/>
      </c>
      <c r="Y48">
        <f>HYPERLINK("https://klasma.github.io/Logging_2403/tillsynsmail/A 14083-2021 tillsynsbegäran mail.docx", "A 14083-2021")</f>
        <v/>
      </c>
    </row>
    <row r="49" ht="15" customHeight="1">
      <c r="A49" t="inlineStr">
        <is>
          <t>A 14088-2021</t>
        </is>
      </c>
      <c r="B49" s="1" t="n">
        <v>44277</v>
      </c>
      <c r="C49" s="1" t="n">
        <v>45645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14088-2021 artfynd.xlsx", "A 14088-2021")</f>
        <v/>
      </c>
      <c r="T49">
        <f>HYPERLINK("https://klasma.github.io/Logging_2403/kartor/A 14088-2021 karta.png", "A 14088-2021")</f>
        <v/>
      </c>
      <c r="V49">
        <f>HYPERLINK("https://klasma.github.io/Logging_2403/klagomål/A 14088-2021 FSC-klagomål.docx", "A 14088-2021")</f>
        <v/>
      </c>
      <c r="W49">
        <f>HYPERLINK("https://klasma.github.io/Logging_2403/klagomålsmail/A 14088-2021 FSC-klagomål mail.docx", "A 14088-2021")</f>
        <v/>
      </c>
      <c r="X49">
        <f>HYPERLINK("https://klasma.github.io/Logging_2403/tillsyn/A 14088-2021 tillsynsbegäran.docx", "A 14088-2021")</f>
        <v/>
      </c>
      <c r="Y49">
        <f>HYPERLINK("https://klasma.github.io/Logging_2403/tillsynsmail/A 14088-2021 tillsynsbegäran mail.docx", "A 14088-2021")</f>
        <v/>
      </c>
    </row>
    <row r="50" ht="15" customHeight="1">
      <c r="A50" t="inlineStr">
        <is>
          <t>A 51723-2021</t>
        </is>
      </c>
      <c r="B50" s="1" t="n">
        <v>44462</v>
      </c>
      <c r="C50" s="1" t="n">
        <v>45645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Vaddporing</t>
        </is>
      </c>
      <c r="S50">
        <f>HYPERLINK("https://klasma.github.io/Logging_2403/artfynd/A 51723-2021 artfynd.xlsx", "A 51723-2021")</f>
        <v/>
      </c>
      <c r="T50">
        <f>HYPERLINK("https://klasma.github.io/Logging_2403/kartor/A 51723-2021 karta.png", "A 51723-2021")</f>
        <v/>
      </c>
      <c r="V50">
        <f>HYPERLINK("https://klasma.github.io/Logging_2403/klagomål/A 51723-2021 FSC-klagomål.docx", "A 51723-2021")</f>
        <v/>
      </c>
      <c r="W50">
        <f>HYPERLINK("https://klasma.github.io/Logging_2403/klagomålsmail/A 51723-2021 FSC-klagomål mail.docx", "A 51723-2021")</f>
        <v/>
      </c>
      <c r="X50">
        <f>HYPERLINK("https://klasma.github.io/Logging_2403/tillsyn/A 51723-2021 tillsynsbegäran.docx", "A 51723-2021")</f>
        <v/>
      </c>
      <c r="Y50">
        <f>HYPERLINK("https://klasma.github.io/Logging_2403/tillsynsmail/A 51723-2021 tillsynsbegäran mail.docx", "A 51723-2021")</f>
        <v/>
      </c>
    </row>
    <row r="51" ht="15" customHeight="1">
      <c r="A51" t="inlineStr">
        <is>
          <t>A 57865-2021</t>
        </is>
      </c>
      <c r="B51" s="1" t="n">
        <v>44484</v>
      </c>
      <c r="C51" s="1" t="n">
        <v>45645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57865-2021 artfynd.xlsx", "A 57865-2021")</f>
        <v/>
      </c>
      <c r="T51">
        <f>HYPERLINK("https://klasma.github.io/Logging_2403/kartor/A 57865-2021 karta.png", "A 57865-2021")</f>
        <v/>
      </c>
      <c r="V51">
        <f>HYPERLINK("https://klasma.github.io/Logging_2403/klagomål/A 57865-2021 FSC-klagomål.docx", "A 57865-2021")</f>
        <v/>
      </c>
      <c r="W51">
        <f>HYPERLINK("https://klasma.github.io/Logging_2403/klagomålsmail/A 57865-2021 FSC-klagomål mail.docx", "A 57865-2021")</f>
        <v/>
      </c>
      <c r="X51">
        <f>HYPERLINK("https://klasma.github.io/Logging_2403/tillsyn/A 57865-2021 tillsynsbegäran.docx", "A 57865-2021")</f>
        <v/>
      </c>
      <c r="Y51">
        <f>HYPERLINK("https://klasma.github.io/Logging_2403/tillsynsmail/A 57865-2021 tillsynsbegäran mail.docx", "A 57865-2021")</f>
        <v/>
      </c>
    </row>
    <row r="52" ht="15" customHeight="1">
      <c r="A52" t="inlineStr">
        <is>
          <t>A 16145-2022</t>
        </is>
      </c>
      <c r="B52" s="1" t="n">
        <v>44665</v>
      </c>
      <c r="C52" s="1" t="n">
        <v>45645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16145-2022 artfynd.xlsx", "A 16145-2022")</f>
        <v/>
      </c>
      <c r="T52">
        <f>HYPERLINK("https://klasma.github.io/Logging_2403/kartor/A 16145-2022 karta.png", "A 16145-2022")</f>
        <v/>
      </c>
      <c r="V52">
        <f>HYPERLINK("https://klasma.github.io/Logging_2403/klagomål/A 16145-2022 FSC-klagomål.docx", "A 16145-2022")</f>
        <v/>
      </c>
      <c r="W52">
        <f>HYPERLINK("https://klasma.github.io/Logging_2403/klagomålsmail/A 16145-2022 FSC-klagomål mail.docx", "A 16145-2022")</f>
        <v/>
      </c>
      <c r="X52">
        <f>HYPERLINK("https://klasma.github.io/Logging_2403/tillsyn/A 16145-2022 tillsynsbegäran.docx", "A 16145-2022")</f>
        <v/>
      </c>
      <c r="Y52">
        <f>HYPERLINK("https://klasma.github.io/Logging_2403/tillsynsmail/A 16145-2022 tillsynsbegäran mail.docx", "A 16145-2022")</f>
        <v/>
      </c>
    </row>
    <row r="53" ht="15" customHeight="1">
      <c r="A53" t="inlineStr">
        <is>
          <t>A 43969-2022</t>
        </is>
      </c>
      <c r="B53" s="1" t="n">
        <v>44837</v>
      </c>
      <c r="C53" s="1" t="n">
        <v>45645</v>
      </c>
      <c r="D53" t="inlineStr">
        <is>
          <t>VÄSTERBOTTENS LÄN</t>
        </is>
      </c>
      <c r="E53" t="inlineStr">
        <is>
          <t>BJURHOLM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HYPERLINK("https://klasma.github.io/Logging_2403/artfynd/A 43969-2022 artfynd.xlsx", "A 43969-2022")</f>
        <v/>
      </c>
      <c r="T53">
        <f>HYPERLINK("https://klasma.github.io/Logging_2403/kartor/A 43969-2022 karta.png", "A 43969-2022")</f>
        <v/>
      </c>
      <c r="V53">
        <f>HYPERLINK("https://klasma.github.io/Logging_2403/klagomål/A 43969-2022 FSC-klagomål.docx", "A 43969-2022")</f>
        <v/>
      </c>
      <c r="W53">
        <f>HYPERLINK("https://klasma.github.io/Logging_2403/klagomålsmail/A 43969-2022 FSC-klagomål mail.docx", "A 43969-2022")</f>
        <v/>
      </c>
      <c r="X53">
        <f>HYPERLINK("https://klasma.github.io/Logging_2403/tillsyn/A 43969-2022 tillsynsbegäran.docx", "A 43969-2022")</f>
        <v/>
      </c>
      <c r="Y53">
        <f>HYPERLINK("https://klasma.github.io/Logging_2403/tillsynsmail/A 43969-2022 tillsynsbegäran mail.docx", "A 43969-2022")</f>
        <v/>
      </c>
    </row>
    <row r="54" ht="15" customHeight="1">
      <c r="A54" t="inlineStr">
        <is>
          <t>A 52690-2022</t>
        </is>
      </c>
      <c r="B54" s="1" t="n">
        <v>44874</v>
      </c>
      <c r="C54" s="1" t="n">
        <v>45645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17.3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HYPERLINK("https://klasma.github.io/Logging_2403/artfynd/A 52690-2022 artfynd.xlsx", "A 52690-2022")</f>
        <v/>
      </c>
      <c r="T54">
        <f>HYPERLINK("https://klasma.github.io/Logging_2403/kartor/A 52690-2022 karta.png", "A 52690-2022")</f>
        <v/>
      </c>
      <c r="V54">
        <f>HYPERLINK("https://klasma.github.io/Logging_2403/klagomål/A 52690-2022 FSC-klagomål.docx", "A 52690-2022")</f>
        <v/>
      </c>
      <c r="W54">
        <f>HYPERLINK("https://klasma.github.io/Logging_2403/klagomålsmail/A 52690-2022 FSC-klagomål mail.docx", "A 52690-2022")</f>
        <v/>
      </c>
      <c r="X54">
        <f>HYPERLINK("https://klasma.github.io/Logging_2403/tillsyn/A 52690-2022 tillsynsbegäran.docx", "A 52690-2022")</f>
        <v/>
      </c>
      <c r="Y54">
        <f>HYPERLINK("https://klasma.github.io/Logging_2403/tillsynsmail/A 52690-2022 tillsynsbegäran mail.docx", "A 52690-2022")</f>
        <v/>
      </c>
    </row>
    <row r="55" ht="15" customHeight="1">
      <c r="A55" t="inlineStr">
        <is>
          <t>A 62112-2022</t>
        </is>
      </c>
      <c r="B55" s="1" t="n">
        <v>44920</v>
      </c>
      <c r="C55" s="1" t="n">
        <v>45645</v>
      </c>
      <c r="D55" t="inlineStr">
        <is>
          <t>VÄSTERBOTTENS LÄN</t>
        </is>
      </c>
      <c r="E55" t="inlineStr">
        <is>
          <t>BJURHOLM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HYPERLINK("https://klasma.github.io/Logging_2403/artfynd/A 62112-2022 artfynd.xlsx", "A 62112-2022")</f>
        <v/>
      </c>
      <c r="T55">
        <f>HYPERLINK("https://klasma.github.io/Logging_2403/kartor/A 62112-2022 karta.png", "A 62112-2022")</f>
        <v/>
      </c>
      <c r="V55">
        <f>HYPERLINK("https://klasma.github.io/Logging_2403/klagomål/A 62112-2022 FSC-klagomål.docx", "A 62112-2022")</f>
        <v/>
      </c>
      <c r="W55">
        <f>HYPERLINK("https://klasma.github.io/Logging_2403/klagomålsmail/A 62112-2022 FSC-klagomål mail.docx", "A 62112-2022")</f>
        <v/>
      </c>
      <c r="X55">
        <f>HYPERLINK("https://klasma.github.io/Logging_2403/tillsyn/A 62112-2022 tillsynsbegäran.docx", "A 62112-2022")</f>
        <v/>
      </c>
      <c r="Y55">
        <f>HYPERLINK("https://klasma.github.io/Logging_2403/tillsynsmail/A 62112-2022 tillsynsbegäran mail.docx", "A 62112-2022")</f>
        <v/>
      </c>
    </row>
    <row r="56" ht="15" customHeight="1">
      <c r="A56" t="inlineStr">
        <is>
          <t>A 11819-2023</t>
        </is>
      </c>
      <c r="B56" s="1" t="n">
        <v>44994</v>
      </c>
      <c r="C56" s="1" t="n">
        <v>45645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HYPERLINK("https://klasma.github.io/Logging_2403/artfynd/A 11819-2023 artfynd.xlsx", "A 11819-2023")</f>
        <v/>
      </c>
      <c r="T56">
        <f>HYPERLINK("https://klasma.github.io/Logging_2403/kartor/A 11819-2023 karta.png", "A 11819-2023")</f>
        <v/>
      </c>
      <c r="V56">
        <f>HYPERLINK("https://klasma.github.io/Logging_2403/klagomål/A 11819-2023 FSC-klagomål.docx", "A 11819-2023")</f>
        <v/>
      </c>
      <c r="W56">
        <f>HYPERLINK("https://klasma.github.io/Logging_2403/klagomålsmail/A 11819-2023 FSC-klagomål mail.docx", "A 11819-2023")</f>
        <v/>
      </c>
      <c r="X56">
        <f>HYPERLINK("https://klasma.github.io/Logging_2403/tillsyn/A 11819-2023 tillsynsbegäran.docx", "A 11819-2023")</f>
        <v/>
      </c>
      <c r="Y56">
        <f>HYPERLINK("https://klasma.github.io/Logging_2403/tillsynsmail/A 11819-2023 tillsynsbegäran mail.docx", "A 11819-2023")</f>
        <v/>
      </c>
    </row>
    <row r="57" ht="15" customHeight="1">
      <c r="A57" t="inlineStr">
        <is>
          <t>A 20608-2023</t>
        </is>
      </c>
      <c r="B57" s="1" t="n">
        <v>45057</v>
      </c>
      <c r="C57" s="1" t="n">
        <v>45645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10.5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HYPERLINK("https://klasma.github.io/Logging_2403/artfynd/A 20608-2023 artfynd.xlsx", "A 20608-2023")</f>
        <v/>
      </c>
      <c r="T57">
        <f>HYPERLINK("https://klasma.github.io/Logging_2403/kartor/A 20608-2023 karta.png", "A 20608-2023")</f>
        <v/>
      </c>
      <c r="V57">
        <f>HYPERLINK("https://klasma.github.io/Logging_2403/klagomål/A 20608-2023 FSC-klagomål.docx", "A 20608-2023")</f>
        <v/>
      </c>
      <c r="W57">
        <f>HYPERLINK("https://klasma.github.io/Logging_2403/klagomålsmail/A 20608-2023 FSC-klagomål mail.docx", "A 20608-2023")</f>
        <v/>
      </c>
      <c r="X57">
        <f>HYPERLINK("https://klasma.github.io/Logging_2403/tillsyn/A 20608-2023 tillsynsbegäran.docx", "A 20608-2023")</f>
        <v/>
      </c>
      <c r="Y57">
        <f>HYPERLINK("https://klasma.github.io/Logging_2403/tillsynsmail/A 20608-2023 tillsynsbegäran mail.docx", "A 20608-2023")</f>
        <v/>
      </c>
    </row>
    <row r="58" ht="15" customHeight="1">
      <c r="A58" t="inlineStr">
        <is>
          <t>A 35280-2023</t>
        </is>
      </c>
      <c r="B58" s="1" t="n">
        <v>45145</v>
      </c>
      <c r="C58" s="1" t="n">
        <v>45645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7.5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35280-2023 artfynd.xlsx", "A 35280-2023")</f>
        <v/>
      </c>
      <c r="T58">
        <f>HYPERLINK("https://klasma.github.io/Logging_2403/kartor/A 35280-2023 karta.png", "A 35280-2023")</f>
        <v/>
      </c>
      <c r="V58">
        <f>HYPERLINK("https://klasma.github.io/Logging_2403/klagomål/A 35280-2023 FSC-klagomål.docx", "A 35280-2023")</f>
        <v/>
      </c>
      <c r="W58">
        <f>HYPERLINK("https://klasma.github.io/Logging_2403/klagomålsmail/A 35280-2023 FSC-klagomål mail.docx", "A 35280-2023")</f>
        <v/>
      </c>
      <c r="X58">
        <f>HYPERLINK("https://klasma.github.io/Logging_2403/tillsyn/A 35280-2023 tillsynsbegäran.docx", "A 35280-2023")</f>
        <v/>
      </c>
      <c r="Y58">
        <f>HYPERLINK("https://klasma.github.io/Logging_2403/tillsynsmail/A 35280-2023 tillsynsbegäran mail.docx", "A 35280-2023")</f>
        <v/>
      </c>
    </row>
    <row r="59" ht="15" customHeight="1">
      <c r="A59" t="inlineStr">
        <is>
          <t>A 39628-2023</t>
        </is>
      </c>
      <c r="B59" s="1" t="n">
        <v>45167</v>
      </c>
      <c r="C59" s="1" t="n">
        <v>45645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39628-2023 artfynd.xlsx", "A 39628-2023")</f>
        <v/>
      </c>
      <c r="T59">
        <f>HYPERLINK("https://klasma.github.io/Logging_2403/kartor/A 39628-2023 karta.png", "A 39628-2023")</f>
        <v/>
      </c>
      <c r="V59">
        <f>HYPERLINK("https://klasma.github.io/Logging_2403/klagomål/A 39628-2023 FSC-klagomål.docx", "A 39628-2023")</f>
        <v/>
      </c>
      <c r="W59">
        <f>HYPERLINK("https://klasma.github.io/Logging_2403/klagomålsmail/A 39628-2023 FSC-klagomål mail.docx", "A 39628-2023")</f>
        <v/>
      </c>
      <c r="X59">
        <f>HYPERLINK("https://klasma.github.io/Logging_2403/tillsyn/A 39628-2023 tillsynsbegäran.docx", "A 39628-2023")</f>
        <v/>
      </c>
      <c r="Y59">
        <f>HYPERLINK("https://klasma.github.io/Logging_2403/tillsynsmail/A 39628-2023 tillsynsbegäran mail.docx", "A 39628-2023")</f>
        <v/>
      </c>
    </row>
    <row r="60" ht="15" customHeight="1">
      <c r="A60" t="inlineStr">
        <is>
          <t>A 44773-2023</t>
        </is>
      </c>
      <c r="B60" s="1" t="n">
        <v>45190</v>
      </c>
      <c r="C60" s="1" t="n">
        <v>45645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48.5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HYPERLINK("https://klasma.github.io/Logging_2403/artfynd/A 44773-2023 artfynd.xlsx", "A 44773-2023")</f>
        <v/>
      </c>
      <c r="T60">
        <f>HYPERLINK("https://klasma.github.io/Logging_2403/kartor/A 44773-2023 karta.png", "A 44773-2023")</f>
        <v/>
      </c>
      <c r="V60">
        <f>HYPERLINK("https://klasma.github.io/Logging_2403/klagomål/A 44773-2023 FSC-klagomål.docx", "A 44773-2023")</f>
        <v/>
      </c>
      <c r="W60">
        <f>HYPERLINK("https://klasma.github.io/Logging_2403/klagomålsmail/A 44773-2023 FSC-klagomål mail.docx", "A 44773-2023")</f>
        <v/>
      </c>
      <c r="X60">
        <f>HYPERLINK("https://klasma.github.io/Logging_2403/tillsyn/A 44773-2023 tillsynsbegäran.docx", "A 44773-2023")</f>
        <v/>
      </c>
      <c r="Y60">
        <f>HYPERLINK("https://klasma.github.io/Logging_2403/tillsynsmail/A 44773-2023 tillsynsbegäran mail.docx", "A 44773-2023")</f>
        <v/>
      </c>
    </row>
    <row r="61" ht="15" customHeight="1">
      <c r="A61" t="inlineStr">
        <is>
          <t>A 58232-2023</t>
        </is>
      </c>
      <c r="B61" s="1" t="n">
        <v>45245</v>
      </c>
      <c r="C61" s="1" t="n">
        <v>45645</v>
      </c>
      <c r="D61" t="inlineStr">
        <is>
          <t>VÄSTERBOTTENS LÄN</t>
        </is>
      </c>
      <c r="E61" t="inlineStr">
        <is>
          <t>BJURHOLM</t>
        </is>
      </c>
      <c r="G61" t="n">
        <v>9.9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HYPERLINK("https://klasma.github.io/Logging_2403/artfynd/A 58232-2023 artfynd.xlsx", "A 58232-2023")</f>
        <v/>
      </c>
      <c r="T61">
        <f>HYPERLINK("https://klasma.github.io/Logging_2403/kartor/A 58232-2023 karta.png", "A 58232-2023")</f>
        <v/>
      </c>
      <c r="V61">
        <f>HYPERLINK("https://klasma.github.io/Logging_2403/klagomål/A 58232-2023 FSC-klagomål.docx", "A 58232-2023")</f>
        <v/>
      </c>
      <c r="W61">
        <f>HYPERLINK("https://klasma.github.io/Logging_2403/klagomålsmail/A 58232-2023 FSC-klagomål mail.docx", "A 58232-2023")</f>
        <v/>
      </c>
      <c r="X61">
        <f>HYPERLINK("https://klasma.github.io/Logging_2403/tillsyn/A 58232-2023 tillsynsbegäran.docx", "A 58232-2023")</f>
        <v/>
      </c>
      <c r="Y61">
        <f>HYPERLINK("https://klasma.github.io/Logging_2403/tillsynsmail/A 58232-2023 tillsynsbegäran mail.docx", "A 58232-2023")</f>
        <v/>
      </c>
    </row>
    <row r="62" ht="15" customHeight="1">
      <c r="A62" t="inlineStr">
        <is>
          <t>A 57802-2023</t>
        </is>
      </c>
      <c r="B62" s="1" t="n">
        <v>45246</v>
      </c>
      <c r="C62" s="1" t="n">
        <v>45645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HYPERLINK("https://klasma.github.io/Logging_2403/artfynd/A 57802-2023 artfynd.xlsx", "A 57802-2023")</f>
        <v/>
      </c>
      <c r="T62">
        <f>HYPERLINK("https://klasma.github.io/Logging_2403/kartor/A 57802-2023 karta.png", "A 57802-2023")</f>
        <v/>
      </c>
      <c r="V62">
        <f>HYPERLINK("https://klasma.github.io/Logging_2403/klagomål/A 57802-2023 FSC-klagomål.docx", "A 57802-2023")</f>
        <v/>
      </c>
      <c r="W62">
        <f>HYPERLINK("https://klasma.github.io/Logging_2403/klagomålsmail/A 57802-2023 FSC-klagomål mail.docx", "A 57802-2023")</f>
        <v/>
      </c>
      <c r="X62">
        <f>HYPERLINK("https://klasma.github.io/Logging_2403/tillsyn/A 57802-2023 tillsynsbegäran.docx", "A 57802-2023")</f>
        <v/>
      </c>
      <c r="Y62">
        <f>HYPERLINK("https://klasma.github.io/Logging_2403/tillsynsmail/A 57802-2023 tillsynsbegäran mail.docx", "A 57802-2023")</f>
        <v/>
      </c>
    </row>
    <row r="63" ht="15" customHeight="1">
      <c r="A63" t="inlineStr">
        <is>
          <t>A 64499-2023</t>
        </is>
      </c>
      <c r="B63" s="1" t="n">
        <v>45280</v>
      </c>
      <c r="C63" s="1" t="n">
        <v>45645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HYPERLINK("https://klasma.github.io/Logging_2403/artfynd/A 64499-2023 artfynd.xlsx", "A 64499-2023")</f>
        <v/>
      </c>
      <c r="T63">
        <f>HYPERLINK("https://klasma.github.io/Logging_2403/kartor/A 64499-2023 karta.png", "A 64499-2023")</f>
        <v/>
      </c>
      <c r="V63">
        <f>HYPERLINK("https://klasma.github.io/Logging_2403/klagomål/A 64499-2023 FSC-klagomål.docx", "A 64499-2023")</f>
        <v/>
      </c>
      <c r="W63">
        <f>HYPERLINK("https://klasma.github.io/Logging_2403/klagomålsmail/A 64499-2023 FSC-klagomål mail.docx", "A 64499-2023")</f>
        <v/>
      </c>
      <c r="X63">
        <f>HYPERLINK("https://klasma.github.io/Logging_2403/tillsyn/A 64499-2023 tillsynsbegäran.docx", "A 64499-2023")</f>
        <v/>
      </c>
      <c r="Y63">
        <f>HYPERLINK("https://klasma.github.io/Logging_2403/tillsynsmail/A 64499-2023 tillsynsbegäran mail.docx", "A 64499-2023")</f>
        <v/>
      </c>
    </row>
    <row r="64" ht="15" customHeight="1">
      <c r="A64" t="inlineStr">
        <is>
          <t>A 9119-2024</t>
        </is>
      </c>
      <c r="B64" s="1" t="n">
        <v>45358</v>
      </c>
      <c r="C64" s="1" t="n">
        <v>45645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9119-2024 artfynd.xlsx", "A 9119-2024")</f>
        <v/>
      </c>
      <c r="T64">
        <f>HYPERLINK("https://klasma.github.io/Logging_2403/kartor/A 9119-2024 karta.png", "A 9119-2024")</f>
        <v/>
      </c>
      <c r="V64">
        <f>HYPERLINK("https://klasma.github.io/Logging_2403/klagomål/A 9119-2024 FSC-klagomål.docx", "A 9119-2024")</f>
        <v/>
      </c>
      <c r="W64">
        <f>HYPERLINK("https://klasma.github.io/Logging_2403/klagomålsmail/A 9119-2024 FSC-klagomål mail.docx", "A 9119-2024")</f>
        <v/>
      </c>
      <c r="X64">
        <f>HYPERLINK("https://klasma.github.io/Logging_2403/tillsyn/A 9119-2024 tillsynsbegäran.docx", "A 9119-2024")</f>
        <v/>
      </c>
      <c r="Y64">
        <f>HYPERLINK("https://klasma.github.io/Logging_2403/tillsynsmail/A 9119-2024 tillsynsbegäran mail.docx", "A 9119-2024")</f>
        <v/>
      </c>
    </row>
    <row r="65" ht="15" customHeight="1">
      <c r="A65" t="inlineStr">
        <is>
          <t>A 15699-2024</t>
        </is>
      </c>
      <c r="B65" s="1" t="n">
        <v>45404</v>
      </c>
      <c r="C65" s="1" t="n">
        <v>45645</v>
      </c>
      <c r="D65" t="inlineStr">
        <is>
          <t>VÄSTERBOTTENS LÄN</t>
        </is>
      </c>
      <c r="E65" t="inlineStr">
        <is>
          <t>BJURHOLM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HYPERLINK("https://klasma.github.io/Logging_2403/artfynd/A 15699-2024 artfynd.xlsx", "A 15699-2024")</f>
        <v/>
      </c>
      <c r="T65">
        <f>HYPERLINK("https://klasma.github.io/Logging_2403/kartor/A 15699-2024 karta.png", "A 15699-2024")</f>
        <v/>
      </c>
      <c r="V65">
        <f>HYPERLINK("https://klasma.github.io/Logging_2403/klagomål/A 15699-2024 FSC-klagomål.docx", "A 15699-2024")</f>
        <v/>
      </c>
      <c r="W65">
        <f>HYPERLINK("https://klasma.github.io/Logging_2403/klagomålsmail/A 15699-2024 FSC-klagomål mail.docx", "A 15699-2024")</f>
        <v/>
      </c>
      <c r="X65">
        <f>HYPERLINK("https://klasma.github.io/Logging_2403/tillsyn/A 15699-2024 tillsynsbegäran.docx", "A 15699-2024")</f>
        <v/>
      </c>
      <c r="Y65">
        <f>HYPERLINK("https://klasma.github.io/Logging_2403/tillsynsmail/A 15699-2024 tillsynsbegäran mail.docx", "A 15699-2024")</f>
        <v/>
      </c>
    </row>
    <row r="66" ht="15" customHeight="1">
      <c r="A66" t="inlineStr">
        <is>
          <t>A 21386-2024</t>
        </is>
      </c>
      <c r="B66" s="1" t="n">
        <v>45440</v>
      </c>
      <c r="C66" s="1" t="n">
        <v>45645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21386-2024 artfynd.xlsx", "A 21386-2024")</f>
        <v/>
      </c>
      <c r="T66">
        <f>HYPERLINK("https://klasma.github.io/Logging_2403/kartor/A 21386-2024 karta.png", "A 21386-2024")</f>
        <v/>
      </c>
      <c r="V66">
        <f>HYPERLINK("https://klasma.github.io/Logging_2403/klagomål/A 21386-2024 FSC-klagomål.docx", "A 21386-2024")</f>
        <v/>
      </c>
      <c r="W66">
        <f>HYPERLINK("https://klasma.github.io/Logging_2403/klagomålsmail/A 21386-2024 FSC-klagomål mail.docx", "A 21386-2024")</f>
        <v/>
      </c>
      <c r="X66">
        <f>HYPERLINK("https://klasma.github.io/Logging_2403/tillsyn/A 21386-2024 tillsynsbegäran.docx", "A 21386-2024")</f>
        <v/>
      </c>
      <c r="Y66">
        <f>HYPERLINK("https://klasma.github.io/Logging_2403/tillsynsmail/A 21386-2024 tillsynsbegäran mail.docx", "A 21386-2024")</f>
        <v/>
      </c>
    </row>
    <row r="67" ht="15" customHeight="1">
      <c r="A67" t="inlineStr">
        <is>
          <t>A 27300-2024</t>
        </is>
      </c>
      <c r="B67" s="1" t="n">
        <v>45472</v>
      </c>
      <c r="C67" s="1" t="n">
        <v>45645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27300-2024 artfynd.xlsx", "A 27300-2024")</f>
        <v/>
      </c>
      <c r="T67">
        <f>HYPERLINK("https://klasma.github.io/Logging_2403/kartor/A 27300-2024 karta.png", "A 27300-2024")</f>
        <v/>
      </c>
      <c r="V67">
        <f>HYPERLINK("https://klasma.github.io/Logging_2403/klagomål/A 27300-2024 FSC-klagomål.docx", "A 27300-2024")</f>
        <v/>
      </c>
      <c r="W67">
        <f>HYPERLINK("https://klasma.github.io/Logging_2403/klagomålsmail/A 27300-2024 FSC-klagomål mail.docx", "A 27300-2024")</f>
        <v/>
      </c>
      <c r="X67">
        <f>HYPERLINK("https://klasma.github.io/Logging_2403/tillsyn/A 27300-2024 tillsynsbegäran.docx", "A 27300-2024")</f>
        <v/>
      </c>
      <c r="Y67">
        <f>HYPERLINK("https://klasma.github.io/Logging_2403/tillsynsmail/A 27300-2024 tillsynsbegäran mail.docx", "A 27300-2024")</f>
        <v/>
      </c>
    </row>
    <row r="68" ht="15" customHeight="1">
      <c r="A68" t="inlineStr">
        <is>
          <t>A 32506-2024</t>
        </is>
      </c>
      <c r="B68" s="1" t="n">
        <v>45513</v>
      </c>
      <c r="C68" s="1" t="n">
        <v>45645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HYPERLINK("https://klasma.github.io/Logging_2403/artfynd/A 32506-2024 artfynd.xlsx", "A 32506-2024")</f>
        <v/>
      </c>
      <c r="T68">
        <f>HYPERLINK("https://klasma.github.io/Logging_2403/kartor/A 32506-2024 karta.png", "A 32506-2024")</f>
        <v/>
      </c>
      <c r="V68">
        <f>HYPERLINK("https://klasma.github.io/Logging_2403/klagomål/A 32506-2024 FSC-klagomål.docx", "A 32506-2024")</f>
        <v/>
      </c>
      <c r="W68">
        <f>HYPERLINK("https://klasma.github.io/Logging_2403/klagomålsmail/A 32506-2024 FSC-klagomål mail.docx", "A 32506-2024")</f>
        <v/>
      </c>
      <c r="X68">
        <f>HYPERLINK("https://klasma.github.io/Logging_2403/tillsyn/A 32506-2024 tillsynsbegäran.docx", "A 32506-2024")</f>
        <v/>
      </c>
      <c r="Y68">
        <f>HYPERLINK("https://klasma.github.io/Logging_2403/tillsynsmail/A 32506-2024 tillsynsbegäran mail.docx", "A 32506-2024")</f>
        <v/>
      </c>
      <c r="Z68">
        <f>HYPERLINK("https://klasma.github.io/Logging_2403/fåglar/A 32506-2024 prioriterade fågelarter.docx", "A 32506-2024")</f>
        <v/>
      </c>
    </row>
    <row r="69" ht="15" customHeight="1">
      <c r="A69" t="inlineStr">
        <is>
          <t>A 33362-2024</t>
        </is>
      </c>
      <c r="B69" s="1" t="n">
        <v>45519</v>
      </c>
      <c r="C69" s="1" t="n">
        <v>45645</v>
      </c>
      <c r="D69" t="inlineStr">
        <is>
          <t>VÄSTERBOTTENS LÄN</t>
        </is>
      </c>
      <c r="E69" t="inlineStr">
        <is>
          <t>BJURHOLM</t>
        </is>
      </c>
      <c r="F69" t="inlineStr">
        <is>
          <t>Holmen skog AB</t>
        </is>
      </c>
      <c r="G69" t="n">
        <v>15.1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33362-2024 artfynd.xlsx", "A 33362-2024")</f>
        <v/>
      </c>
      <c r="T69">
        <f>HYPERLINK("https://klasma.github.io/Logging_2403/kartor/A 33362-2024 karta.png", "A 33362-2024")</f>
        <v/>
      </c>
      <c r="V69">
        <f>HYPERLINK("https://klasma.github.io/Logging_2403/klagomål/A 33362-2024 FSC-klagomål.docx", "A 33362-2024")</f>
        <v/>
      </c>
      <c r="W69">
        <f>HYPERLINK("https://klasma.github.io/Logging_2403/klagomålsmail/A 33362-2024 FSC-klagomål mail.docx", "A 33362-2024")</f>
        <v/>
      </c>
      <c r="X69">
        <f>HYPERLINK("https://klasma.github.io/Logging_2403/tillsyn/A 33362-2024 tillsynsbegäran.docx", "A 33362-2024")</f>
        <v/>
      </c>
      <c r="Y69">
        <f>HYPERLINK("https://klasma.github.io/Logging_2403/tillsynsmail/A 33362-2024 tillsynsbegäran mail.docx", "A 33362-2024")</f>
        <v/>
      </c>
    </row>
    <row r="70" ht="15" customHeight="1">
      <c r="A70" t="inlineStr">
        <is>
          <t>A 33355-2024</t>
        </is>
      </c>
      <c r="B70" s="1" t="n">
        <v>45519</v>
      </c>
      <c r="C70" s="1" t="n">
        <v>45645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33355-2024 artfynd.xlsx", "A 33355-2024")</f>
        <v/>
      </c>
      <c r="T70">
        <f>HYPERLINK("https://klasma.github.io/Logging_2403/kartor/A 33355-2024 karta.png", "A 33355-2024")</f>
        <v/>
      </c>
      <c r="V70">
        <f>HYPERLINK("https://klasma.github.io/Logging_2403/klagomål/A 33355-2024 FSC-klagomål.docx", "A 33355-2024")</f>
        <v/>
      </c>
      <c r="W70">
        <f>HYPERLINK("https://klasma.github.io/Logging_2403/klagomålsmail/A 33355-2024 FSC-klagomål mail.docx", "A 33355-2024")</f>
        <v/>
      </c>
      <c r="X70">
        <f>HYPERLINK("https://klasma.github.io/Logging_2403/tillsyn/A 33355-2024 tillsynsbegäran.docx", "A 33355-2024")</f>
        <v/>
      </c>
      <c r="Y70">
        <f>HYPERLINK("https://klasma.github.io/Logging_2403/tillsynsmail/A 33355-2024 tillsynsbegäran mail.docx", "A 33355-2024")</f>
        <v/>
      </c>
    </row>
    <row r="71" ht="15" customHeight="1">
      <c r="A71" t="inlineStr">
        <is>
          <t>A 38457-2024</t>
        </is>
      </c>
      <c r="B71" s="1" t="n">
        <v>45546</v>
      </c>
      <c r="C71" s="1" t="n">
        <v>45645</v>
      </c>
      <c r="D71" t="inlineStr">
        <is>
          <t>VÄSTERBOTTENS LÄN</t>
        </is>
      </c>
      <c r="E71" t="inlineStr">
        <is>
          <t>BJURHOLM</t>
        </is>
      </c>
      <c r="G71" t="n">
        <v>27.1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38457-2024 artfynd.xlsx", "A 38457-2024")</f>
        <v/>
      </c>
      <c r="T71">
        <f>HYPERLINK("https://klasma.github.io/Logging_2403/kartor/A 38457-2024 karta.png", "A 38457-2024")</f>
        <v/>
      </c>
      <c r="V71">
        <f>HYPERLINK("https://klasma.github.io/Logging_2403/klagomål/A 38457-2024 FSC-klagomål.docx", "A 38457-2024")</f>
        <v/>
      </c>
      <c r="W71">
        <f>HYPERLINK("https://klasma.github.io/Logging_2403/klagomålsmail/A 38457-2024 FSC-klagomål mail.docx", "A 38457-2024")</f>
        <v/>
      </c>
      <c r="X71">
        <f>HYPERLINK("https://klasma.github.io/Logging_2403/tillsyn/A 38457-2024 tillsynsbegäran.docx", "A 38457-2024")</f>
        <v/>
      </c>
      <c r="Y71">
        <f>HYPERLINK("https://klasma.github.io/Logging_2403/tillsynsmail/A 38457-2024 tillsynsbegäran mail.docx", "A 38457-2024")</f>
        <v/>
      </c>
    </row>
    <row r="72" ht="15" customHeight="1">
      <c r="A72" t="inlineStr">
        <is>
          <t>A 17898-2019</t>
        </is>
      </c>
      <c r="B72" s="1" t="n">
        <v>43557</v>
      </c>
      <c r="C72" s="1" t="n">
        <v>45645</v>
      </c>
      <c r="D72" t="inlineStr">
        <is>
          <t>VÄSTERBOTTENS LÄN</t>
        </is>
      </c>
      <c r="E72" t="inlineStr">
        <is>
          <t>BJURHOLM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17891-2019</t>
        </is>
      </c>
      <c r="B73" s="1" t="n">
        <v>43557</v>
      </c>
      <c r="C73" s="1" t="n">
        <v>45645</v>
      </c>
      <c r="D73" t="inlineStr">
        <is>
          <t>VÄSTERBOTTENS LÄN</t>
        </is>
      </c>
      <c r="E73" t="inlineStr">
        <is>
          <t>BJURHOLM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20103-2019</t>
        </is>
      </c>
      <c r="B74" s="1" t="n">
        <v>43570</v>
      </c>
      <c r="C74" s="1" t="n">
        <v>45645</v>
      </c>
      <c r="D74" t="inlineStr">
        <is>
          <t>VÄSTERBOTTENS LÄN</t>
        </is>
      </c>
      <c r="E74" t="inlineStr">
        <is>
          <t>BJURHOLM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20842-2019</t>
        </is>
      </c>
      <c r="B75" s="1" t="n">
        <v>43577</v>
      </c>
      <c r="C75" s="1" t="n">
        <v>45645</v>
      </c>
      <c r="D75" t="inlineStr">
        <is>
          <t>VÄSTERBOTTENS LÄN</t>
        </is>
      </c>
      <c r="E75" t="inlineStr">
        <is>
          <t>BJURHOLM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21104-2019</t>
        </is>
      </c>
      <c r="B76" s="1" t="n">
        <v>43578</v>
      </c>
      <c r="C76" s="1" t="n">
        <v>45645</v>
      </c>
      <c r="D76" t="inlineStr">
        <is>
          <t>VÄSTERBOTTENS LÄN</t>
        </is>
      </c>
      <c r="E76" t="inlineStr">
        <is>
          <t>BJURHOLM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21325-2019</t>
        </is>
      </c>
      <c r="B77" s="1" t="n">
        <v>43579</v>
      </c>
      <c r="C77" s="1" t="n">
        <v>45645</v>
      </c>
      <c r="D77" t="inlineStr">
        <is>
          <t>VÄSTERBOTTENS LÄN</t>
        </is>
      </c>
      <c r="E77" t="inlineStr">
        <is>
          <t>BJURHOLM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22370-2019</t>
        </is>
      </c>
      <c r="B78" s="1" t="n">
        <v>43585</v>
      </c>
      <c r="C78" s="1" t="n">
        <v>45645</v>
      </c>
      <c r="D78" t="inlineStr">
        <is>
          <t>VÄSTERBOTTENS LÄN</t>
        </is>
      </c>
      <c r="E78" t="inlineStr">
        <is>
          <t>BJURHOLM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24259-2019</t>
        </is>
      </c>
      <c r="B79" s="1" t="n">
        <v>43597</v>
      </c>
      <c r="C79" s="1" t="n">
        <v>45645</v>
      </c>
      <c r="D79" t="inlineStr">
        <is>
          <t>VÄSTERBOTTENS LÄN</t>
        </is>
      </c>
      <c r="E79" t="inlineStr">
        <is>
          <t>BJURHOLM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25935-2019</t>
        </is>
      </c>
      <c r="B80" s="1" t="n">
        <v>43608</v>
      </c>
      <c r="C80" s="1" t="n">
        <v>45645</v>
      </c>
      <c r="D80" t="inlineStr">
        <is>
          <t>VÄSTERBOTTENS LÄN</t>
        </is>
      </c>
      <c r="E80" t="inlineStr">
        <is>
          <t>BJURHOLM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28945-2019</t>
        </is>
      </c>
      <c r="B81" s="1" t="n">
        <v>43619</v>
      </c>
      <c r="C81" s="1" t="n">
        <v>45645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28946-2019</t>
        </is>
      </c>
      <c r="B82" s="1" t="n">
        <v>43619</v>
      </c>
      <c r="C82" s="1" t="n">
        <v>45645</v>
      </c>
      <c r="D82" t="inlineStr">
        <is>
          <t>VÄSTERBOTTENS LÄN</t>
        </is>
      </c>
      <c r="E82" t="inlineStr">
        <is>
          <t>BJURHOLM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28941-2019</t>
        </is>
      </c>
      <c r="B83" s="1" t="n">
        <v>43619</v>
      </c>
      <c r="C83" s="1" t="n">
        <v>45645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29348-2019</t>
        </is>
      </c>
      <c r="B84" s="1" t="n">
        <v>43626</v>
      </c>
      <c r="C84" s="1" t="n">
        <v>45645</v>
      </c>
      <c r="D84" t="inlineStr">
        <is>
          <t>VÄSTERBOTTENS LÄN</t>
        </is>
      </c>
      <c r="E84" t="inlineStr">
        <is>
          <t>BJURHOLM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29657-2019</t>
        </is>
      </c>
      <c r="B85" s="1" t="n">
        <v>43628</v>
      </c>
      <c r="C85" s="1" t="n">
        <v>45645</v>
      </c>
      <c r="D85" t="inlineStr">
        <is>
          <t>VÄSTERBOTTENS LÄN</t>
        </is>
      </c>
      <c r="E85" t="inlineStr">
        <is>
          <t>BJURHOLM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30354-2019</t>
        </is>
      </c>
      <c r="B86" s="1" t="n">
        <v>43634</v>
      </c>
      <c r="C86" s="1" t="n">
        <v>45645</v>
      </c>
      <c r="D86" t="inlineStr">
        <is>
          <t>VÄSTERBOTTENS LÄN</t>
        </is>
      </c>
      <c r="E86" t="inlineStr">
        <is>
          <t>BJURHOLM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30882-2019</t>
        </is>
      </c>
      <c r="B87" s="1" t="n">
        <v>43636</v>
      </c>
      <c r="C87" s="1" t="n">
        <v>45645</v>
      </c>
      <c r="D87" t="inlineStr">
        <is>
          <t>VÄSTERBOTTENS LÄN</t>
        </is>
      </c>
      <c r="E87" t="inlineStr">
        <is>
          <t>BJURHOLM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38007-2019</t>
        </is>
      </c>
      <c r="B88" s="1" t="n">
        <v>43683</v>
      </c>
      <c r="C88" s="1" t="n">
        <v>45645</v>
      </c>
      <c r="D88" t="inlineStr">
        <is>
          <t>VÄSTERBOTTENS LÄN</t>
        </is>
      </c>
      <c r="E88" t="inlineStr">
        <is>
          <t>BJURHOLM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38011-2019</t>
        </is>
      </c>
      <c r="B89" s="1" t="n">
        <v>43683</v>
      </c>
      <c r="C89" s="1" t="n">
        <v>45645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38018-2019</t>
        </is>
      </c>
      <c r="B90" s="1" t="n">
        <v>43683</v>
      </c>
      <c r="C90" s="1" t="n">
        <v>45645</v>
      </c>
      <c r="D90" t="inlineStr">
        <is>
          <t>VÄSTERBOTTENS LÄN</t>
        </is>
      </c>
      <c r="E90" t="inlineStr">
        <is>
          <t>BJURHOLM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38022-2019</t>
        </is>
      </c>
      <c r="B91" s="1" t="n">
        <v>43683</v>
      </c>
      <c r="C91" s="1" t="n">
        <v>45645</v>
      </c>
      <c r="D91" t="inlineStr">
        <is>
          <t>VÄSTERBOTTENS LÄN</t>
        </is>
      </c>
      <c r="E91" t="inlineStr">
        <is>
          <t>BJURHOLM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40932-2019</t>
        </is>
      </c>
      <c r="B92" s="1" t="n">
        <v>43693</v>
      </c>
      <c r="C92" s="1" t="n">
        <v>45645</v>
      </c>
      <c r="D92" t="inlineStr">
        <is>
          <t>VÄSTERBOTTENS LÄN</t>
        </is>
      </c>
      <c r="E92" t="inlineStr">
        <is>
          <t>BJURHOLM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41080-2019</t>
        </is>
      </c>
      <c r="B93" s="1" t="n">
        <v>43698</v>
      </c>
      <c r="C93" s="1" t="n">
        <v>45645</v>
      </c>
      <c r="D93" t="inlineStr">
        <is>
          <t>VÄSTERBOTTENS LÄN</t>
        </is>
      </c>
      <c r="E93" t="inlineStr">
        <is>
          <t>BJURHOLM</t>
        </is>
      </c>
      <c r="F93" t="inlineStr">
        <is>
          <t>Holmen skog AB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41287-2019</t>
        </is>
      </c>
      <c r="B94" s="1" t="n">
        <v>43698</v>
      </c>
      <c r="C94" s="1" t="n">
        <v>45645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42482-2019</t>
        </is>
      </c>
      <c r="B95" s="1" t="n">
        <v>43703</v>
      </c>
      <c r="C95" s="1" t="n">
        <v>45645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45134-2019</t>
        </is>
      </c>
      <c r="B96" s="1" t="n">
        <v>43713</v>
      </c>
      <c r="C96" s="1" t="n">
        <v>45645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48427-2019</t>
        </is>
      </c>
      <c r="B97" s="1" t="n">
        <v>43727</v>
      </c>
      <c r="C97" s="1" t="n">
        <v>45645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48513-2019</t>
        </is>
      </c>
      <c r="B98" s="1" t="n">
        <v>43727</v>
      </c>
      <c r="C98" s="1" t="n">
        <v>45645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48853-2019</t>
        </is>
      </c>
      <c r="B99" s="1" t="n">
        <v>43728</v>
      </c>
      <c r="C99" s="1" t="n">
        <v>45645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50124-2019</t>
        </is>
      </c>
      <c r="B100" s="1" t="n">
        <v>43734</v>
      </c>
      <c r="C100" s="1" t="n">
        <v>45645</v>
      </c>
      <c r="D100" t="inlineStr">
        <is>
          <t>VÄSTERBOTTENS LÄN</t>
        </is>
      </c>
      <c r="E100" t="inlineStr">
        <is>
          <t>BJURHOLM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53154-2019</t>
        </is>
      </c>
      <c r="B101" s="1" t="n">
        <v>43747</v>
      </c>
      <c r="C101" s="1" t="n">
        <v>45645</v>
      </c>
      <c r="D101" t="inlineStr">
        <is>
          <t>VÄSTERBOTTENS LÄN</t>
        </is>
      </c>
      <c r="E101" t="inlineStr">
        <is>
          <t>BJURHOLM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53378-2019</t>
        </is>
      </c>
      <c r="B102" s="1" t="n">
        <v>43748</v>
      </c>
      <c r="C102" s="1" t="n">
        <v>45645</v>
      </c>
      <c r="D102" t="inlineStr">
        <is>
          <t>VÄSTERBOTTENS LÄN</t>
        </is>
      </c>
      <c r="E102" t="inlineStr">
        <is>
          <t>BJURHOLM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53828-2019</t>
        </is>
      </c>
      <c r="B103" s="1" t="n">
        <v>43752</v>
      </c>
      <c r="C103" s="1" t="n">
        <v>45645</v>
      </c>
      <c r="D103" t="inlineStr">
        <is>
          <t>VÄSTERBOTTENS LÄN</t>
        </is>
      </c>
      <c r="E103" t="inlineStr">
        <is>
          <t>BJURHOLM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60023-2019</t>
        </is>
      </c>
      <c r="B104" s="1" t="n">
        <v>43777</v>
      </c>
      <c r="C104" s="1" t="n">
        <v>45645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61413-2019</t>
        </is>
      </c>
      <c r="B105" s="1" t="n">
        <v>43780</v>
      </c>
      <c r="C105" s="1" t="n">
        <v>45645</v>
      </c>
      <c r="D105" t="inlineStr">
        <is>
          <t>VÄSTERBOTTENS LÄN</t>
        </is>
      </c>
      <c r="E105" t="inlineStr">
        <is>
          <t>BJURHOLM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62097-2019</t>
        </is>
      </c>
      <c r="B106" s="1" t="n">
        <v>43787</v>
      </c>
      <c r="C106" s="1" t="n">
        <v>45645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64146-2019</t>
        </is>
      </c>
      <c r="B107" s="1" t="n">
        <v>43796</v>
      </c>
      <c r="C107" s="1" t="n">
        <v>45645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64156-2019</t>
        </is>
      </c>
      <c r="B108" s="1" t="n">
        <v>43796</v>
      </c>
      <c r="C108" s="1" t="n">
        <v>45645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64930-2019</t>
        </is>
      </c>
      <c r="B109" s="1" t="n">
        <v>43801</v>
      </c>
      <c r="C109" s="1" t="n">
        <v>45645</v>
      </c>
      <c r="D109" t="inlineStr">
        <is>
          <t>VÄSTERBOTTENS LÄN</t>
        </is>
      </c>
      <c r="E109" t="inlineStr">
        <is>
          <t>BJURHOLM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67964-2019</t>
        </is>
      </c>
      <c r="B110" s="1" t="n">
        <v>43811</v>
      </c>
      <c r="C110" s="1" t="n">
        <v>45645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830-2020</t>
        </is>
      </c>
      <c r="B111" s="1" t="n">
        <v>43839</v>
      </c>
      <c r="C111" s="1" t="n">
        <v>45645</v>
      </c>
      <c r="D111" t="inlineStr">
        <is>
          <t>VÄSTERBOTTENS LÄN</t>
        </is>
      </c>
      <c r="E111" t="inlineStr">
        <is>
          <t>BJURHOLM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3076-2020</t>
        </is>
      </c>
      <c r="B112" s="1" t="n">
        <v>43851</v>
      </c>
      <c r="C112" s="1" t="n">
        <v>45645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3924-2020</t>
        </is>
      </c>
      <c r="B113" s="1" t="n">
        <v>43854</v>
      </c>
      <c r="C113" s="1" t="n">
        <v>45645</v>
      </c>
      <c r="D113" t="inlineStr">
        <is>
          <t>VÄSTERBOTTENS LÄN</t>
        </is>
      </c>
      <c r="E113" t="inlineStr">
        <is>
          <t>BJURHOLM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8128-2020</t>
        </is>
      </c>
      <c r="B114" s="1" t="n">
        <v>43873</v>
      </c>
      <c r="C114" s="1" t="n">
        <v>45645</v>
      </c>
      <c r="D114" t="inlineStr">
        <is>
          <t>VÄSTERBOTTENS LÄN</t>
        </is>
      </c>
      <c r="E114" t="inlineStr">
        <is>
          <t>BJURHOLM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8867-2020</t>
        </is>
      </c>
      <c r="B115" s="1" t="n">
        <v>43878</v>
      </c>
      <c r="C115" s="1" t="n">
        <v>45645</v>
      </c>
      <c r="D115" t="inlineStr">
        <is>
          <t>VÄSTERBOTTENS LÄN</t>
        </is>
      </c>
      <c r="E115" t="inlineStr">
        <is>
          <t>BJURHOLM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9266-2020</t>
        </is>
      </c>
      <c r="B116" s="1" t="n">
        <v>43879</v>
      </c>
      <c r="C116" s="1" t="n">
        <v>45645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9265-2020</t>
        </is>
      </c>
      <c r="B117" s="1" t="n">
        <v>43879</v>
      </c>
      <c r="C117" s="1" t="n">
        <v>45645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10388-2020</t>
        </is>
      </c>
      <c r="B118" s="1" t="n">
        <v>43885</v>
      </c>
      <c r="C118" s="1" t="n">
        <v>45645</v>
      </c>
      <c r="D118" t="inlineStr">
        <is>
          <t>VÄSTERBOTTENS LÄN</t>
        </is>
      </c>
      <c r="E118" t="inlineStr">
        <is>
          <t>BJURHOLM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13110-2020</t>
        </is>
      </c>
      <c r="B119" s="1" t="n">
        <v>43901</v>
      </c>
      <c r="C119" s="1" t="n">
        <v>45645</v>
      </c>
      <c r="D119" t="inlineStr">
        <is>
          <t>VÄSTERBOTTENS LÄN</t>
        </is>
      </c>
      <c r="E119" t="inlineStr">
        <is>
          <t>BJURHOLM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14672-2020</t>
        </is>
      </c>
      <c r="B120" s="1" t="n">
        <v>43909</v>
      </c>
      <c r="C120" s="1" t="n">
        <v>45645</v>
      </c>
      <c r="D120" t="inlineStr">
        <is>
          <t>VÄSTERBOTTENS LÄN</t>
        </is>
      </c>
      <c r="E120" t="inlineStr">
        <is>
          <t>BJURHOLM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16193-2020</t>
        </is>
      </c>
      <c r="B121" s="1" t="n">
        <v>43917</v>
      </c>
      <c r="C121" s="1" t="n">
        <v>45645</v>
      </c>
      <c r="D121" t="inlineStr">
        <is>
          <t>VÄSTERBOTTENS LÄN</t>
        </is>
      </c>
      <c r="E121" t="inlineStr">
        <is>
          <t>BJURHOLM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16811-2020</t>
        </is>
      </c>
      <c r="B122" s="1" t="n">
        <v>43920</v>
      </c>
      <c r="C122" s="1" t="n">
        <v>45645</v>
      </c>
      <c r="D122" t="inlineStr">
        <is>
          <t>VÄSTERBOTTENS LÄN</t>
        </is>
      </c>
      <c r="E122" t="inlineStr">
        <is>
          <t>BJURHOLM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18647-2020</t>
        </is>
      </c>
      <c r="B123" s="1" t="n">
        <v>43929</v>
      </c>
      <c r="C123" s="1" t="n">
        <v>45645</v>
      </c>
      <c r="D123" t="inlineStr">
        <is>
          <t>VÄSTERBOTTENS LÄN</t>
        </is>
      </c>
      <c r="E123" t="inlineStr">
        <is>
          <t>BJURHOLM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19652-2020</t>
        </is>
      </c>
      <c r="B124" s="1" t="n">
        <v>43937</v>
      </c>
      <c r="C124" s="1" t="n">
        <v>45645</v>
      </c>
      <c r="D124" t="inlineStr">
        <is>
          <t>VÄSTERBOTTENS LÄN</t>
        </is>
      </c>
      <c r="E124" t="inlineStr">
        <is>
          <t>BJURHOLM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20403-2020</t>
        </is>
      </c>
      <c r="B125" s="1" t="n">
        <v>43945</v>
      </c>
      <c r="C125" s="1" t="n">
        <v>45645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20851-2020</t>
        </is>
      </c>
      <c r="B126" s="1" t="n">
        <v>43948</v>
      </c>
      <c r="C126" s="1" t="n">
        <v>45645</v>
      </c>
      <c r="D126" t="inlineStr">
        <is>
          <t>VÄSTERBOTTENS LÄN</t>
        </is>
      </c>
      <c r="E126" t="inlineStr">
        <is>
          <t>BJURHOLM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25244-2020</t>
        </is>
      </c>
      <c r="B127" s="1" t="n">
        <v>43980</v>
      </c>
      <c r="C127" s="1" t="n">
        <v>45645</v>
      </c>
      <c r="D127" t="inlineStr">
        <is>
          <t>VÄSTERBOTTENS LÄN</t>
        </is>
      </c>
      <c r="E127" t="inlineStr">
        <is>
          <t>BJURHOLM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25883-2020</t>
        </is>
      </c>
      <c r="B128" s="1" t="n">
        <v>43984</v>
      </c>
      <c r="C128" s="1" t="n">
        <v>45645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26566-2020</t>
        </is>
      </c>
      <c r="B129" s="1" t="n">
        <v>43987</v>
      </c>
      <c r="C129" s="1" t="n">
        <v>45645</v>
      </c>
      <c r="D129" t="inlineStr">
        <is>
          <t>VÄSTERBOTTENS LÄN</t>
        </is>
      </c>
      <c r="E129" t="inlineStr">
        <is>
          <t>BJURHOLM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26758-2020</t>
        </is>
      </c>
      <c r="B130" s="1" t="n">
        <v>43990</v>
      </c>
      <c r="C130" s="1" t="n">
        <v>45645</v>
      </c>
      <c r="D130" t="inlineStr">
        <is>
          <t>VÄSTERBOTTENS LÄN</t>
        </is>
      </c>
      <c r="E130" t="inlineStr">
        <is>
          <t>BJURHOLM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27824-2020</t>
        </is>
      </c>
      <c r="B131" s="1" t="n">
        <v>43994</v>
      </c>
      <c r="C131" s="1" t="n">
        <v>45645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29132-2020</t>
        </is>
      </c>
      <c r="B132" s="1" t="n">
        <v>44004</v>
      </c>
      <c r="C132" s="1" t="n">
        <v>45645</v>
      </c>
      <c r="D132" t="inlineStr">
        <is>
          <t>VÄSTERBOTTENS LÄN</t>
        </is>
      </c>
      <c r="E132" t="inlineStr">
        <is>
          <t>BJURHOLM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29817-2020</t>
        </is>
      </c>
      <c r="B133" s="1" t="n">
        <v>44005</v>
      </c>
      <c r="C133" s="1" t="n">
        <v>45645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29846-2020</t>
        </is>
      </c>
      <c r="B134" s="1" t="n">
        <v>44006</v>
      </c>
      <c r="C134" s="1" t="n">
        <v>45645</v>
      </c>
      <c r="D134" t="inlineStr">
        <is>
          <t>VÄSTERBOTTENS LÄN</t>
        </is>
      </c>
      <c r="E134" t="inlineStr">
        <is>
          <t>BJURHOLM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30418-2020</t>
        </is>
      </c>
      <c r="B135" s="1" t="n">
        <v>44007</v>
      </c>
      <c r="C135" s="1" t="n">
        <v>45645</v>
      </c>
      <c r="D135" t="inlineStr">
        <is>
          <t>VÄSTERBOTTENS LÄN</t>
        </is>
      </c>
      <c r="E135" t="inlineStr">
        <is>
          <t>BJURHOLM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30251-2020</t>
        </is>
      </c>
      <c r="B136" s="1" t="n">
        <v>44007</v>
      </c>
      <c r="C136" s="1" t="n">
        <v>45645</v>
      </c>
      <c r="D136" t="inlineStr">
        <is>
          <t>VÄSTERBOTTENS LÄN</t>
        </is>
      </c>
      <c r="E136" t="inlineStr">
        <is>
          <t>BJURHOLM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33729-2020</t>
        </is>
      </c>
      <c r="B137" s="1" t="n">
        <v>44026</v>
      </c>
      <c r="C137" s="1" t="n">
        <v>45645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37337-2020</t>
        </is>
      </c>
      <c r="B138" s="1" t="n">
        <v>44055</v>
      </c>
      <c r="C138" s="1" t="n">
        <v>45645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40002-2020</t>
        </is>
      </c>
      <c r="B139" s="1" t="n">
        <v>44067</v>
      </c>
      <c r="C139" s="1" t="n">
        <v>45645</v>
      </c>
      <c r="D139" t="inlineStr">
        <is>
          <t>VÄSTERBOTTENS LÄN</t>
        </is>
      </c>
      <c r="E139" t="inlineStr">
        <is>
          <t>BJURHOLM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43068-2020</t>
        </is>
      </c>
      <c r="B140" s="1" t="n">
        <v>44078</v>
      </c>
      <c r="C140" s="1" t="n">
        <v>45645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17.1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43992-2020</t>
        </is>
      </c>
      <c r="B141" s="1" t="n">
        <v>44081</v>
      </c>
      <c r="C141" s="1" t="n">
        <v>45645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43845-2020</t>
        </is>
      </c>
      <c r="B142" s="1" t="n">
        <v>44082</v>
      </c>
      <c r="C142" s="1" t="n">
        <v>45645</v>
      </c>
      <c r="D142" t="inlineStr">
        <is>
          <t>VÄSTERBOTTENS LÄN</t>
        </is>
      </c>
      <c r="E142" t="inlineStr">
        <is>
          <t>BJURHOLM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44791-2020</t>
        </is>
      </c>
      <c r="B143" s="1" t="n">
        <v>44085</v>
      </c>
      <c r="C143" s="1" t="n">
        <v>45645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48481-2020</t>
        </is>
      </c>
      <c r="B144" s="1" t="n">
        <v>44102</v>
      </c>
      <c r="C144" s="1" t="n">
        <v>45645</v>
      </c>
      <c r="D144" t="inlineStr">
        <is>
          <t>VÄSTERBOTTENS LÄN</t>
        </is>
      </c>
      <c r="E144" t="inlineStr">
        <is>
          <t>BJURHOLM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54045-2020</t>
        </is>
      </c>
      <c r="B145" s="1" t="n">
        <v>44123</v>
      </c>
      <c r="C145" s="1" t="n">
        <v>45645</v>
      </c>
      <c r="D145" t="inlineStr">
        <is>
          <t>VÄSTERBOTTENS LÄN</t>
        </is>
      </c>
      <c r="E145" t="inlineStr">
        <is>
          <t>BJURHOLM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60117-2020</t>
        </is>
      </c>
      <c r="B146" s="1" t="n">
        <v>44152</v>
      </c>
      <c r="C146" s="1" t="n">
        <v>45645</v>
      </c>
      <c r="D146" t="inlineStr">
        <is>
          <t>VÄSTERBOTTENS LÄN</t>
        </is>
      </c>
      <c r="E146" t="inlineStr">
        <is>
          <t>BJURHOLM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60114-2020</t>
        </is>
      </c>
      <c r="B147" s="1" t="n">
        <v>44152</v>
      </c>
      <c r="C147" s="1" t="n">
        <v>45645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60111-2020</t>
        </is>
      </c>
      <c r="B148" s="1" t="n">
        <v>44152</v>
      </c>
      <c r="C148" s="1" t="n">
        <v>45645</v>
      </c>
      <c r="D148" t="inlineStr">
        <is>
          <t>VÄSTERBOTTENS LÄN</t>
        </is>
      </c>
      <c r="E148" t="inlineStr">
        <is>
          <t>BJURHOLM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61412-2020</t>
        </is>
      </c>
      <c r="B149" s="1" t="n">
        <v>44156</v>
      </c>
      <c r="C149" s="1" t="n">
        <v>45645</v>
      </c>
      <c r="D149" t="inlineStr">
        <is>
          <t>VÄSTERBOTTENS LÄN</t>
        </is>
      </c>
      <c r="E149" t="inlineStr">
        <is>
          <t>BJURHOLM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64537-2020</t>
        </is>
      </c>
      <c r="B150" s="1" t="n">
        <v>44167</v>
      </c>
      <c r="C150" s="1" t="n">
        <v>45645</v>
      </c>
      <c r="D150" t="inlineStr">
        <is>
          <t>VÄSTERBOTTENS LÄN</t>
        </is>
      </c>
      <c r="E150" t="inlineStr">
        <is>
          <t>BJURHOLM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65799-2020</t>
        </is>
      </c>
      <c r="B151" s="1" t="n">
        <v>44172</v>
      </c>
      <c r="C151" s="1" t="n">
        <v>45645</v>
      </c>
      <c r="D151" t="inlineStr">
        <is>
          <t>VÄSTERBOTTENS LÄN</t>
        </is>
      </c>
      <c r="E151" t="inlineStr">
        <is>
          <t>BJURHOLM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67663-2020</t>
        </is>
      </c>
      <c r="B152" s="1" t="n">
        <v>44180</v>
      </c>
      <c r="C152" s="1" t="n">
        <v>45645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67684-2020</t>
        </is>
      </c>
      <c r="B153" s="1" t="n">
        <v>44182</v>
      </c>
      <c r="C153" s="1" t="n">
        <v>45645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69008-2020</t>
        </is>
      </c>
      <c r="B154" s="1" t="n">
        <v>44187</v>
      </c>
      <c r="C154" s="1" t="n">
        <v>45645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6323-2021</t>
        </is>
      </c>
      <c r="B155" s="1" t="n">
        <v>44235</v>
      </c>
      <c r="C155" s="1" t="n">
        <v>45645</v>
      </c>
      <c r="D155" t="inlineStr">
        <is>
          <t>VÄSTERBOTTENS LÄN</t>
        </is>
      </c>
      <c r="E155" t="inlineStr">
        <is>
          <t>BJURHOLM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14540-2021</t>
        </is>
      </c>
      <c r="B156" s="1" t="n">
        <v>44279</v>
      </c>
      <c r="C156" s="1" t="n">
        <v>45645</v>
      </c>
      <c r="D156" t="inlineStr">
        <is>
          <t>VÄSTERBOTTENS LÄN</t>
        </is>
      </c>
      <c r="E156" t="inlineStr">
        <is>
          <t>BJURHOLM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17850-2021</t>
        </is>
      </c>
      <c r="B157" s="1" t="n">
        <v>44301</v>
      </c>
      <c r="C157" s="1" t="n">
        <v>45645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SCA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19688-2021</t>
        </is>
      </c>
      <c r="B158" s="1" t="n">
        <v>44312</v>
      </c>
      <c r="C158" s="1" t="n">
        <v>45645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20081-2021</t>
        </is>
      </c>
      <c r="B159" s="1" t="n">
        <v>44313</v>
      </c>
      <c r="C159" s="1" t="n">
        <v>45645</v>
      </c>
      <c r="D159" t="inlineStr">
        <is>
          <t>VÄSTERBOTTENS LÄN</t>
        </is>
      </c>
      <c r="E159" t="inlineStr">
        <is>
          <t>BJURHOLM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32035-2021</t>
        </is>
      </c>
      <c r="B160" s="1" t="n">
        <v>44370</v>
      </c>
      <c r="C160" s="1" t="n">
        <v>45645</v>
      </c>
      <c r="D160" t="inlineStr">
        <is>
          <t>VÄSTERBOTTENS LÄN</t>
        </is>
      </c>
      <c r="E160" t="inlineStr">
        <is>
          <t>BJURHOLM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32081-2021</t>
        </is>
      </c>
      <c r="B161" s="1" t="n">
        <v>44370</v>
      </c>
      <c r="C161" s="1" t="n">
        <v>45645</v>
      </c>
      <c r="D161" t="inlineStr">
        <is>
          <t>VÄSTERBOTTENS LÄN</t>
        </is>
      </c>
      <c r="E161" t="inlineStr">
        <is>
          <t>BJURHOLM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32934-2021</t>
        </is>
      </c>
      <c r="B162" s="1" t="n">
        <v>44375</v>
      </c>
      <c r="C162" s="1" t="n">
        <v>45645</v>
      </c>
      <c r="D162" t="inlineStr">
        <is>
          <t>VÄSTERBOTTENS LÄN</t>
        </is>
      </c>
      <c r="E162" t="inlineStr">
        <is>
          <t>BJURHOLM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35848-2021</t>
        </is>
      </c>
      <c r="B163" s="1" t="n">
        <v>44386</v>
      </c>
      <c r="C163" s="1" t="n">
        <v>45645</v>
      </c>
      <c r="D163" t="inlineStr">
        <is>
          <t>VÄSTERBOTTENS LÄN</t>
        </is>
      </c>
      <c r="E163" t="inlineStr">
        <is>
          <t>BJURHOLM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37328-2021</t>
        </is>
      </c>
      <c r="B164" s="1" t="n">
        <v>44397</v>
      </c>
      <c r="C164" s="1" t="n">
        <v>45645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37332-2021</t>
        </is>
      </c>
      <c r="B165" s="1" t="n">
        <v>44397</v>
      </c>
      <c r="C165" s="1" t="n">
        <v>45645</v>
      </c>
      <c r="D165" t="inlineStr">
        <is>
          <t>VÄSTERBOTTENS LÄN</t>
        </is>
      </c>
      <c r="E165" t="inlineStr">
        <is>
          <t>BJURHOLM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39431-2021</t>
        </is>
      </c>
      <c r="B166" s="1" t="n">
        <v>44414</v>
      </c>
      <c r="C166" s="1" t="n">
        <v>45645</v>
      </c>
      <c r="D166" t="inlineStr">
        <is>
          <t>VÄSTERBOTTENS LÄN</t>
        </is>
      </c>
      <c r="E166" t="inlineStr">
        <is>
          <t>BJURHOLM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41503-2021</t>
        </is>
      </c>
      <c r="B167" s="1" t="n">
        <v>44424</v>
      </c>
      <c r="C167" s="1" t="n">
        <v>45645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41505-2021</t>
        </is>
      </c>
      <c r="B168" s="1" t="n">
        <v>44425</v>
      </c>
      <c r="C168" s="1" t="n">
        <v>45645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45553-2021</t>
        </is>
      </c>
      <c r="B169" s="1" t="n">
        <v>44440</v>
      </c>
      <c r="C169" s="1" t="n">
        <v>45645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45844-2021</t>
        </is>
      </c>
      <c r="B170" s="1" t="n">
        <v>44441</v>
      </c>
      <c r="C170" s="1" t="n">
        <v>45645</v>
      </c>
      <c r="D170" t="inlineStr">
        <is>
          <t>VÄSTERBOTTENS LÄN</t>
        </is>
      </c>
      <c r="E170" t="inlineStr">
        <is>
          <t>BJURHOLM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46462-2021</t>
        </is>
      </c>
      <c r="B171" s="1" t="n">
        <v>44442</v>
      </c>
      <c r="C171" s="1" t="n">
        <v>45645</v>
      </c>
      <c r="D171" t="inlineStr">
        <is>
          <t>VÄSTERBOTTENS LÄN</t>
        </is>
      </c>
      <c r="E171" t="inlineStr">
        <is>
          <t>BJURHOLM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48258-2021</t>
        </is>
      </c>
      <c r="B172" s="1" t="n">
        <v>44449</v>
      </c>
      <c r="C172" s="1" t="n">
        <v>45645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51368-2021</t>
        </is>
      </c>
      <c r="B173" s="1" t="n">
        <v>44461</v>
      </c>
      <c r="C173" s="1" t="n">
        <v>45645</v>
      </c>
      <c r="D173" t="inlineStr">
        <is>
          <t>VÄSTERBOTTENS LÄN</t>
        </is>
      </c>
      <c r="E173" t="inlineStr">
        <is>
          <t>BJURHOLM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51361-2021</t>
        </is>
      </c>
      <c r="B174" s="1" t="n">
        <v>44461</v>
      </c>
      <c r="C174" s="1" t="n">
        <v>45645</v>
      </c>
      <c r="D174" t="inlineStr">
        <is>
          <t>VÄSTERBOTTENS LÄN</t>
        </is>
      </c>
      <c r="E174" t="inlineStr">
        <is>
          <t>BJURHOLM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51406-2021</t>
        </is>
      </c>
      <c r="B175" s="1" t="n">
        <v>44461</v>
      </c>
      <c r="C175" s="1" t="n">
        <v>45645</v>
      </c>
      <c r="D175" t="inlineStr">
        <is>
          <t>VÄSTERBOTTENS LÄN</t>
        </is>
      </c>
      <c r="E175" t="inlineStr">
        <is>
          <t>BJURHOLM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52111-2021</t>
        </is>
      </c>
      <c r="B176" s="1" t="n">
        <v>44462</v>
      </c>
      <c r="C176" s="1" t="n">
        <v>45645</v>
      </c>
      <c r="D176" t="inlineStr">
        <is>
          <t>VÄSTERBOTTENS LÄN</t>
        </is>
      </c>
      <c r="E176" t="inlineStr">
        <is>
          <t>BJURHOLM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52484-2021</t>
        </is>
      </c>
      <c r="B177" s="1" t="n">
        <v>44463</v>
      </c>
      <c r="C177" s="1" t="n">
        <v>45645</v>
      </c>
      <c r="D177" t="inlineStr">
        <is>
          <t>VÄSTERBOTTENS LÄN</t>
        </is>
      </c>
      <c r="E177" t="inlineStr">
        <is>
          <t>BJURHOLM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55474-2021</t>
        </is>
      </c>
      <c r="B178" s="1" t="n">
        <v>44475</v>
      </c>
      <c r="C178" s="1" t="n">
        <v>45645</v>
      </c>
      <c r="D178" t="inlineStr">
        <is>
          <t>VÄSTERBOTTENS LÄN</t>
        </is>
      </c>
      <c r="E178" t="inlineStr">
        <is>
          <t>BJURHOLM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55512-2021</t>
        </is>
      </c>
      <c r="B179" s="1" t="n">
        <v>44475</v>
      </c>
      <c r="C179" s="1" t="n">
        <v>45645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57866-2021</t>
        </is>
      </c>
      <c r="B180" s="1" t="n">
        <v>44485</v>
      </c>
      <c r="C180" s="1" t="n">
        <v>45645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57867-2021</t>
        </is>
      </c>
      <c r="B181" s="1" t="n">
        <v>44485</v>
      </c>
      <c r="C181" s="1" t="n">
        <v>45645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58058-2021</t>
        </is>
      </c>
      <c r="B182" s="1" t="n">
        <v>44487</v>
      </c>
      <c r="C182" s="1" t="n">
        <v>45645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59178-2021</t>
        </is>
      </c>
      <c r="B183" s="1" t="n">
        <v>44490</v>
      </c>
      <c r="C183" s="1" t="n">
        <v>45645</v>
      </c>
      <c r="D183" t="inlineStr">
        <is>
          <t>VÄSTERBOTTENS LÄN</t>
        </is>
      </c>
      <c r="E183" t="inlineStr">
        <is>
          <t>BJURHOLM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59257-2021</t>
        </is>
      </c>
      <c r="B184" s="1" t="n">
        <v>44490</v>
      </c>
      <c r="C184" s="1" t="n">
        <v>45645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59675-2021</t>
        </is>
      </c>
      <c r="B185" s="1" t="n">
        <v>44494</v>
      </c>
      <c r="C185" s="1" t="n">
        <v>45645</v>
      </c>
      <c r="D185" t="inlineStr">
        <is>
          <t>VÄSTERBOTTENS LÄN</t>
        </is>
      </c>
      <c r="E185" t="inlineStr">
        <is>
          <t>BJURHOLM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59798-2021</t>
        </is>
      </c>
      <c r="B186" s="1" t="n">
        <v>44494</v>
      </c>
      <c r="C186" s="1" t="n">
        <v>45645</v>
      </c>
      <c r="D186" t="inlineStr">
        <is>
          <t>VÄSTERBOTTENS LÄN</t>
        </is>
      </c>
      <c r="E186" t="inlineStr">
        <is>
          <t>BJURHOLM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62807-2021</t>
        </is>
      </c>
      <c r="B187" s="1" t="n">
        <v>44504</v>
      </c>
      <c r="C187" s="1" t="n">
        <v>45645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62776-2021</t>
        </is>
      </c>
      <c r="B188" s="1" t="n">
        <v>44504</v>
      </c>
      <c r="C188" s="1" t="n">
        <v>45645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63678-2021</t>
        </is>
      </c>
      <c r="B189" s="1" t="n">
        <v>44508</v>
      </c>
      <c r="C189" s="1" t="n">
        <v>45645</v>
      </c>
      <c r="D189" t="inlineStr">
        <is>
          <t>VÄSTERBOTTENS LÄN</t>
        </is>
      </c>
      <c r="E189" t="inlineStr">
        <is>
          <t>BJURHOLM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63929-2021</t>
        </is>
      </c>
      <c r="B190" s="1" t="n">
        <v>44509</v>
      </c>
      <c r="C190" s="1" t="n">
        <v>45645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65311-2021</t>
        </is>
      </c>
      <c r="B191" s="1" t="n">
        <v>44515</v>
      </c>
      <c r="C191" s="1" t="n">
        <v>45645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67762-2021</t>
        </is>
      </c>
      <c r="B192" s="1" t="n">
        <v>44524</v>
      </c>
      <c r="C192" s="1" t="n">
        <v>45645</v>
      </c>
      <c r="D192" t="inlineStr">
        <is>
          <t>VÄSTERBOTTENS LÄN</t>
        </is>
      </c>
      <c r="E192" t="inlineStr">
        <is>
          <t>BJURHOLM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67751-2021</t>
        </is>
      </c>
      <c r="B193" s="1" t="n">
        <v>44524</v>
      </c>
      <c r="C193" s="1" t="n">
        <v>45645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67775-2021</t>
        </is>
      </c>
      <c r="B194" s="1" t="n">
        <v>44524</v>
      </c>
      <c r="C194" s="1" t="n">
        <v>45645</v>
      </c>
      <c r="D194" t="inlineStr">
        <is>
          <t>VÄSTERBOTTENS LÄN</t>
        </is>
      </c>
      <c r="E194" t="inlineStr">
        <is>
          <t>BJURHOLM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68814-2021</t>
        </is>
      </c>
      <c r="B195" s="1" t="n">
        <v>44530</v>
      </c>
      <c r="C195" s="1" t="n">
        <v>45645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69347-2021</t>
        </is>
      </c>
      <c r="B196" s="1" t="n">
        <v>44531</v>
      </c>
      <c r="C196" s="1" t="n">
        <v>45645</v>
      </c>
      <c r="D196" t="inlineStr">
        <is>
          <t>VÄSTERBOTTENS LÄN</t>
        </is>
      </c>
      <c r="E196" t="inlineStr">
        <is>
          <t>BJURHOLM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70740-2021</t>
        </is>
      </c>
      <c r="B197" s="1" t="n">
        <v>44536</v>
      </c>
      <c r="C197" s="1" t="n">
        <v>45645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73665-2021</t>
        </is>
      </c>
      <c r="B198" s="1" t="n">
        <v>44551</v>
      </c>
      <c r="C198" s="1" t="n">
        <v>45645</v>
      </c>
      <c r="D198" t="inlineStr">
        <is>
          <t>VÄSTERBOTTENS LÄN</t>
        </is>
      </c>
      <c r="E198" t="inlineStr">
        <is>
          <t>BJURHOLM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74152-2021</t>
        </is>
      </c>
      <c r="B199" s="1" t="n">
        <v>44557</v>
      </c>
      <c r="C199" s="1" t="n">
        <v>45645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2706-2022</t>
        </is>
      </c>
      <c r="B200" s="1" t="n">
        <v>44580</v>
      </c>
      <c r="C200" s="1" t="n">
        <v>45645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4105-2022</t>
        </is>
      </c>
      <c r="B201" s="1" t="n">
        <v>44588</v>
      </c>
      <c r="C201" s="1" t="n">
        <v>45645</v>
      </c>
      <c r="D201" t="inlineStr">
        <is>
          <t>VÄSTERBOTTENS LÄN</t>
        </is>
      </c>
      <c r="E201" t="inlineStr">
        <is>
          <t>BJURHOLM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4623-2022</t>
        </is>
      </c>
      <c r="B202" s="1" t="n">
        <v>44592</v>
      </c>
      <c r="C202" s="1" t="n">
        <v>45645</v>
      </c>
      <c r="D202" t="inlineStr">
        <is>
          <t>VÄSTERBOTTENS LÄN</t>
        </is>
      </c>
      <c r="E202" t="inlineStr">
        <is>
          <t>BJURHOLM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6053-2022</t>
        </is>
      </c>
      <c r="B203" s="1" t="n">
        <v>44599</v>
      </c>
      <c r="C203" s="1" t="n">
        <v>45645</v>
      </c>
      <c r="D203" t="inlineStr">
        <is>
          <t>VÄSTERBOTTENS LÄN</t>
        </is>
      </c>
      <c r="E203" t="inlineStr">
        <is>
          <t>BJURHOLM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6658-2022</t>
        </is>
      </c>
      <c r="B204" s="1" t="n">
        <v>44602</v>
      </c>
      <c r="C204" s="1" t="n">
        <v>45645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7148-2022</t>
        </is>
      </c>
      <c r="B205" s="1" t="n">
        <v>44603</v>
      </c>
      <c r="C205" s="1" t="n">
        <v>45645</v>
      </c>
      <c r="D205" t="inlineStr">
        <is>
          <t>VÄSTERBOTTENS LÄN</t>
        </is>
      </c>
      <c r="E205" t="inlineStr">
        <is>
          <t>BJURHOLM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7897-2022</t>
        </is>
      </c>
      <c r="B206" s="1" t="n">
        <v>44608</v>
      </c>
      <c r="C206" s="1" t="n">
        <v>45645</v>
      </c>
      <c r="D206" t="inlineStr">
        <is>
          <t>VÄSTERBOTTENS LÄN</t>
        </is>
      </c>
      <c r="E206" t="inlineStr">
        <is>
          <t>BJURHOLM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7908-2022</t>
        </is>
      </c>
      <c r="B207" s="1" t="n">
        <v>44608</v>
      </c>
      <c r="C207" s="1" t="n">
        <v>45645</v>
      </c>
      <c r="D207" t="inlineStr">
        <is>
          <t>VÄSTERBOTTENS LÄN</t>
        </is>
      </c>
      <c r="E207" t="inlineStr">
        <is>
          <t>BJURHOLM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7901-2022</t>
        </is>
      </c>
      <c r="B208" s="1" t="n">
        <v>44608</v>
      </c>
      <c r="C208" s="1" t="n">
        <v>45645</v>
      </c>
      <c r="D208" t="inlineStr">
        <is>
          <t>VÄSTERBOTTENS LÄN</t>
        </is>
      </c>
      <c r="E208" t="inlineStr">
        <is>
          <t>BJURHOLM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7910-2022</t>
        </is>
      </c>
      <c r="B209" s="1" t="n">
        <v>44608</v>
      </c>
      <c r="C209" s="1" t="n">
        <v>45645</v>
      </c>
      <c r="D209" t="inlineStr">
        <is>
          <t>VÄSTERBOTTENS LÄN</t>
        </is>
      </c>
      <c r="E209" t="inlineStr">
        <is>
          <t>BJURHOLM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7915-2022</t>
        </is>
      </c>
      <c r="B210" s="1" t="n">
        <v>44608</v>
      </c>
      <c r="C210" s="1" t="n">
        <v>45645</v>
      </c>
      <c r="D210" t="inlineStr">
        <is>
          <t>VÄSTERBOTTENS LÄN</t>
        </is>
      </c>
      <c r="E210" t="inlineStr">
        <is>
          <t>BJURHOLM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7907-2022</t>
        </is>
      </c>
      <c r="B211" s="1" t="n">
        <v>44608</v>
      </c>
      <c r="C211" s="1" t="n">
        <v>45645</v>
      </c>
      <c r="D211" t="inlineStr">
        <is>
          <t>VÄSTERBOTTENS LÄN</t>
        </is>
      </c>
      <c r="E211" t="inlineStr">
        <is>
          <t>BJURHOLM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9926-2022</t>
        </is>
      </c>
      <c r="B212" s="1" t="n">
        <v>44620</v>
      </c>
      <c r="C212" s="1" t="n">
        <v>45645</v>
      </c>
      <c r="D212" t="inlineStr">
        <is>
          <t>VÄSTERBOTTENS LÄN</t>
        </is>
      </c>
      <c r="E212" t="inlineStr">
        <is>
          <t>BJURHOLM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9923-2022</t>
        </is>
      </c>
      <c r="B213" s="1" t="n">
        <v>44620</v>
      </c>
      <c r="C213" s="1" t="n">
        <v>45645</v>
      </c>
      <c r="D213" t="inlineStr">
        <is>
          <t>VÄSTERBOTTENS LÄN</t>
        </is>
      </c>
      <c r="E213" t="inlineStr">
        <is>
          <t>BJURHOLM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9927-2022</t>
        </is>
      </c>
      <c r="B214" s="1" t="n">
        <v>44620</v>
      </c>
      <c r="C214" s="1" t="n">
        <v>45645</v>
      </c>
      <c r="D214" t="inlineStr">
        <is>
          <t>VÄSTERBOTTENS LÄN</t>
        </is>
      </c>
      <c r="E214" t="inlineStr">
        <is>
          <t>BJURHOLM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9928-2022</t>
        </is>
      </c>
      <c r="B215" s="1" t="n">
        <v>44620</v>
      </c>
      <c r="C215" s="1" t="n">
        <v>45645</v>
      </c>
      <c r="D215" t="inlineStr">
        <is>
          <t>VÄSTERBOTTENS LÄN</t>
        </is>
      </c>
      <c r="E215" t="inlineStr">
        <is>
          <t>BJURHOLM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9933-2022</t>
        </is>
      </c>
      <c r="B216" s="1" t="n">
        <v>44620</v>
      </c>
      <c r="C216" s="1" t="n">
        <v>45645</v>
      </c>
      <c r="D216" t="inlineStr">
        <is>
          <t>VÄSTERBOTTENS LÄN</t>
        </is>
      </c>
      <c r="E216" t="inlineStr">
        <is>
          <t>BJURHOLM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11120-2022</t>
        </is>
      </c>
      <c r="B217" s="1" t="n">
        <v>44628</v>
      </c>
      <c r="C217" s="1" t="n">
        <v>45645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11431-2022</t>
        </is>
      </c>
      <c r="B218" s="1" t="n">
        <v>44630</v>
      </c>
      <c r="C218" s="1" t="n">
        <v>45645</v>
      </c>
      <c r="D218" t="inlineStr">
        <is>
          <t>VÄSTERBOTTENS LÄN</t>
        </is>
      </c>
      <c r="E218" t="inlineStr">
        <is>
          <t>BJURHOLM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13184-2022</t>
        </is>
      </c>
      <c r="B219" s="1" t="n">
        <v>44644</v>
      </c>
      <c r="C219" s="1" t="n">
        <v>45645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16792-2022</t>
        </is>
      </c>
      <c r="B220" s="1" t="n">
        <v>44673</v>
      </c>
      <c r="C220" s="1" t="n">
        <v>45645</v>
      </c>
      <c r="D220" t="inlineStr">
        <is>
          <t>VÄSTERBOTTENS LÄN</t>
        </is>
      </c>
      <c r="E220" t="inlineStr">
        <is>
          <t>BJURHOLM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17409-2022</t>
        </is>
      </c>
      <c r="B221" s="1" t="n">
        <v>44678</v>
      </c>
      <c r="C221" s="1" t="n">
        <v>45645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17554-2022</t>
        </is>
      </c>
      <c r="B222" s="1" t="n">
        <v>44679</v>
      </c>
      <c r="C222" s="1" t="n">
        <v>45645</v>
      </c>
      <c r="D222" t="inlineStr">
        <is>
          <t>VÄSTERBOTTENS LÄN</t>
        </is>
      </c>
      <c r="E222" t="inlineStr">
        <is>
          <t>BJURHOLM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17551-2022</t>
        </is>
      </c>
      <c r="B223" s="1" t="n">
        <v>44679</v>
      </c>
      <c r="C223" s="1" t="n">
        <v>45645</v>
      </c>
      <c r="D223" t="inlineStr">
        <is>
          <t>VÄSTERBOTTENS LÄN</t>
        </is>
      </c>
      <c r="E223" t="inlineStr">
        <is>
          <t>BJURHOLM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17609-2022</t>
        </is>
      </c>
      <c r="B224" s="1" t="n">
        <v>44680</v>
      </c>
      <c r="C224" s="1" t="n">
        <v>45645</v>
      </c>
      <c r="D224" t="inlineStr">
        <is>
          <t>VÄSTERBOTTENS LÄN</t>
        </is>
      </c>
      <c r="E224" t="inlineStr">
        <is>
          <t>BJURHOLM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20753-2022</t>
        </is>
      </c>
      <c r="B225" s="1" t="n">
        <v>44700</v>
      </c>
      <c r="C225" s="1" t="n">
        <v>45645</v>
      </c>
      <c r="D225" t="inlineStr">
        <is>
          <t>VÄSTERBOTTENS LÄN</t>
        </is>
      </c>
      <c r="E225" t="inlineStr">
        <is>
          <t>BJURHOLM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20836-2022</t>
        </is>
      </c>
      <c r="B226" s="1" t="n">
        <v>44701</v>
      </c>
      <c r="C226" s="1" t="n">
        <v>45645</v>
      </c>
      <c r="D226" t="inlineStr">
        <is>
          <t>VÄSTERBOTTENS LÄN</t>
        </is>
      </c>
      <c r="E226" t="inlineStr">
        <is>
          <t>BJURHOLM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20830-2022</t>
        </is>
      </c>
      <c r="B227" s="1" t="n">
        <v>44701</v>
      </c>
      <c r="C227" s="1" t="n">
        <v>45645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22581-2022</t>
        </is>
      </c>
      <c r="B228" s="1" t="n">
        <v>44714</v>
      </c>
      <c r="C228" s="1" t="n">
        <v>45645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23662-2022</t>
        </is>
      </c>
      <c r="B229" s="1" t="n">
        <v>44721</v>
      </c>
      <c r="C229" s="1" t="n">
        <v>45645</v>
      </c>
      <c r="D229" t="inlineStr">
        <is>
          <t>VÄSTERBOTTENS LÄN</t>
        </is>
      </c>
      <c r="E229" t="inlineStr">
        <is>
          <t>BJURHOLM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23909-2022</t>
        </is>
      </c>
      <c r="B230" s="1" t="n">
        <v>44722</v>
      </c>
      <c r="C230" s="1" t="n">
        <v>45645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23974-2022</t>
        </is>
      </c>
      <c r="B231" s="1" t="n">
        <v>44722</v>
      </c>
      <c r="C231" s="1" t="n">
        <v>45645</v>
      </c>
      <c r="D231" t="inlineStr">
        <is>
          <t>VÄSTERBOTTENS LÄN</t>
        </is>
      </c>
      <c r="E231" t="inlineStr">
        <is>
          <t>BJURHOLM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26352-2022</t>
        </is>
      </c>
      <c r="B232" s="1" t="n">
        <v>44735</v>
      </c>
      <c r="C232" s="1" t="n">
        <v>45645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26833-2022</t>
        </is>
      </c>
      <c r="B233" s="1" t="n">
        <v>44740</v>
      </c>
      <c r="C233" s="1" t="n">
        <v>45645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27886-2022</t>
        </is>
      </c>
      <c r="B234" s="1" t="n">
        <v>44743</v>
      </c>
      <c r="C234" s="1" t="n">
        <v>45645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27952-2022</t>
        </is>
      </c>
      <c r="B235" s="1" t="n">
        <v>44743</v>
      </c>
      <c r="C235" s="1" t="n">
        <v>45645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27951-2022</t>
        </is>
      </c>
      <c r="B236" s="1" t="n">
        <v>44744</v>
      </c>
      <c r="C236" s="1" t="n">
        <v>45645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28040-2022</t>
        </is>
      </c>
      <c r="B237" s="1" t="n">
        <v>44746</v>
      </c>
      <c r="C237" s="1" t="n">
        <v>45645</v>
      </c>
      <c r="D237" t="inlineStr">
        <is>
          <t>VÄSTERBOTTENS LÄN</t>
        </is>
      </c>
      <c r="E237" t="inlineStr">
        <is>
          <t>BJURHOLM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28037-2022</t>
        </is>
      </c>
      <c r="B238" s="1" t="n">
        <v>44746</v>
      </c>
      <c r="C238" s="1" t="n">
        <v>45645</v>
      </c>
      <c r="D238" t="inlineStr">
        <is>
          <t>VÄSTERBOTTENS LÄN</t>
        </is>
      </c>
      <c r="E238" t="inlineStr">
        <is>
          <t>BJURHOLM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29524-2022</t>
        </is>
      </c>
      <c r="B239" s="1" t="n">
        <v>44753</v>
      </c>
      <c r="C239" s="1" t="n">
        <v>45645</v>
      </c>
      <c r="D239" t="inlineStr">
        <is>
          <t>VÄSTERBOTTENS LÄN</t>
        </is>
      </c>
      <c r="E239" t="inlineStr">
        <is>
          <t>BJURHOLM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29867-2022</t>
        </is>
      </c>
      <c r="B240" s="1" t="n">
        <v>44756</v>
      </c>
      <c r="C240" s="1" t="n">
        <v>45645</v>
      </c>
      <c r="D240" t="inlineStr">
        <is>
          <t>VÄSTERBOTTENS LÄN</t>
        </is>
      </c>
      <c r="E240" t="inlineStr">
        <is>
          <t>BJURHOLM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29994-2022</t>
        </is>
      </c>
      <c r="B241" s="1" t="n">
        <v>44756</v>
      </c>
      <c r="C241" s="1" t="n">
        <v>45645</v>
      </c>
      <c r="D241" t="inlineStr">
        <is>
          <t>VÄSTERBOTTENS LÄN</t>
        </is>
      </c>
      <c r="E241" t="inlineStr">
        <is>
          <t>BJURHOLM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31180-2022</t>
        </is>
      </c>
      <c r="B242" s="1" t="n">
        <v>44770</v>
      </c>
      <c r="C242" s="1" t="n">
        <v>45645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31195-2022</t>
        </is>
      </c>
      <c r="B243" s="1" t="n">
        <v>44770</v>
      </c>
      <c r="C243" s="1" t="n">
        <v>45645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31177-2022</t>
        </is>
      </c>
      <c r="B244" s="1" t="n">
        <v>44770</v>
      </c>
      <c r="C244" s="1" t="n">
        <v>45645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31274-2022</t>
        </is>
      </c>
      <c r="B245" s="1" t="n">
        <v>44771</v>
      </c>
      <c r="C245" s="1" t="n">
        <v>45645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31381-2022</t>
        </is>
      </c>
      <c r="B246" s="1" t="n">
        <v>44774</v>
      </c>
      <c r="C246" s="1" t="n">
        <v>45645</v>
      </c>
      <c r="D246" t="inlineStr">
        <is>
          <t>VÄSTERBOTTENS LÄN</t>
        </is>
      </c>
      <c r="E246" t="inlineStr">
        <is>
          <t>BJURHOLM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31412-2022</t>
        </is>
      </c>
      <c r="B247" s="1" t="n">
        <v>44774</v>
      </c>
      <c r="C247" s="1" t="n">
        <v>45645</v>
      </c>
      <c r="D247" t="inlineStr">
        <is>
          <t>VÄSTERBOTTENS LÄN</t>
        </is>
      </c>
      <c r="E247" t="inlineStr">
        <is>
          <t>BJURHOLM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31782-2022</t>
        </is>
      </c>
      <c r="B248" s="1" t="n">
        <v>44776</v>
      </c>
      <c r="C248" s="1" t="n">
        <v>45645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32041-2022</t>
        </is>
      </c>
      <c r="B249" s="1" t="n">
        <v>44778</v>
      </c>
      <c r="C249" s="1" t="n">
        <v>45645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32033-2022</t>
        </is>
      </c>
      <c r="B250" s="1" t="n">
        <v>44778</v>
      </c>
      <c r="C250" s="1" t="n">
        <v>45645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32075-2022</t>
        </is>
      </c>
      <c r="B251" s="1" t="n">
        <v>44778</v>
      </c>
      <c r="C251" s="1" t="n">
        <v>45645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32617-2022</t>
        </is>
      </c>
      <c r="B252" s="1" t="n">
        <v>44783</v>
      </c>
      <c r="C252" s="1" t="n">
        <v>45645</v>
      </c>
      <c r="D252" t="inlineStr">
        <is>
          <t>VÄSTERBOTTENS LÄN</t>
        </is>
      </c>
      <c r="E252" t="inlineStr">
        <is>
          <t>BJURHOLM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32989-2022</t>
        </is>
      </c>
      <c r="B253" s="1" t="n">
        <v>44785</v>
      </c>
      <c r="C253" s="1" t="n">
        <v>45645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33042-2022</t>
        </is>
      </c>
      <c r="B254" s="1" t="n">
        <v>44785</v>
      </c>
      <c r="C254" s="1" t="n">
        <v>45645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33093-2022</t>
        </is>
      </c>
      <c r="B255" s="1" t="n">
        <v>44785</v>
      </c>
      <c r="C255" s="1" t="n">
        <v>45645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33460-2022</t>
        </is>
      </c>
      <c r="B256" s="1" t="n">
        <v>44788</v>
      </c>
      <c r="C256" s="1" t="n">
        <v>45645</v>
      </c>
      <c r="D256" t="inlineStr">
        <is>
          <t>VÄSTERBOTTENS LÄN</t>
        </is>
      </c>
      <c r="E256" t="inlineStr">
        <is>
          <t>BJURHOLM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34296-2022</t>
        </is>
      </c>
      <c r="B257" s="1" t="n">
        <v>44792</v>
      </c>
      <c r="C257" s="1" t="n">
        <v>45645</v>
      </c>
      <c r="D257" t="inlineStr">
        <is>
          <t>VÄSTERBOTTENS LÄN</t>
        </is>
      </c>
      <c r="E257" t="inlineStr">
        <is>
          <t>BJURHOLM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34332-2022</t>
        </is>
      </c>
      <c r="B258" s="1" t="n">
        <v>44792</v>
      </c>
      <c r="C258" s="1" t="n">
        <v>45645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34401-2022</t>
        </is>
      </c>
      <c r="B259" s="1" t="n">
        <v>44792</v>
      </c>
      <c r="C259" s="1" t="n">
        <v>45645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34560-2022</t>
        </is>
      </c>
      <c r="B260" s="1" t="n">
        <v>44794</v>
      </c>
      <c r="C260" s="1" t="n">
        <v>45645</v>
      </c>
      <c r="D260" t="inlineStr">
        <is>
          <t>VÄSTERBOTTENS LÄN</t>
        </is>
      </c>
      <c r="E260" t="inlineStr">
        <is>
          <t>BJURHOLM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34751-2022</t>
        </is>
      </c>
      <c r="B261" s="1" t="n">
        <v>44795</v>
      </c>
      <c r="C261" s="1" t="n">
        <v>45645</v>
      </c>
      <c r="D261" t="inlineStr">
        <is>
          <t>VÄSTERBOTTENS LÄN</t>
        </is>
      </c>
      <c r="E261" t="inlineStr">
        <is>
          <t>BJURHOLM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35482-2022</t>
        </is>
      </c>
      <c r="B262" s="1" t="n">
        <v>44799</v>
      </c>
      <c r="C262" s="1" t="n">
        <v>45645</v>
      </c>
      <c r="D262" t="inlineStr">
        <is>
          <t>VÄSTERBOTTENS LÄN</t>
        </is>
      </c>
      <c r="E262" t="inlineStr">
        <is>
          <t>BJURHOLM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36021-2022</t>
        </is>
      </c>
      <c r="B263" s="1" t="n">
        <v>44802</v>
      </c>
      <c r="C263" s="1" t="n">
        <v>45645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36507-2022</t>
        </is>
      </c>
      <c r="B264" s="1" t="n">
        <v>44804</v>
      </c>
      <c r="C264" s="1" t="n">
        <v>45645</v>
      </c>
      <c r="D264" t="inlineStr">
        <is>
          <t>VÄSTERBOTTENS LÄN</t>
        </is>
      </c>
      <c r="E264" t="inlineStr">
        <is>
          <t>BJURHOLM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36991-2022</t>
        </is>
      </c>
      <c r="B265" s="1" t="n">
        <v>44806</v>
      </c>
      <c r="C265" s="1" t="n">
        <v>45645</v>
      </c>
      <c r="D265" t="inlineStr">
        <is>
          <t>VÄSTERBOTTENS LÄN</t>
        </is>
      </c>
      <c r="E265" t="inlineStr">
        <is>
          <t>BJURHOLM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38838-2022</t>
        </is>
      </c>
      <c r="B266" s="1" t="n">
        <v>44816</v>
      </c>
      <c r="C266" s="1" t="n">
        <v>45645</v>
      </c>
      <c r="D266" t="inlineStr">
        <is>
          <t>VÄSTERBOTTENS LÄN</t>
        </is>
      </c>
      <c r="E266" t="inlineStr">
        <is>
          <t>BJURHOLM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40000-2022</t>
        </is>
      </c>
      <c r="B267" s="1" t="n">
        <v>44818</v>
      </c>
      <c r="C267" s="1" t="n">
        <v>45645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41388-2022</t>
        </is>
      </c>
      <c r="B268" s="1" t="n">
        <v>44826</v>
      </c>
      <c r="C268" s="1" t="n">
        <v>45645</v>
      </c>
      <c r="D268" t="inlineStr">
        <is>
          <t>VÄSTERBOTTENS LÄN</t>
        </is>
      </c>
      <c r="E268" t="inlineStr">
        <is>
          <t>BJURHOLM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42004-2022</t>
        </is>
      </c>
      <c r="B269" s="1" t="n">
        <v>44827</v>
      </c>
      <c r="C269" s="1" t="n">
        <v>45645</v>
      </c>
      <c r="D269" t="inlineStr">
        <is>
          <t>VÄSTERBOTTENS LÄN</t>
        </is>
      </c>
      <c r="E269" t="inlineStr">
        <is>
          <t>BJURHOLM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42403-2022</t>
        </is>
      </c>
      <c r="B270" s="1" t="n">
        <v>44831</v>
      </c>
      <c r="C270" s="1" t="n">
        <v>45645</v>
      </c>
      <c r="D270" t="inlineStr">
        <is>
          <t>VÄSTERBOTTENS LÄN</t>
        </is>
      </c>
      <c r="E270" t="inlineStr">
        <is>
          <t>BJURHOLM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42391-2022</t>
        </is>
      </c>
      <c r="B271" s="1" t="n">
        <v>44831</v>
      </c>
      <c r="C271" s="1" t="n">
        <v>45645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42752-2022</t>
        </is>
      </c>
      <c r="B272" s="1" t="n">
        <v>44832</v>
      </c>
      <c r="C272" s="1" t="n">
        <v>45645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43326-2022</t>
        </is>
      </c>
      <c r="B273" s="1" t="n">
        <v>44834</v>
      </c>
      <c r="C273" s="1" t="n">
        <v>45645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43899-2022</t>
        </is>
      </c>
      <c r="B274" s="1" t="n">
        <v>44837</v>
      </c>
      <c r="C274" s="1" t="n">
        <v>45645</v>
      </c>
      <c r="D274" t="inlineStr">
        <is>
          <t>VÄSTERBOTTENS LÄN</t>
        </is>
      </c>
      <c r="E274" t="inlineStr">
        <is>
          <t>BJURHOLM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45417-2022</t>
        </is>
      </c>
      <c r="B275" s="1" t="n">
        <v>44844</v>
      </c>
      <c r="C275" s="1" t="n">
        <v>45645</v>
      </c>
      <c r="D275" t="inlineStr">
        <is>
          <t>VÄSTERBOTTENS LÄN</t>
        </is>
      </c>
      <c r="E275" t="inlineStr">
        <is>
          <t>BJURHOLM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45418-2022</t>
        </is>
      </c>
      <c r="B276" s="1" t="n">
        <v>44845</v>
      </c>
      <c r="C276" s="1" t="n">
        <v>45645</v>
      </c>
      <c r="D276" t="inlineStr">
        <is>
          <t>VÄSTERBOTTENS LÄN</t>
        </is>
      </c>
      <c r="E276" t="inlineStr">
        <is>
          <t>BJURHOLM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46246-2022</t>
        </is>
      </c>
      <c r="B277" s="1" t="n">
        <v>44846</v>
      </c>
      <c r="C277" s="1" t="n">
        <v>45645</v>
      </c>
      <c r="D277" t="inlineStr">
        <is>
          <t>VÄSTERBOTTENS LÄN</t>
        </is>
      </c>
      <c r="E277" t="inlineStr">
        <is>
          <t>BJURHOLM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47919-2022</t>
        </is>
      </c>
      <c r="B278" s="1" t="n">
        <v>44855</v>
      </c>
      <c r="C278" s="1" t="n">
        <v>45645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47907-2022</t>
        </is>
      </c>
      <c r="B279" s="1" t="n">
        <v>44855</v>
      </c>
      <c r="C279" s="1" t="n">
        <v>45645</v>
      </c>
      <c r="D279" t="inlineStr">
        <is>
          <t>VÄSTERBOTTENS LÄN</t>
        </is>
      </c>
      <c r="E279" t="inlineStr">
        <is>
          <t>BJURHOLM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48946-2022</t>
        </is>
      </c>
      <c r="B280" s="1" t="n">
        <v>44860</v>
      </c>
      <c r="C280" s="1" t="n">
        <v>45645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49648-2022</t>
        </is>
      </c>
      <c r="B281" s="1" t="n">
        <v>44862</v>
      </c>
      <c r="C281" s="1" t="n">
        <v>45645</v>
      </c>
      <c r="D281" t="inlineStr">
        <is>
          <t>VÄSTERBOTTENS LÄN</t>
        </is>
      </c>
      <c r="E281" t="inlineStr">
        <is>
          <t>BJURHOLM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49887-2022</t>
        </is>
      </c>
      <c r="B282" s="1" t="n">
        <v>44864</v>
      </c>
      <c r="C282" s="1" t="n">
        <v>45645</v>
      </c>
      <c r="D282" t="inlineStr">
        <is>
          <t>VÄSTERBOTTENS LÄN</t>
        </is>
      </c>
      <c r="E282" t="inlineStr">
        <is>
          <t>BJURHOLM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50928-2022</t>
        </is>
      </c>
      <c r="B283" s="1" t="n">
        <v>44865</v>
      </c>
      <c r="C283" s="1" t="n">
        <v>45645</v>
      </c>
      <c r="D283" t="inlineStr">
        <is>
          <t>VÄSTERBOTTENS LÄN</t>
        </is>
      </c>
      <c r="E283" t="inlineStr">
        <is>
          <t>BJURHOLM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51068-2022</t>
        </is>
      </c>
      <c r="B284" s="1" t="n">
        <v>44865</v>
      </c>
      <c r="C284" s="1" t="n">
        <v>45645</v>
      </c>
      <c r="D284" t="inlineStr">
        <is>
          <t>VÄSTERBOTTENS LÄN</t>
        </is>
      </c>
      <c r="E284" t="inlineStr">
        <is>
          <t>BJURHOLM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51239-2022</t>
        </is>
      </c>
      <c r="B285" s="1" t="n">
        <v>44866</v>
      </c>
      <c r="C285" s="1" t="n">
        <v>45645</v>
      </c>
      <c r="D285" t="inlineStr">
        <is>
          <t>VÄSTERBOTTENS LÄN</t>
        </is>
      </c>
      <c r="E285" t="inlineStr">
        <is>
          <t>BJURHOLM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51301-2022</t>
        </is>
      </c>
      <c r="B286" s="1" t="n">
        <v>44868</v>
      </c>
      <c r="C286" s="1" t="n">
        <v>45645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51300-2022</t>
        </is>
      </c>
      <c r="B287" s="1" t="n">
        <v>44868</v>
      </c>
      <c r="C287" s="1" t="n">
        <v>45645</v>
      </c>
      <c r="D287" t="inlineStr">
        <is>
          <t>VÄSTERBOTTENS LÄN</t>
        </is>
      </c>
      <c r="E287" t="inlineStr">
        <is>
          <t>BJURHOLM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52321-2022</t>
        </is>
      </c>
      <c r="B288" s="1" t="n">
        <v>44873</v>
      </c>
      <c r="C288" s="1" t="n">
        <v>45645</v>
      </c>
      <c r="D288" t="inlineStr">
        <is>
          <t>VÄSTERBOTTENS LÄN</t>
        </is>
      </c>
      <c r="E288" t="inlineStr">
        <is>
          <t>BJURHOLM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52562-2022</t>
        </is>
      </c>
      <c r="B289" s="1" t="n">
        <v>44874</v>
      </c>
      <c r="C289" s="1" t="n">
        <v>45645</v>
      </c>
      <c r="D289" t="inlineStr">
        <is>
          <t>VÄSTERBOTTENS LÄN</t>
        </is>
      </c>
      <c r="E289" t="inlineStr">
        <is>
          <t>BJURHOLM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52689-2022</t>
        </is>
      </c>
      <c r="B290" s="1" t="n">
        <v>44874</v>
      </c>
      <c r="C290" s="1" t="n">
        <v>45645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53536-2022</t>
        </is>
      </c>
      <c r="B291" s="1" t="n">
        <v>44875</v>
      </c>
      <c r="C291" s="1" t="n">
        <v>45645</v>
      </c>
      <c r="D291" t="inlineStr">
        <is>
          <t>VÄSTERBOTTENS LÄN</t>
        </is>
      </c>
      <c r="E291" t="inlineStr">
        <is>
          <t>BJURHOLM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53672-2022</t>
        </is>
      </c>
      <c r="B292" s="1" t="n">
        <v>44879</v>
      </c>
      <c r="C292" s="1" t="n">
        <v>45645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55542-2022</t>
        </is>
      </c>
      <c r="B293" s="1" t="n">
        <v>44887</v>
      </c>
      <c r="C293" s="1" t="n">
        <v>45645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57334-2022</t>
        </is>
      </c>
      <c r="B294" s="1" t="n">
        <v>44896</v>
      </c>
      <c r="C294" s="1" t="n">
        <v>45645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57653-2022</t>
        </is>
      </c>
      <c r="B295" s="1" t="n">
        <v>44897</v>
      </c>
      <c r="C295" s="1" t="n">
        <v>45645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57883-2022</t>
        </is>
      </c>
      <c r="B296" s="1" t="n">
        <v>44899</v>
      </c>
      <c r="C296" s="1" t="n">
        <v>45645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58192-2022</t>
        </is>
      </c>
      <c r="B297" s="1" t="n">
        <v>44900</v>
      </c>
      <c r="C297" s="1" t="n">
        <v>45645</v>
      </c>
      <c r="D297" t="inlineStr">
        <is>
          <t>VÄSTERBOTTENS LÄN</t>
        </is>
      </c>
      <c r="E297" t="inlineStr">
        <is>
          <t>BJURHOLM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58420-2022</t>
        </is>
      </c>
      <c r="B298" s="1" t="n">
        <v>44901</v>
      </c>
      <c r="C298" s="1" t="n">
        <v>45645</v>
      </c>
      <c r="D298" t="inlineStr">
        <is>
          <t>VÄSTERBOTTENS LÄN</t>
        </is>
      </c>
      <c r="E298" t="inlineStr">
        <is>
          <t>BJURHOLM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59917-2022</t>
        </is>
      </c>
      <c r="B299" s="1" t="n">
        <v>44908</v>
      </c>
      <c r="C299" s="1" t="n">
        <v>45645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59866-2022</t>
        </is>
      </c>
      <c r="B300" s="1" t="n">
        <v>44908</v>
      </c>
      <c r="C300" s="1" t="n">
        <v>45645</v>
      </c>
      <c r="D300" t="inlineStr">
        <is>
          <t>VÄSTERBOTTENS LÄN</t>
        </is>
      </c>
      <c r="E300" t="inlineStr">
        <is>
          <t>BJURHOLM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60690-2022</t>
        </is>
      </c>
      <c r="B301" s="1" t="n">
        <v>44911</v>
      </c>
      <c r="C301" s="1" t="n">
        <v>45645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60692-2022</t>
        </is>
      </c>
      <c r="B302" s="1" t="n">
        <v>44911</v>
      </c>
      <c r="C302" s="1" t="n">
        <v>45645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60689-2022</t>
        </is>
      </c>
      <c r="B303" s="1" t="n">
        <v>44911</v>
      </c>
      <c r="C303" s="1" t="n">
        <v>45645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60691-2022</t>
        </is>
      </c>
      <c r="B304" s="1" t="n">
        <v>44911</v>
      </c>
      <c r="C304" s="1" t="n">
        <v>45645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61044-2022</t>
        </is>
      </c>
      <c r="B305" s="1" t="n">
        <v>44915</v>
      </c>
      <c r="C305" s="1" t="n">
        <v>45645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61658-2022</t>
        </is>
      </c>
      <c r="B306" s="1" t="n">
        <v>44916</v>
      </c>
      <c r="C306" s="1" t="n">
        <v>45645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61654-2022</t>
        </is>
      </c>
      <c r="B307" s="1" t="n">
        <v>44916</v>
      </c>
      <c r="C307" s="1" t="n">
        <v>45645</v>
      </c>
      <c r="D307" t="inlineStr">
        <is>
          <t>VÄSTERBOTTENS LÄN</t>
        </is>
      </c>
      <c r="E307" t="inlineStr">
        <is>
          <t>BJURHOLM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61655-2022</t>
        </is>
      </c>
      <c r="B308" s="1" t="n">
        <v>44916</v>
      </c>
      <c r="C308" s="1" t="n">
        <v>45645</v>
      </c>
      <c r="D308" t="inlineStr">
        <is>
          <t>VÄSTERBOTTENS LÄN</t>
        </is>
      </c>
      <c r="E308" t="inlineStr">
        <is>
          <t>BJURHOLM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62082-2022</t>
        </is>
      </c>
      <c r="B309" s="1" t="n">
        <v>44918</v>
      </c>
      <c r="C309" s="1" t="n">
        <v>45645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62087-2022</t>
        </is>
      </c>
      <c r="B310" s="1" t="n">
        <v>44919</v>
      </c>
      <c r="C310" s="1" t="n">
        <v>45645</v>
      </c>
      <c r="D310" t="inlineStr">
        <is>
          <t>VÄSTERBOTTENS LÄN</t>
        </is>
      </c>
      <c r="E310" t="inlineStr">
        <is>
          <t>BJURHOLM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62088-2022</t>
        </is>
      </c>
      <c r="B311" s="1" t="n">
        <v>44919</v>
      </c>
      <c r="C311" s="1" t="n">
        <v>45645</v>
      </c>
      <c r="D311" t="inlineStr">
        <is>
          <t>VÄSTERBOTTENS LÄN</t>
        </is>
      </c>
      <c r="E311" t="inlineStr">
        <is>
          <t>BJURHOLM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62581-2022</t>
        </is>
      </c>
      <c r="B312" s="1" t="n">
        <v>44924</v>
      </c>
      <c r="C312" s="1" t="n">
        <v>45645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366-2023</t>
        </is>
      </c>
      <c r="B313" s="1" t="n">
        <v>44929</v>
      </c>
      <c r="C313" s="1" t="n">
        <v>45645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729-2023</t>
        </is>
      </c>
      <c r="B314" s="1" t="n">
        <v>44930</v>
      </c>
      <c r="C314" s="1" t="n">
        <v>45645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779-2023</t>
        </is>
      </c>
      <c r="B315" s="1" t="n">
        <v>44931</v>
      </c>
      <c r="C315" s="1" t="n">
        <v>45645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3493-2023</t>
        </is>
      </c>
      <c r="B316" s="1" t="n">
        <v>44949</v>
      </c>
      <c r="C316" s="1" t="n">
        <v>45645</v>
      </c>
      <c r="D316" t="inlineStr">
        <is>
          <t>VÄSTERBOTTENS LÄN</t>
        </is>
      </c>
      <c r="E316" t="inlineStr">
        <is>
          <t>BJURHOLM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3705-2023</t>
        </is>
      </c>
      <c r="B317" s="1" t="n">
        <v>44950</v>
      </c>
      <c r="C317" s="1" t="n">
        <v>45645</v>
      </c>
      <c r="D317" t="inlineStr">
        <is>
          <t>VÄSTERBOTTENS LÄN</t>
        </is>
      </c>
      <c r="E317" t="inlineStr">
        <is>
          <t>BJURHOLM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5079-2023</t>
        </is>
      </c>
      <c r="B318" s="1" t="n">
        <v>44958</v>
      </c>
      <c r="C318" s="1" t="n">
        <v>45645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5098-2023</t>
        </is>
      </c>
      <c r="B319" s="1" t="n">
        <v>44958</v>
      </c>
      <c r="C319" s="1" t="n">
        <v>45645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6344-2023</t>
        </is>
      </c>
      <c r="B320" s="1" t="n">
        <v>44960</v>
      </c>
      <c r="C320" s="1" t="n">
        <v>45645</v>
      </c>
      <c r="D320" t="inlineStr">
        <is>
          <t>VÄSTERBOTTENS LÄN</t>
        </is>
      </c>
      <c r="E320" t="inlineStr">
        <is>
          <t>BJURHOLM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5590-2023</t>
        </is>
      </c>
      <c r="B321" s="1" t="n">
        <v>44960</v>
      </c>
      <c r="C321" s="1" t="n">
        <v>45645</v>
      </c>
      <c r="D321" t="inlineStr">
        <is>
          <t>VÄSTERBOTTENS LÄN</t>
        </is>
      </c>
      <c r="E321" t="inlineStr">
        <is>
          <t>BJURHOLM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6822-2023</t>
        </is>
      </c>
      <c r="B322" s="1" t="n">
        <v>44964</v>
      </c>
      <c r="C322" s="1" t="n">
        <v>45645</v>
      </c>
      <c r="D322" t="inlineStr">
        <is>
          <t>VÄSTERBOTTENS LÄN</t>
        </is>
      </c>
      <c r="E322" t="inlineStr">
        <is>
          <t>BJURHOLM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6699-2023</t>
        </is>
      </c>
      <c r="B323" s="1" t="n">
        <v>44966</v>
      </c>
      <c r="C323" s="1" t="n">
        <v>45645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8135-2023</t>
        </is>
      </c>
      <c r="B324" s="1" t="n">
        <v>44970</v>
      </c>
      <c r="C324" s="1" t="n">
        <v>45645</v>
      </c>
      <c r="D324" t="inlineStr">
        <is>
          <t>VÄSTERBOTTENS LÄN</t>
        </is>
      </c>
      <c r="E324" t="inlineStr">
        <is>
          <t>BJURHOLM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8132-2023</t>
        </is>
      </c>
      <c r="B325" s="1" t="n">
        <v>44970</v>
      </c>
      <c r="C325" s="1" t="n">
        <v>45645</v>
      </c>
      <c r="D325" t="inlineStr">
        <is>
          <t>VÄSTERBOTTENS LÄN</t>
        </is>
      </c>
      <c r="E325" t="inlineStr">
        <is>
          <t>BJURHOLM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8547-2023</t>
        </is>
      </c>
      <c r="B326" s="1" t="n">
        <v>44972</v>
      </c>
      <c r="C326" s="1" t="n">
        <v>45645</v>
      </c>
      <c r="D326" t="inlineStr">
        <is>
          <t>VÄSTERBOTTENS LÄN</t>
        </is>
      </c>
      <c r="E326" t="inlineStr">
        <is>
          <t>BJURHOLM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8644-2023</t>
        </is>
      </c>
      <c r="B327" s="1" t="n">
        <v>44977</v>
      </c>
      <c r="C327" s="1" t="n">
        <v>45645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8860-2023</t>
        </is>
      </c>
      <c r="B328" s="1" t="n">
        <v>44978</v>
      </c>
      <c r="C328" s="1" t="n">
        <v>45645</v>
      </c>
      <c r="D328" t="inlineStr">
        <is>
          <t>VÄSTERBOTTENS LÄN</t>
        </is>
      </c>
      <c r="E328" t="inlineStr">
        <is>
          <t>BJURHOLM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8863-2023</t>
        </is>
      </c>
      <c r="B329" s="1" t="n">
        <v>44978</v>
      </c>
      <c r="C329" s="1" t="n">
        <v>45645</v>
      </c>
      <c r="D329" t="inlineStr">
        <is>
          <t>VÄSTERBOTTENS LÄN</t>
        </is>
      </c>
      <c r="E329" t="inlineStr">
        <is>
          <t>BJURHOLM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8862-2023</t>
        </is>
      </c>
      <c r="B330" s="1" t="n">
        <v>44978</v>
      </c>
      <c r="C330" s="1" t="n">
        <v>45645</v>
      </c>
      <c r="D330" t="inlineStr">
        <is>
          <t>VÄSTERBOTTENS LÄN</t>
        </is>
      </c>
      <c r="E330" t="inlineStr">
        <is>
          <t>BJURHOLM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10343-2023</t>
        </is>
      </c>
      <c r="B331" s="1" t="n">
        <v>44980</v>
      </c>
      <c r="C331" s="1" t="n">
        <v>45645</v>
      </c>
      <c r="D331" t="inlineStr">
        <is>
          <t>VÄSTERBOTTENS LÄN</t>
        </is>
      </c>
      <c r="E331" t="inlineStr">
        <is>
          <t>BJURHOLM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10351-2023</t>
        </is>
      </c>
      <c r="B332" s="1" t="n">
        <v>44980</v>
      </c>
      <c r="C332" s="1" t="n">
        <v>45645</v>
      </c>
      <c r="D332" t="inlineStr">
        <is>
          <t>VÄSTERBOTTENS LÄN</t>
        </is>
      </c>
      <c r="E332" t="inlineStr">
        <is>
          <t>BJURHOLM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10984-2023</t>
        </is>
      </c>
      <c r="B333" s="1" t="n">
        <v>44985</v>
      </c>
      <c r="C333" s="1" t="n">
        <v>45645</v>
      </c>
      <c r="D333" t="inlineStr">
        <is>
          <t>VÄSTERBOTTENS LÄN</t>
        </is>
      </c>
      <c r="E333" t="inlineStr">
        <is>
          <t>BJURHOLM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10918-2023</t>
        </is>
      </c>
      <c r="B334" s="1" t="n">
        <v>44991</v>
      </c>
      <c r="C334" s="1" t="n">
        <v>45645</v>
      </c>
      <c r="D334" t="inlineStr">
        <is>
          <t>VÄSTERBOTTENS LÄN</t>
        </is>
      </c>
      <c r="E334" t="inlineStr">
        <is>
          <t>BJURHOLM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11927-2023</t>
        </is>
      </c>
      <c r="B335" s="1" t="n">
        <v>44994</v>
      </c>
      <c r="C335" s="1" t="n">
        <v>45645</v>
      </c>
      <c r="D335" t="inlineStr">
        <is>
          <t>VÄSTERBOTTENS LÄN</t>
        </is>
      </c>
      <c r="E335" t="inlineStr">
        <is>
          <t>BJURHOLM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11860-2023</t>
        </is>
      </c>
      <c r="B336" s="1" t="n">
        <v>44995</v>
      </c>
      <c r="C336" s="1" t="n">
        <v>45645</v>
      </c>
      <c r="D336" t="inlineStr">
        <is>
          <t>VÄSTERBOTTENS LÄN</t>
        </is>
      </c>
      <c r="E336" t="inlineStr">
        <is>
          <t>BJURHOLM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12197-2023</t>
        </is>
      </c>
      <c r="B337" s="1" t="n">
        <v>44998</v>
      </c>
      <c r="C337" s="1" t="n">
        <v>45645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14071-2023</t>
        </is>
      </c>
      <c r="B338" s="1" t="n">
        <v>45009</v>
      </c>
      <c r="C338" s="1" t="n">
        <v>45645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14431-2023</t>
        </is>
      </c>
      <c r="B339" s="1" t="n">
        <v>45009</v>
      </c>
      <c r="C339" s="1" t="n">
        <v>45645</v>
      </c>
      <c r="D339" t="inlineStr">
        <is>
          <t>VÄSTERBOTTENS LÄN</t>
        </is>
      </c>
      <c r="E339" t="inlineStr">
        <is>
          <t>BJURHOLM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15225-2023</t>
        </is>
      </c>
      <c r="B340" s="1" t="n">
        <v>45016</v>
      </c>
      <c r="C340" s="1" t="n">
        <v>45645</v>
      </c>
      <c r="D340" t="inlineStr">
        <is>
          <t>VÄSTERBOTTENS LÄN</t>
        </is>
      </c>
      <c r="E340" t="inlineStr">
        <is>
          <t>BJURHOLM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15561-2023</t>
        </is>
      </c>
      <c r="B341" s="1" t="n">
        <v>45019</v>
      </c>
      <c r="C341" s="1" t="n">
        <v>45645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15556-2023</t>
        </is>
      </c>
      <c r="B342" s="1" t="n">
        <v>45019</v>
      </c>
      <c r="C342" s="1" t="n">
        <v>45645</v>
      </c>
      <c r="D342" t="inlineStr">
        <is>
          <t>VÄSTERBOTTENS LÄN</t>
        </is>
      </c>
      <c r="E342" t="inlineStr">
        <is>
          <t>BJURHOLM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15575-2023</t>
        </is>
      </c>
      <c r="B343" s="1" t="n">
        <v>45019</v>
      </c>
      <c r="C343" s="1" t="n">
        <v>45645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15581-2023</t>
        </is>
      </c>
      <c r="B344" s="1" t="n">
        <v>45019</v>
      </c>
      <c r="C344" s="1" t="n">
        <v>45645</v>
      </c>
      <c r="D344" t="inlineStr">
        <is>
          <t>VÄSTERBOTTENS LÄN</t>
        </is>
      </c>
      <c r="E344" t="inlineStr">
        <is>
          <t>BJURHOLM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15887-2023</t>
        </is>
      </c>
      <c r="B345" s="1" t="n">
        <v>45021</v>
      </c>
      <c r="C345" s="1" t="n">
        <v>45645</v>
      </c>
      <c r="D345" t="inlineStr">
        <is>
          <t>VÄSTERBOTTENS LÄN</t>
        </is>
      </c>
      <c r="E345" t="inlineStr">
        <is>
          <t>BJURHOLM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15878-2023</t>
        </is>
      </c>
      <c r="B346" s="1" t="n">
        <v>45021</v>
      </c>
      <c r="C346" s="1" t="n">
        <v>45645</v>
      </c>
      <c r="D346" t="inlineStr">
        <is>
          <t>VÄSTERBOTTENS LÄN</t>
        </is>
      </c>
      <c r="E346" t="inlineStr">
        <is>
          <t>BJURHOLM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16368-2023</t>
        </is>
      </c>
      <c r="B347" s="1" t="n">
        <v>45029</v>
      </c>
      <c r="C347" s="1" t="n">
        <v>45645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16680-2023</t>
        </is>
      </c>
      <c r="B348" s="1" t="n">
        <v>45028</v>
      </c>
      <c r="C348" s="1" t="n">
        <v>45645</v>
      </c>
      <c r="D348" t="inlineStr">
        <is>
          <t>VÄSTERBOTTENS LÄN</t>
        </is>
      </c>
      <c r="E348" t="inlineStr">
        <is>
          <t>BJURHOLM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16367-2023</t>
        </is>
      </c>
      <c r="B349" s="1" t="n">
        <v>45028</v>
      </c>
      <c r="C349" s="1" t="n">
        <v>45645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18720-2023</t>
        </is>
      </c>
      <c r="B350" s="1" t="n">
        <v>45043</v>
      </c>
      <c r="C350" s="1" t="n">
        <v>45645</v>
      </c>
      <c r="D350" t="inlineStr">
        <is>
          <t>VÄSTERBOTTENS LÄN</t>
        </is>
      </c>
      <c r="E350" t="inlineStr">
        <is>
          <t>BJURHOLM</t>
        </is>
      </c>
      <c r="G350" t="n">
        <v>31.4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18757-2023</t>
        </is>
      </c>
      <c r="B351" s="1" t="n">
        <v>45044</v>
      </c>
      <c r="C351" s="1" t="n">
        <v>45645</v>
      </c>
      <c r="D351" t="inlineStr">
        <is>
          <t>VÄSTERBOTTENS LÄN</t>
        </is>
      </c>
      <c r="E351" t="inlineStr">
        <is>
          <t>BJURHOLM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18955-2023</t>
        </is>
      </c>
      <c r="B352" s="1" t="n">
        <v>45043</v>
      </c>
      <c r="C352" s="1" t="n">
        <v>45645</v>
      </c>
      <c r="D352" t="inlineStr">
        <is>
          <t>VÄSTERBOTTENS LÄN</t>
        </is>
      </c>
      <c r="E352" t="inlineStr">
        <is>
          <t>BJURHOLM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18824-2023</t>
        </is>
      </c>
      <c r="B353" s="1" t="n">
        <v>45044</v>
      </c>
      <c r="C353" s="1" t="n">
        <v>45645</v>
      </c>
      <c r="D353" t="inlineStr">
        <is>
          <t>VÄSTERBOTTENS LÄN</t>
        </is>
      </c>
      <c r="E353" t="inlineStr">
        <is>
          <t>BJURHOLM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19077-2023</t>
        </is>
      </c>
      <c r="B354" s="1" t="n">
        <v>45044</v>
      </c>
      <c r="C354" s="1" t="n">
        <v>45645</v>
      </c>
      <c r="D354" t="inlineStr">
        <is>
          <t>VÄSTERBOTTENS LÄN</t>
        </is>
      </c>
      <c r="E354" t="inlineStr">
        <is>
          <t>BJURHOLM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19456-2023</t>
        </is>
      </c>
      <c r="B355" s="1" t="n">
        <v>45050</v>
      </c>
      <c r="C355" s="1" t="n">
        <v>45645</v>
      </c>
      <c r="D355" t="inlineStr">
        <is>
          <t>VÄSTERBOTTENS LÄN</t>
        </is>
      </c>
      <c r="E355" t="inlineStr">
        <is>
          <t>BJURHOLM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19905-2023</t>
        </is>
      </c>
      <c r="B356" s="1" t="n">
        <v>45054</v>
      </c>
      <c r="C356" s="1" t="n">
        <v>45645</v>
      </c>
      <c r="D356" t="inlineStr">
        <is>
          <t>VÄSTERBOTTENS LÄN</t>
        </is>
      </c>
      <c r="E356" t="inlineStr">
        <is>
          <t>BJURHOLM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20273-2023</t>
        </is>
      </c>
      <c r="B357" s="1" t="n">
        <v>45055</v>
      </c>
      <c r="C357" s="1" t="n">
        <v>45645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20949-2023</t>
        </is>
      </c>
      <c r="B358" s="1" t="n">
        <v>45056</v>
      </c>
      <c r="C358" s="1" t="n">
        <v>45645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20594-2023</t>
        </is>
      </c>
      <c r="B359" s="1" t="n">
        <v>45058</v>
      </c>
      <c r="C359" s="1" t="n">
        <v>45645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21425-2023</t>
        </is>
      </c>
      <c r="B360" s="1" t="n">
        <v>45060</v>
      </c>
      <c r="C360" s="1" t="n">
        <v>45645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21688-2023</t>
        </is>
      </c>
      <c r="B361" s="1" t="n">
        <v>45063</v>
      </c>
      <c r="C361" s="1" t="n">
        <v>45645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21675-2023</t>
        </is>
      </c>
      <c r="B362" s="1" t="n">
        <v>45064</v>
      </c>
      <c r="C362" s="1" t="n">
        <v>45645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22006-2023</t>
        </is>
      </c>
      <c r="B363" s="1" t="n">
        <v>45068</v>
      </c>
      <c r="C363" s="1" t="n">
        <v>45645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54.7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22001-2023</t>
        </is>
      </c>
      <c r="B364" s="1" t="n">
        <v>45069</v>
      </c>
      <c r="C364" s="1" t="n">
        <v>45645</v>
      </c>
      <c r="D364" t="inlineStr">
        <is>
          <t>VÄSTERBOTTENS LÄN</t>
        </is>
      </c>
      <c r="E364" t="inlineStr">
        <is>
          <t>BJURHOLM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22103-2023</t>
        </is>
      </c>
      <c r="B365" s="1" t="n">
        <v>45068</v>
      </c>
      <c r="C365" s="1" t="n">
        <v>45645</v>
      </c>
      <c r="D365" t="inlineStr">
        <is>
          <t>VÄSTERBOTTENS LÄN</t>
        </is>
      </c>
      <c r="E365" t="inlineStr">
        <is>
          <t>BJURHOLM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22007-2023</t>
        </is>
      </c>
      <c r="B366" s="1" t="n">
        <v>45068</v>
      </c>
      <c r="C366" s="1" t="n">
        <v>45645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22036-2023</t>
        </is>
      </c>
      <c r="B367" s="1" t="n">
        <v>45069</v>
      </c>
      <c r="C367" s="1" t="n">
        <v>45645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22844-2023</t>
        </is>
      </c>
      <c r="B368" s="1" t="n">
        <v>45072</v>
      </c>
      <c r="C368" s="1" t="n">
        <v>45645</v>
      </c>
      <c r="D368" t="inlineStr">
        <is>
          <t>VÄSTERBOTTENS LÄN</t>
        </is>
      </c>
      <c r="E368" t="inlineStr">
        <is>
          <t>BJURHOLM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22852-2023</t>
        </is>
      </c>
      <c r="B369" s="1" t="n">
        <v>45072</v>
      </c>
      <c r="C369" s="1" t="n">
        <v>45645</v>
      </c>
      <c r="D369" t="inlineStr">
        <is>
          <t>VÄSTERBOTTENS LÄN</t>
        </is>
      </c>
      <c r="E369" t="inlineStr">
        <is>
          <t>BJURHOLM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23041-2023</t>
        </is>
      </c>
      <c r="B370" s="1" t="n">
        <v>45074</v>
      </c>
      <c r="C370" s="1" t="n">
        <v>45645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23294-2023</t>
        </is>
      </c>
      <c r="B371" s="1" t="n">
        <v>45075</v>
      </c>
      <c r="C371" s="1" t="n">
        <v>45645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23315-2023</t>
        </is>
      </c>
      <c r="B372" s="1" t="n">
        <v>45075</v>
      </c>
      <c r="C372" s="1" t="n">
        <v>45645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23314-2023</t>
        </is>
      </c>
      <c r="B373" s="1" t="n">
        <v>45075</v>
      </c>
      <c r="C373" s="1" t="n">
        <v>45645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23321-2023</t>
        </is>
      </c>
      <c r="B374" s="1" t="n">
        <v>45076</v>
      </c>
      <c r="C374" s="1" t="n">
        <v>45645</v>
      </c>
      <c r="D374" t="inlineStr">
        <is>
          <t>VÄSTERBOTTENS LÄN</t>
        </is>
      </c>
      <c r="E374" t="inlineStr">
        <is>
          <t>BJURHOLM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23325-2023</t>
        </is>
      </c>
      <c r="B375" s="1" t="n">
        <v>45076</v>
      </c>
      <c r="C375" s="1" t="n">
        <v>45645</v>
      </c>
      <c r="D375" t="inlineStr">
        <is>
          <t>VÄSTERBOTTENS LÄN</t>
        </is>
      </c>
      <c r="E375" t="inlineStr">
        <is>
          <t>BJURHOLM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23806-2023</t>
        </is>
      </c>
      <c r="B376" s="1" t="n">
        <v>45078</v>
      </c>
      <c r="C376" s="1" t="n">
        <v>45645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23852-2023</t>
        </is>
      </c>
      <c r="B377" s="1" t="n">
        <v>45078</v>
      </c>
      <c r="C377" s="1" t="n">
        <v>45645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24855-2023</t>
        </is>
      </c>
      <c r="B378" s="1" t="n">
        <v>45078</v>
      </c>
      <c r="C378" s="1" t="n">
        <v>45645</v>
      </c>
      <c r="D378" t="inlineStr">
        <is>
          <t>VÄSTERBOTTENS LÄN</t>
        </is>
      </c>
      <c r="E378" t="inlineStr">
        <is>
          <t>BJURHOLM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24854-2023</t>
        </is>
      </c>
      <c r="B379" s="1" t="n">
        <v>45085</v>
      </c>
      <c r="C379" s="1" t="n">
        <v>45645</v>
      </c>
      <c r="D379" t="inlineStr">
        <is>
          <t>VÄSTERBOTTENS LÄN</t>
        </is>
      </c>
      <c r="E379" t="inlineStr">
        <is>
          <t>BJURHOLM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24851-2023</t>
        </is>
      </c>
      <c r="B380" s="1" t="n">
        <v>45085</v>
      </c>
      <c r="C380" s="1" t="n">
        <v>45645</v>
      </c>
      <c r="D380" t="inlineStr">
        <is>
          <t>VÄSTERBOTTENS LÄN</t>
        </is>
      </c>
      <c r="E380" t="inlineStr">
        <is>
          <t>BJURHOLM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25944-2023</t>
        </is>
      </c>
      <c r="B381" s="1" t="n">
        <v>45090</v>
      </c>
      <c r="C381" s="1" t="n">
        <v>45645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26249-2023</t>
        </is>
      </c>
      <c r="B382" s="1" t="n">
        <v>45091</v>
      </c>
      <c r="C382" s="1" t="n">
        <v>45645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26267-2023</t>
        </is>
      </c>
      <c r="B383" s="1" t="n">
        <v>45091</v>
      </c>
      <c r="C383" s="1" t="n">
        <v>45645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26256-2023</t>
        </is>
      </c>
      <c r="B384" s="1" t="n">
        <v>45091</v>
      </c>
      <c r="C384" s="1" t="n">
        <v>45645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26047-2023</t>
        </is>
      </c>
      <c r="B385" s="1" t="n">
        <v>45091</v>
      </c>
      <c r="C385" s="1" t="n">
        <v>45645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26027-2023</t>
        </is>
      </c>
      <c r="B386" s="1" t="n">
        <v>45091</v>
      </c>
      <c r="C386" s="1" t="n">
        <v>45645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27663-2023</t>
        </is>
      </c>
      <c r="B387" s="1" t="n">
        <v>45097</v>
      </c>
      <c r="C387" s="1" t="n">
        <v>45645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27669-2023</t>
        </is>
      </c>
      <c r="B388" s="1" t="n">
        <v>45097</v>
      </c>
      <c r="C388" s="1" t="n">
        <v>45645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27808-2023</t>
        </is>
      </c>
      <c r="B389" s="1" t="n">
        <v>45098</v>
      </c>
      <c r="C389" s="1" t="n">
        <v>45645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Sveaskog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27876-2023</t>
        </is>
      </c>
      <c r="B390" s="1" t="n">
        <v>45098</v>
      </c>
      <c r="C390" s="1" t="n">
        <v>45645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30173-2023</t>
        </is>
      </c>
      <c r="B391" s="1" t="n">
        <v>45099</v>
      </c>
      <c r="C391" s="1" t="n">
        <v>45645</v>
      </c>
      <c r="D391" t="inlineStr">
        <is>
          <t>VÄSTERBOTTENS LÄN</t>
        </is>
      </c>
      <c r="E391" t="inlineStr">
        <is>
          <t>BJURHOLM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30182-2023</t>
        </is>
      </c>
      <c r="B392" s="1" t="n">
        <v>45099</v>
      </c>
      <c r="C392" s="1" t="n">
        <v>45645</v>
      </c>
      <c r="D392" t="inlineStr">
        <is>
          <t>VÄSTERBOTTENS LÄN</t>
        </is>
      </c>
      <c r="E392" t="inlineStr">
        <is>
          <t>BJURHOLM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28426-2023</t>
        </is>
      </c>
      <c r="B393" s="1" t="n">
        <v>45102</v>
      </c>
      <c r="C393" s="1" t="n">
        <v>45645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28424-2023</t>
        </is>
      </c>
      <c r="B394" s="1" t="n">
        <v>45102</v>
      </c>
      <c r="C394" s="1" t="n">
        <v>45645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28769-2023</t>
        </is>
      </c>
      <c r="B395" s="1" t="n">
        <v>45104</v>
      </c>
      <c r="C395" s="1" t="n">
        <v>45645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28768-2023</t>
        </is>
      </c>
      <c r="B396" s="1" t="n">
        <v>45104</v>
      </c>
      <c r="C396" s="1" t="n">
        <v>45645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29006-2023</t>
        </is>
      </c>
      <c r="B397" s="1" t="n">
        <v>45104</v>
      </c>
      <c r="C397" s="1" t="n">
        <v>45645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29240-2023</t>
        </is>
      </c>
      <c r="B398" s="1" t="n">
        <v>45105</v>
      </c>
      <c r="C398" s="1" t="n">
        <v>45645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Sveaskog</t>
        </is>
      </c>
      <c r="G398" t="n">
        <v>35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29455-2023</t>
        </is>
      </c>
      <c r="B399" s="1" t="n">
        <v>45106</v>
      </c>
      <c r="C399" s="1" t="n">
        <v>45645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31762-2023</t>
        </is>
      </c>
      <c r="B400" s="1" t="n">
        <v>45106</v>
      </c>
      <c r="C400" s="1" t="n">
        <v>45645</v>
      </c>
      <c r="D400" t="inlineStr">
        <is>
          <t>VÄSTERBOTTENS LÄN</t>
        </is>
      </c>
      <c r="E400" t="inlineStr">
        <is>
          <t>BJURHOLM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31807-2023</t>
        </is>
      </c>
      <c r="B401" s="1" t="n">
        <v>45106</v>
      </c>
      <c r="C401" s="1" t="n">
        <v>45645</v>
      </c>
      <c r="D401" t="inlineStr">
        <is>
          <t>VÄSTERBOTTENS LÄN</t>
        </is>
      </c>
      <c r="E401" t="inlineStr">
        <is>
          <t>BJURHOLM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29850-2023</t>
        </is>
      </c>
      <c r="B402" s="1" t="n">
        <v>45107</v>
      </c>
      <c r="C402" s="1" t="n">
        <v>45645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32393-2023</t>
        </is>
      </c>
      <c r="B403" s="1" t="n">
        <v>45110</v>
      </c>
      <c r="C403" s="1" t="n">
        <v>45645</v>
      </c>
      <c r="D403" t="inlineStr">
        <is>
          <t>VÄSTERBOTTENS LÄN</t>
        </is>
      </c>
      <c r="E403" t="inlineStr">
        <is>
          <t>BJURHOLM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30641-2023</t>
        </is>
      </c>
      <c r="B404" s="1" t="n">
        <v>45112</v>
      </c>
      <c r="C404" s="1" t="n">
        <v>45645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30715-2023</t>
        </is>
      </c>
      <c r="B405" s="1" t="n">
        <v>45112</v>
      </c>
      <c r="C405" s="1" t="n">
        <v>45645</v>
      </c>
      <c r="D405" t="inlineStr">
        <is>
          <t>VÄSTERBOTTENS LÄN</t>
        </is>
      </c>
      <c r="E405" t="inlineStr">
        <is>
          <t>BJURHOLM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30697-2023</t>
        </is>
      </c>
      <c r="B406" s="1" t="n">
        <v>45112</v>
      </c>
      <c r="C406" s="1" t="n">
        <v>45645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30738-2023</t>
        </is>
      </c>
      <c r="B407" s="1" t="n">
        <v>45112</v>
      </c>
      <c r="C407" s="1" t="n">
        <v>45645</v>
      </c>
      <c r="D407" t="inlineStr">
        <is>
          <t>VÄSTERBOTTENS LÄN</t>
        </is>
      </c>
      <c r="E407" t="inlineStr">
        <is>
          <t>BJURHOLM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31205-2023</t>
        </is>
      </c>
      <c r="B408" s="1" t="n">
        <v>45113</v>
      </c>
      <c r="C408" s="1" t="n">
        <v>45645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33017-2023</t>
        </is>
      </c>
      <c r="B409" s="1" t="n">
        <v>45113</v>
      </c>
      <c r="C409" s="1" t="n">
        <v>45645</v>
      </c>
      <c r="D409" t="inlineStr">
        <is>
          <t>VÄSTERBOTTENS LÄN</t>
        </is>
      </c>
      <c r="E409" t="inlineStr">
        <is>
          <t>BJURHOLM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31553-2023</t>
        </is>
      </c>
      <c r="B410" s="1" t="n">
        <v>45117</v>
      </c>
      <c r="C410" s="1" t="n">
        <v>45645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31738-2023</t>
        </is>
      </c>
      <c r="B411" s="1" t="n">
        <v>45118</v>
      </c>
      <c r="C411" s="1" t="n">
        <v>45645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32146-2023</t>
        </is>
      </c>
      <c r="B412" s="1" t="n">
        <v>45119</v>
      </c>
      <c r="C412" s="1" t="n">
        <v>45645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32508-2023</t>
        </is>
      </c>
      <c r="B413" s="1" t="n">
        <v>45121</v>
      </c>
      <c r="C413" s="1" t="n">
        <v>45645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32793-2023</t>
        </is>
      </c>
      <c r="B414" s="1" t="n">
        <v>45124</v>
      </c>
      <c r="C414" s="1" t="n">
        <v>45645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34067-2023</t>
        </is>
      </c>
      <c r="B415" s="1" t="n">
        <v>45125</v>
      </c>
      <c r="C415" s="1" t="n">
        <v>45645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33395-2023</t>
        </is>
      </c>
      <c r="B416" s="1" t="n">
        <v>45128</v>
      </c>
      <c r="C416" s="1" t="n">
        <v>45645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33346-2023</t>
        </is>
      </c>
      <c r="B417" s="1" t="n">
        <v>45128</v>
      </c>
      <c r="C417" s="1" t="n">
        <v>45645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33711-2023</t>
        </is>
      </c>
      <c r="B418" s="1" t="n">
        <v>45132</v>
      </c>
      <c r="C418" s="1" t="n">
        <v>45645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70.09999999999999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34712-2023</t>
        </is>
      </c>
      <c r="B419" s="1" t="n">
        <v>45139</v>
      </c>
      <c r="C419" s="1" t="n">
        <v>45645</v>
      </c>
      <c r="D419" t="inlineStr">
        <is>
          <t>VÄSTERBOTTENS LÄN</t>
        </is>
      </c>
      <c r="E419" t="inlineStr">
        <is>
          <t>BJURHOLM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34710-2023</t>
        </is>
      </c>
      <c r="B420" s="1" t="n">
        <v>45141</v>
      </c>
      <c r="C420" s="1" t="n">
        <v>45645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34802-2023</t>
        </is>
      </c>
      <c r="B421" s="1" t="n">
        <v>45141</v>
      </c>
      <c r="C421" s="1" t="n">
        <v>45645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34714-2023</t>
        </is>
      </c>
      <c r="B422" s="1" t="n">
        <v>45141</v>
      </c>
      <c r="C422" s="1" t="n">
        <v>45645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34762-2023</t>
        </is>
      </c>
      <c r="B423" s="1" t="n">
        <v>45141</v>
      </c>
      <c r="C423" s="1" t="n">
        <v>45645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34761-2023</t>
        </is>
      </c>
      <c r="B424" s="1" t="n">
        <v>45141</v>
      </c>
      <c r="C424" s="1" t="n">
        <v>45645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34778-2023</t>
        </is>
      </c>
      <c r="B425" s="1" t="n">
        <v>45141</v>
      </c>
      <c r="C425" s="1" t="n">
        <v>45645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34784-2023</t>
        </is>
      </c>
      <c r="B426" s="1" t="n">
        <v>45141</v>
      </c>
      <c r="C426" s="1" t="n">
        <v>45645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35008-2023</t>
        </is>
      </c>
      <c r="B427" s="1" t="n">
        <v>45142</v>
      </c>
      <c r="C427" s="1" t="n">
        <v>45645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35251-2023</t>
        </is>
      </c>
      <c r="B428" s="1" t="n">
        <v>45146</v>
      </c>
      <c r="C428" s="1" t="n">
        <v>45645</v>
      </c>
      <c r="D428" t="inlineStr">
        <is>
          <t>VÄSTERBOTTENS LÄN</t>
        </is>
      </c>
      <c r="E428" t="inlineStr">
        <is>
          <t>BJURHOLM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35264-2023</t>
        </is>
      </c>
      <c r="B429" s="1" t="n">
        <v>45146</v>
      </c>
      <c r="C429" s="1" t="n">
        <v>45645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35268-2023</t>
        </is>
      </c>
      <c r="B430" s="1" t="n">
        <v>45145</v>
      </c>
      <c r="C430" s="1" t="n">
        <v>45645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35249-2023</t>
        </is>
      </c>
      <c r="B431" s="1" t="n">
        <v>45146</v>
      </c>
      <c r="C431" s="1" t="n">
        <v>45645</v>
      </c>
      <c r="D431" t="inlineStr">
        <is>
          <t>VÄSTERBOTTENS LÄN</t>
        </is>
      </c>
      <c r="E431" t="inlineStr">
        <is>
          <t>BJURHOLM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35269-2023</t>
        </is>
      </c>
      <c r="B432" s="1" t="n">
        <v>45145</v>
      </c>
      <c r="C432" s="1" t="n">
        <v>45645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35319-2023</t>
        </is>
      </c>
      <c r="B433" s="1" t="n">
        <v>45145</v>
      </c>
      <c r="C433" s="1" t="n">
        <v>45645</v>
      </c>
      <c r="D433" t="inlineStr">
        <is>
          <t>VÄSTERBOTTENS LÄN</t>
        </is>
      </c>
      <c r="E433" t="inlineStr">
        <is>
          <t>BJURHOLM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35835-2023</t>
        </is>
      </c>
      <c r="B434" s="1" t="n">
        <v>45148</v>
      </c>
      <c r="C434" s="1" t="n">
        <v>45645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35829-2023</t>
        </is>
      </c>
      <c r="B435" s="1" t="n">
        <v>45148</v>
      </c>
      <c r="C435" s="1" t="n">
        <v>45645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35936-2023</t>
        </is>
      </c>
      <c r="B436" s="1" t="n">
        <v>45148</v>
      </c>
      <c r="C436" s="1" t="n">
        <v>45645</v>
      </c>
      <c r="D436" t="inlineStr">
        <is>
          <t>VÄSTERBOTTENS LÄN</t>
        </is>
      </c>
      <c r="E436" t="inlineStr">
        <is>
          <t>BJURHOLM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35982-2023</t>
        </is>
      </c>
      <c r="B437" s="1" t="n">
        <v>45149</v>
      </c>
      <c r="C437" s="1" t="n">
        <v>45645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36004-2023</t>
        </is>
      </c>
      <c r="B438" s="1" t="n">
        <v>45149</v>
      </c>
      <c r="C438" s="1" t="n">
        <v>45645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36104-2023</t>
        </is>
      </c>
      <c r="B439" s="1" t="n">
        <v>45149</v>
      </c>
      <c r="C439" s="1" t="n">
        <v>45645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36486-2023</t>
        </is>
      </c>
      <c r="B440" s="1" t="n">
        <v>45152</v>
      </c>
      <c r="C440" s="1" t="n">
        <v>45645</v>
      </c>
      <c r="D440" t="inlineStr">
        <is>
          <t>VÄSTERBOTTENS LÄN</t>
        </is>
      </c>
      <c r="E440" t="inlineStr">
        <is>
          <t>BJURHOLM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36810-2023</t>
        </is>
      </c>
      <c r="B441" s="1" t="n">
        <v>45154</v>
      </c>
      <c r="C441" s="1" t="n">
        <v>45645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37312-2023</t>
        </is>
      </c>
      <c r="B442" s="1" t="n">
        <v>45155</v>
      </c>
      <c r="C442" s="1" t="n">
        <v>45645</v>
      </c>
      <c r="D442" t="inlineStr">
        <is>
          <t>VÄSTERBOTTENS LÄN</t>
        </is>
      </c>
      <c r="E442" t="inlineStr">
        <is>
          <t>BJURHOLM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37921-2023</t>
        </is>
      </c>
      <c r="B443" s="1" t="n">
        <v>45160</v>
      </c>
      <c r="C443" s="1" t="n">
        <v>45645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38077-2023</t>
        </is>
      </c>
      <c r="B444" s="1" t="n">
        <v>45160</v>
      </c>
      <c r="C444" s="1" t="n">
        <v>45645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38413-2023</t>
        </is>
      </c>
      <c r="B445" s="1" t="n">
        <v>45160</v>
      </c>
      <c r="C445" s="1" t="n">
        <v>45645</v>
      </c>
      <c r="D445" t="inlineStr">
        <is>
          <t>VÄSTERBOTTENS LÄN</t>
        </is>
      </c>
      <c r="E445" t="inlineStr">
        <is>
          <t>BJURHOLM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38178-2023</t>
        </is>
      </c>
      <c r="B446" s="1" t="n">
        <v>45161</v>
      </c>
      <c r="C446" s="1" t="n">
        <v>45645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38153-2023</t>
        </is>
      </c>
      <c r="B447" s="1" t="n">
        <v>45161</v>
      </c>
      <c r="C447" s="1" t="n">
        <v>45645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38303-2023</t>
        </is>
      </c>
      <c r="B448" s="1" t="n">
        <v>45161</v>
      </c>
      <c r="C448" s="1" t="n">
        <v>45645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38565-2023</t>
        </is>
      </c>
      <c r="B449" s="1" t="n">
        <v>45162</v>
      </c>
      <c r="C449" s="1" t="n">
        <v>45645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38635-2023</t>
        </is>
      </c>
      <c r="B450" s="1" t="n">
        <v>45162</v>
      </c>
      <c r="C450" s="1" t="n">
        <v>45645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38804-2023</t>
        </is>
      </c>
      <c r="B451" s="1" t="n">
        <v>45163</v>
      </c>
      <c r="C451" s="1" t="n">
        <v>45645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39266-2023</t>
        </is>
      </c>
      <c r="B452" s="1" t="n">
        <v>45166</v>
      </c>
      <c r="C452" s="1" t="n">
        <v>45645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39626-2023</t>
        </is>
      </c>
      <c r="B453" s="1" t="n">
        <v>45167</v>
      </c>
      <c r="C453" s="1" t="n">
        <v>45645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39610-2023</t>
        </is>
      </c>
      <c r="B454" s="1" t="n">
        <v>45167</v>
      </c>
      <c r="C454" s="1" t="n">
        <v>45645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39769-2023</t>
        </is>
      </c>
      <c r="B455" s="1" t="n">
        <v>45167</v>
      </c>
      <c r="C455" s="1" t="n">
        <v>45645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39773-2023</t>
        </is>
      </c>
      <c r="B456" s="1" t="n">
        <v>45167</v>
      </c>
      <c r="C456" s="1" t="n">
        <v>45645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39768-2023</t>
        </is>
      </c>
      <c r="B457" s="1" t="n">
        <v>45167</v>
      </c>
      <c r="C457" s="1" t="n">
        <v>45645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39810-2023</t>
        </is>
      </c>
      <c r="B458" s="1" t="n">
        <v>45167</v>
      </c>
      <c r="C458" s="1" t="n">
        <v>45645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37.2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40142-2023</t>
        </is>
      </c>
      <c r="B459" s="1" t="n">
        <v>45168</v>
      </c>
      <c r="C459" s="1" t="n">
        <v>45645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40130-2023</t>
        </is>
      </c>
      <c r="B460" s="1" t="n">
        <v>45168</v>
      </c>
      <c r="C460" s="1" t="n">
        <v>45645</v>
      </c>
      <c r="D460" t="inlineStr">
        <is>
          <t>VÄSTERBOTTENS LÄN</t>
        </is>
      </c>
      <c r="E460" t="inlineStr">
        <is>
          <t>BJURHOLM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40409-2023</t>
        </is>
      </c>
      <c r="B461" s="1" t="n">
        <v>45170</v>
      </c>
      <c r="C461" s="1" t="n">
        <v>45645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41017-2023</t>
        </is>
      </c>
      <c r="B462" s="1" t="n">
        <v>45173</v>
      </c>
      <c r="C462" s="1" t="n">
        <v>45645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41063-2023</t>
        </is>
      </c>
      <c r="B463" s="1" t="n">
        <v>45173</v>
      </c>
      <c r="C463" s="1" t="n">
        <v>45645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41487-2023</t>
        </is>
      </c>
      <c r="B464" s="1" t="n">
        <v>45175</v>
      </c>
      <c r="C464" s="1" t="n">
        <v>45645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41592-2023</t>
        </is>
      </c>
      <c r="B465" s="1" t="n">
        <v>45175</v>
      </c>
      <c r="C465" s="1" t="n">
        <v>45645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43058-2023</t>
        </is>
      </c>
      <c r="B466" s="1" t="n">
        <v>45180</v>
      </c>
      <c r="C466" s="1" t="n">
        <v>45645</v>
      </c>
      <c r="D466" t="inlineStr">
        <is>
          <t>VÄSTERBOTTENS LÄN</t>
        </is>
      </c>
      <c r="E466" t="inlineStr">
        <is>
          <t>BJURHOLM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42557-2023</t>
        </is>
      </c>
      <c r="B467" s="1" t="n">
        <v>45181</v>
      </c>
      <c r="C467" s="1" t="n">
        <v>45645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43172-2023</t>
        </is>
      </c>
      <c r="B468" s="1" t="n">
        <v>45183</v>
      </c>
      <c r="C468" s="1" t="n">
        <v>45645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44187-2023</t>
        </is>
      </c>
      <c r="B469" s="1" t="n">
        <v>45183</v>
      </c>
      <c r="C469" s="1" t="n">
        <v>45645</v>
      </c>
      <c r="D469" t="inlineStr">
        <is>
          <t>VÄSTERBOTTENS LÄN</t>
        </is>
      </c>
      <c r="E469" t="inlineStr">
        <is>
          <t>BJURHOLM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44198-2023</t>
        </is>
      </c>
      <c r="B470" s="1" t="n">
        <v>45183</v>
      </c>
      <c r="C470" s="1" t="n">
        <v>45645</v>
      </c>
      <c r="D470" t="inlineStr">
        <is>
          <t>VÄSTERBOTTENS LÄN</t>
        </is>
      </c>
      <c r="E470" t="inlineStr">
        <is>
          <t>BJURHOLM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44195-2023</t>
        </is>
      </c>
      <c r="B471" s="1" t="n">
        <v>45183</v>
      </c>
      <c r="C471" s="1" t="n">
        <v>45645</v>
      </c>
      <c r="D471" t="inlineStr">
        <is>
          <t>VÄSTERBOTTENS LÄN</t>
        </is>
      </c>
      <c r="E471" t="inlineStr">
        <is>
          <t>BJURHOLM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43992-2023</t>
        </is>
      </c>
      <c r="B472" s="1" t="n">
        <v>45187</v>
      </c>
      <c r="C472" s="1" t="n">
        <v>45645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44171-2023</t>
        </is>
      </c>
      <c r="B473" s="1" t="n">
        <v>45188</v>
      </c>
      <c r="C473" s="1" t="n">
        <v>45645</v>
      </c>
      <c r="D473" t="inlineStr">
        <is>
          <t>VÄSTERBOTTENS LÄN</t>
        </is>
      </c>
      <c r="E473" t="inlineStr">
        <is>
          <t>BJURHOLM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44175-2023</t>
        </is>
      </c>
      <c r="B474" s="1" t="n">
        <v>45188</v>
      </c>
      <c r="C474" s="1" t="n">
        <v>45645</v>
      </c>
      <c r="D474" t="inlineStr">
        <is>
          <t>VÄSTERBOTTENS LÄN</t>
        </is>
      </c>
      <c r="E474" t="inlineStr">
        <is>
          <t>BJURHOLM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44184-2023</t>
        </is>
      </c>
      <c r="B475" s="1" t="n">
        <v>45188</v>
      </c>
      <c r="C475" s="1" t="n">
        <v>45645</v>
      </c>
      <c r="D475" t="inlineStr">
        <is>
          <t>VÄSTERBOTTENS LÄN</t>
        </is>
      </c>
      <c r="E475" t="inlineStr">
        <is>
          <t>BJURHOLM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44274-2023</t>
        </is>
      </c>
      <c r="B476" s="1" t="n">
        <v>45188</v>
      </c>
      <c r="C476" s="1" t="n">
        <v>45645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44488-2023</t>
        </is>
      </c>
      <c r="B477" s="1" t="n">
        <v>45189</v>
      </c>
      <c r="C477" s="1" t="n">
        <v>45645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44575-2023</t>
        </is>
      </c>
      <c r="B478" s="1" t="n">
        <v>45189</v>
      </c>
      <c r="C478" s="1" t="n">
        <v>45645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44629-2023</t>
        </is>
      </c>
      <c r="B479" s="1" t="n">
        <v>45189</v>
      </c>
      <c r="C479" s="1" t="n">
        <v>45645</v>
      </c>
      <c r="D479" t="inlineStr">
        <is>
          <t>VÄSTERBOTTENS LÄN</t>
        </is>
      </c>
      <c r="E479" t="inlineStr">
        <is>
          <t>BJURHOLM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44769-2023</t>
        </is>
      </c>
      <c r="B480" s="1" t="n">
        <v>45190</v>
      </c>
      <c r="C480" s="1" t="n">
        <v>45645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44777-2023</t>
        </is>
      </c>
      <c r="B481" s="1" t="n">
        <v>45190</v>
      </c>
      <c r="C481" s="1" t="n">
        <v>45645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44770-2023</t>
        </is>
      </c>
      <c r="B482" s="1" t="n">
        <v>45190</v>
      </c>
      <c r="C482" s="1" t="n">
        <v>45645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44812-2023</t>
        </is>
      </c>
      <c r="B483" s="1" t="n">
        <v>45190</v>
      </c>
      <c r="C483" s="1" t="n">
        <v>45645</v>
      </c>
      <c r="D483" t="inlineStr">
        <is>
          <t>VÄSTERBOTTENS LÄN</t>
        </is>
      </c>
      <c r="E483" t="inlineStr">
        <is>
          <t>BJURHOLM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44901-2023</t>
        </is>
      </c>
      <c r="B484" s="1" t="n">
        <v>45190</v>
      </c>
      <c r="C484" s="1" t="n">
        <v>45645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44790-2023</t>
        </is>
      </c>
      <c r="B485" s="1" t="n">
        <v>45190</v>
      </c>
      <c r="C485" s="1" t="n">
        <v>45645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44880-2023</t>
        </is>
      </c>
      <c r="B486" s="1" t="n">
        <v>45190</v>
      </c>
      <c r="C486" s="1" t="n">
        <v>45645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44855-2023</t>
        </is>
      </c>
      <c r="B487" s="1" t="n">
        <v>45190</v>
      </c>
      <c r="C487" s="1" t="n">
        <v>45645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46327-2023</t>
        </is>
      </c>
      <c r="B488" s="1" t="n">
        <v>45191</v>
      </c>
      <c r="C488" s="1" t="n">
        <v>45645</v>
      </c>
      <c r="D488" t="inlineStr">
        <is>
          <t>VÄSTERBOTTENS LÄN</t>
        </is>
      </c>
      <c r="E488" t="inlineStr">
        <is>
          <t>BJURHOLM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47306-2023</t>
        </is>
      </c>
      <c r="B489" s="1" t="n">
        <v>45196</v>
      </c>
      <c r="C489" s="1" t="n">
        <v>45645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46662-2023</t>
        </is>
      </c>
      <c r="B490" s="1" t="n">
        <v>45198</v>
      </c>
      <c r="C490" s="1" t="n">
        <v>45645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46614-2023</t>
        </is>
      </c>
      <c r="B491" s="1" t="n">
        <v>45198</v>
      </c>
      <c r="C491" s="1" t="n">
        <v>45645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48045-2023</t>
        </is>
      </c>
      <c r="B492" s="1" t="n">
        <v>45204</v>
      </c>
      <c r="C492" s="1" t="n">
        <v>45645</v>
      </c>
      <c r="D492" t="inlineStr">
        <is>
          <t>VÄSTERBOTTENS LÄN</t>
        </is>
      </c>
      <c r="E492" t="inlineStr">
        <is>
          <t>BJURHOLM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48356-2023</t>
        </is>
      </c>
      <c r="B493" s="1" t="n">
        <v>45205</v>
      </c>
      <c r="C493" s="1" t="n">
        <v>45645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50052-2023</t>
        </is>
      </c>
      <c r="B494" s="1" t="n">
        <v>45208</v>
      </c>
      <c r="C494" s="1" t="n">
        <v>45645</v>
      </c>
      <c r="D494" t="inlineStr">
        <is>
          <t>VÄSTERBOTTENS LÄN</t>
        </is>
      </c>
      <c r="E494" t="inlineStr">
        <is>
          <t>BJURHOLM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51833-2023</t>
        </is>
      </c>
      <c r="B495" s="1" t="n">
        <v>45222</v>
      </c>
      <c r="C495" s="1" t="n">
        <v>45645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52386-2023</t>
        </is>
      </c>
      <c r="B496" s="1" t="n">
        <v>45224</v>
      </c>
      <c r="C496" s="1" t="n">
        <v>45645</v>
      </c>
      <c r="D496" t="inlineStr">
        <is>
          <t>VÄSTERBOTTENS LÄN</t>
        </is>
      </c>
      <c r="E496" t="inlineStr">
        <is>
          <t>BJURHOLM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52375-2023</t>
        </is>
      </c>
      <c r="B497" s="1" t="n">
        <v>45224</v>
      </c>
      <c r="C497" s="1" t="n">
        <v>45645</v>
      </c>
      <c r="D497" t="inlineStr">
        <is>
          <t>VÄSTERBOTTENS LÄN</t>
        </is>
      </c>
      <c r="E497" t="inlineStr">
        <is>
          <t>BJURHOLM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52451-2023</t>
        </is>
      </c>
      <c r="B498" s="1" t="n">
        <v>45225</v>
      </c>
      <c r="C498" s="1" t="n">
        <v>45645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37.6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54095-2023</t>
        </is>
      </c>
      <c r="B499" s="1" t="n">
        <v>45225</v>
      </c>
      <c r="C499" s="1" t="n">
        <v>45645</v>
      </c>
      <c r="D499" t="inlineStr">
        <is>
          <t>VÄSTERBOTTENS LÄN</t>
        </is>
      </c>
      <c r="E499" t="inlineStr">
        <is>
          <t>BJURHOLM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54868-2023</t>
        </is>
      </c>
      <c r="B500" s="1" t="n">
        <v>45229</v>
      </c>
      <c r="C500" s="1" t="n">
        <v>45645</v>
      </c>
      <c r="D500" t="inlineStr">
        <is>
          <t>VÄSTERBOTTENS LÄN</t>
        </is>
      </c>
      <c r="E500" t="inlineStr">
        <is>
          <t>BJURHOLM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54864-2023</t>
        </is>
      </c>
      <c r="B501" s="1" t="n">
        <v>45229</v>
      </c>
      <c r="C501" s="1" t="n">
        <v>45645</v>
      </c>
      <c r="D501" t="inlineStr">
        <is>
          <t>VÄSTERBOTTENS LÄN</t>
        </is>
      </c>
      <c r="E501" t="inlineStr">
        <is>
          <t>BJURHOLM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55512-2023</t>
        </is>
      </c>
      <c r="B502" s="1" t="n">
        <v>45232</v>
      </c>
      <c r="C502" s="1" t="n">
        <v>45645</v>
      </c>
      <c r="D502" t="inlineStr">
        <is>
          <t>VÄSTERBOTTENS LÄN</t>
        </is>
      </c>
      <c r="E502" t="inlineStr">
        <is>
          <t>BJURHOLM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56315-2023</t>
        </is>
      </c>
      <c r="B503" s="1" t="n">
        <v>45236</v>
      </c>
      <c r="C503" s="1" t="n">
        <v>45645</v>
      </c>
      <c r="D503" t="inlineStr">
        <is>
          <t>VÄSTERBOTTENS LÄN</t>
        </is>
      </c>
      <c r="E503" t="inlineStr">
        <is>
          <t>BJURHOLM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56121-2023</t>
        </is>
      </c>
      <c r="B504" s="1" t="n">
        <v>45236</v>
      </c>
      <c r="C504" s="1" t="n">
        <v>45645</v>
      </c>
      <c r="D504" t="inlineStr">
        <is>
          <t>VÄSTERBOTTENS LÄN</t>
        </is>
      </c>
      <c r="E504" t="inlineStr">
        <is>
          <t>BJURHOLM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55226-2023</t>
        </is>
      </c>
      <c r="B505" s="1" t="n">
        <v>45237</v>
      </c>
      <c r="C505" s="1" t="n">
        <v>45645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55307-2023</t>
        </is>
      </c>
      <c r="B506" s="1" t="n">
        <v>45237</v>
      </c>
      <c r="C506" s="1" t="n">
        <v>45645</v>
      </c>
      <c r="D506" t="inlineStr">
        <is>
          <t>VÄSTERBOTTENS LÄN</t>
        </is>
      </c>
      <c r="E506" t="inlineStr">
        <is>
          <t>BJURHOLM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55308-2023</t>
        </is>
      </c>
      <c r="B507" s="1" t="n">
        <v>45237</v>
      </c>
      <c r="C507" s="1" t="n">
        <v>45645</v>
      </c>
      <c r="D507" t="inlineStr">
        <is>
          <t>VÄSTERBOTTENS LÄN</t>
        </is>
      </c>
      <c r="E507" t="inlineStr">
        <is>
          <t>BJURHOLM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55838-2023</t>
        </is>
      </c>
      <c r="B508" s="1" t="n">
        <v>45238</v>
      </c>
      <c r="C508" s="1" t="n">
        <v>45645</v>
      </c>
      <c r="D508" t="inlineStr">
        <is>
          <t>VÄSTERBOTTENS LÄN</t>
        </is>
      </c>
      <c r="E508" t="inlineStr">
        <is>
          <t>BJURHOLM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55877-2023</t>
        </is>
      </c>
      <c r="B509" s="1" t="n">
        <v>45239</v>
      </c>
      <c r="C509" s="1" t="n">
        <v>45645</v>
      </c>
      <c r="D509" t="inlineStr">
        <is>
          <t>VÄSTERBOTTENS LÄN</t>
        </is>
      </c>
      <c r="E509" t="inlineStr">
        <is>
          <t>BJURHOLM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55879-2023</t>
        </is>
      </c>
      <c r="B510" s="1" t="n">
        <v>45239</v>
      </c>
      <c r="C510" s="1" t="n">
        <v>45645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57890-2023</t>
        </is>
      </c>
      <c r="B511" s="1" t="n">
        <v>45244</v>
      </c>
      <c r="C511" s="1" t="n">
        <v>45645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57799-2023</t>
        </is>
      </c>
      <c r="B512" s="1" t="n">
        <v>45247</v>
      </c>
      <c r="C512" s="1" t="n">
        <v>45645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57801-2023</t>
        </is>
      </c>
      <c r="B513" s="1" t="n">
        <v>45247</v>
      </c>
      <c r="C513" s="1" t="n">
        <v>45645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57886-2023</t>
        </is>
      </c>
      <c r="B514" s="1" t="n">
        <v>45247</v>
      </c>
      <c r="C514" s="1" t="n">
        <v>45645</v>
      </c>
      <c r="D514" t="inlineStr">
        <is>
          <t>VÄSTERBOTTENS LÄN</t>
        </is>
      </c>
      <c r="E514" t="inlineStr">
        <is>
          <t>BJURHOLM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57877-2023</t>
        </is>
      </c>
      <c r="B515" s="1" t="n">
        <v>45247</v>
      </c>
      <c r="C515" s="1" t="n">
        <v>45645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58457-2023</t>
        </is>
      </c>
      <c r="B516" s="1" t="n">
        <v>45250</v>
      </c>
      <c r="C516" s="1" t="n">
        <v>45645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58489-2023</t>
        </is>
      </c>
      <c r="B517" s="1" t="n">
        <v>45251</v>
      </c>
      <c r="C517" s="1" t="n">
        <v>45645</v>
      </c>
      <c r="D517" t="inlineStr">
        <is>
          <t>VÄSTERBOTTENS LÄN</t>
        </is>
      </c>
      <c r="E517" t="inlineStr">
        <is>
          <t>BJURHOLM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59181-2023</t>
        </is>
      </c>
      <c r="B518" s="1" t="n">
        <v>45251</v>
      </c>
      <c r="C518" s="1" t="n">
        <v>45645</v>
      </c>
      <c r="D518" t="inlineStr">
        <is>
          <t>VÄSTERBOTTENS LÄN</t>
        </is>
      </c>
      <c r="E518" t="inlineStr">
        <is>
          <t>BJURHOLM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58948-2023</t>
        </is>
      </c>
      <c r="B519" s="1" t="n">
        <v>45252</v>
      </c>
      <c r="C519" s="1" t="n">
        <v>45645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59379-2023</t>
        </is>
      </c>
      <c r="B520" s="1" t="n">
        <v>45253</v>
      </c>
      <c r="C520" s="1" t="n">
        <v>45645</v>
      </c>
      <c r="D520" t="inlineStr">
        <is>
          <t>VÄSTERBOTTENS LÄN</t>
        </is>
      </c>
      <c r="E520" t="inlineStr">
        <is>
          <t>BJURHOLM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59382-2023</t>
        </is>
      </c>
      <c r="B521" s="1" t="n">
        <v>45253</v>
      </c>
      <c r="C521" s="1" t="n">
        <v>45645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59381-2023</t>
        </is>
      </c>
      <c r="B522" s="1" t="n">
        <v>45253</v>
      </c>
      <c r="C522" s="1" t="n">
        <v>45645</v>
      </c>
      <c r="D522" t="inlineStr">
        <is>
          <t>VÄSTERBOTTENS LÄN</t>
        </is>
      </c>
      <c r="E522" t="inlineStr">
        <is>
          <t>BJURHOLM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59712-2023</t>
        </is>
      </c>
      <c r="B523" s="1" t="n">
        <v>45257</v>
      </c>
      <c r="C523" s="1" t="n">
        <v>45645</v>
      </c>
      <c r="D523" t="inlineStr">
        <is>
          <t>VÄSTERBOTTENS LÄN</t>
        </is>
      </c>
      <c r="E523" t="inlineStr">
        <is>
          <t>BJURHOLM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59711-2023</t>
        </is>
      </c>
      <c r="B524" s="1" t="n">
        <v>45257</v>
      </c>
      <c r="C524" s="1" t="n">
        <v>45645</v>
      </c>
      <c r="D524" t="inlineStr">
        <is>
          <t>VÄSTERBOTTENS LÄN</t>
        </is>
      </c>
      <c r="E524" t="inlineStr">
        <is>
          <t>BJURHOLM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60008-2023</t>
        </is>
      </c>
      <c r="B525" s="1" t="n">
        <v>45257</v>
      </c>
      <c r="C525" s="1" t="n">
        <v>45645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60499-2023</t>
        </is>
      </c>
      <c r="B526" s="1" t="n">
        <v>45259</v>
      </c>
      <c r="C526" s="1" t="n">
        <v>45645</v>
      </c>
      <c r="D526" t="inlineStr">
        <is>
          <t>VÄSTERBOTTENS LÄN</t>
        </is>
      </c>
      <c r="E526" t="inlineStr">
        <is>
          <t>BJURHOLM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60624-2023</t>
        </is>
      </c>
      <c r="B527" s="1" t="n">
        <v>45259</v>
      </c>
      <c r="C527" s="1" t="n">
        <v>45645</v>
      </c>
      <c r="D527" t="inlineStr">
        <is>
          <t>VÄSTERBOTTENS LÄN</t>
        </is>
      </c>
      <c r="E527" t="inlineStr">
        <is>
          <t>BJURHOLM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60659-2023</t>
        </is>
      </c>
      <c r="B528" s="1" t="n">
        <v>45259</v>
      </c>
      <c r="C528" s="1" t="n">
        <v>45645</v>
      </c>
      <c r="D528" t="inlineStr">
        <is>
          <t>VÄSTERBOTTENS LÄN</t>
        </is>
      </c>
      <c r="E528" t="inlineStr">
        <is>
          <t>BJURHOLM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60606-2023</t>
        </is>
      </c>
      <c r="B529" s="1" t="n">
        <v>45260</v>
      </c>
      <c r="C529" s="1" t="n">
        <v>45645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60862-2023</t>
        </is>
      </c>
      <c r="B530" s="1" t="n">
        <v>45261</v>
      </c>
      <c r="C530" s="1" t="n">
        <v>45645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62392-2023</t>
        </is>
      </c>
      <c r="B531" s="1" t="n">
        <v>45266</v>
      </c>
      <c r="C531" s="1" t="n">
        <v>45645</v>
      </c>
      <c r="D531" t="inlineStr">
        <is>
          <t>VÄSTERBOTTENS LÄN</t>
        </is>
      </c>
      <c r="E531" t="inlineStr">
        <is>
          <t>BJURHOLM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63067-2023</t>
        </is>
      </c>
      <c r="B532" s="1" t="n">
        <v>45272</v>
      </c>
      <c r="C532" s="1" t="n">
        <v>45645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64294-2023</t>
        </is>
      </c>
      <c r="B533" s="1" t="n">
        <v>45279</v>
      </c>
      <c r="C533" s="1" t="n">
        <v>45645</v>
      </c>
      <c r="D533" t="inlineStr">
        <is>
          <t>VÄSTERBOTTENS LÄN</t>
        </is>
      </c>
      <c r="E533" t="inlineStr">
        <is>
          <t>BJURHOLM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64500-2023</t>
        </is>
      </c>
      <c r="B534" s="1" t="n">
        <v>45280</v>
      </c>
      <c r="C534" s="1" t="n">
        <v>45645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64503-2023</t>
        </is>
      </c>
      <c r="B535" s="1" t="n">
        <v>45280</v>
      </c>
      <c r="C535" s="1" t="n">
        <v>45645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64501-2023</t>
        </is>
      </c>
      <c r="B536" s="1" t="n">
        <v>45280</v>
      </c>
      <c r="C536" s="1" t="n">
        <v>45645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65203-2023</t>
        </is>
      </c>
      <c r="B537" s="1" t="n">
        <v>45289</v>
      </c>
      <c r="C537" s="1" t="n">
        <v>45645</v>
      </c>
      <c r="D537" t="inlineStr">
        <is>
          <t>VÄSTERBOTTENS LÄN</t>
        </is>
      </c>
      <c r="E537" t="inlineStr">
        <is>
          <t>BJURHOLM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80-2024</t>
        </is>
      </c>
      <c r="B538" s="1" t="n">
        <v>45293</v>
      </c>
      <c r="C538" s="1" t="n">
        <v>45645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261-2024</t>
        </is>
      </c>
      <c r="B539" s="1" t="n">
        <v>45294</v>
      </c>
      <c r="C539" s="1" t="n">
        <v>45645</v>
      </c>
      <c r="D539" t="inlineStr">
        <is>
          <t>VÄSTERBOTTENS LÄN</t>
        </is>
      </c>
      <c r="E539" t="inlineStr">
        <is>
          <t>BJURHOLM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770-2024</t>
        </is>
      </c>
      <c r="B540" s="1" t="n">
        <v>45300</v>
      </c>
      <c r="C540" s="1" t="n">
        <v>45645</v>
      </c>
      <c r="D540" t="inlineStr">
        <is>
          <t>VÄSTERBOTTENS LÄN</t>
        </is>
      </c>
      <c r="E540" t="inlineStr">
        <is>
          <t>BJURHOLM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1169-2024</t>
        </is>
      </c>
      <c r="B541" s="1" t="n">
        <v>45302</v>
      </c>
      <c r="C541" s="1" t="n">
        <v>45645</v>
      </c>
      <c r="D541" t="inlineStr">
        <is>
          <t>VÄSTERBOTTENS LÄN</t>
        </is>
      </c>
      <c r="E541" t="inlineStr">
        <is>
          <t>BJURHOLM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1877-2024</t>
        </is>
      </c>
      <c r="B542" s="1" t="n">
        <v>45307</v>
      </c>
      <c r="C542" s="1" t="n">
        <v>45645</v>
      </c>
      <c r="D542" t="inlineStr">
        <is>
          <t>VÄSTERBOTTENS LÄN</t>
        </is>
      </c>
      <c r="E542" t="inlineStr">
        <is>
          <t>BJURHOLM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1875-2024</t>
        </is>
      </c>
      <c r="B543" s="1" t="n">
        <v>45307</v>
      </c>
      <c r="C543" s="1" t="n">
        <v>45645</v>
      </c>
      <c r="D543" t="inlineStr">
        <is>
          <t>VÄSTERBOTTENS LÄN</t>
        </is>
      </c>
      <c r="E543" t="inlineStr">
        <is>
          <t>BJURHOLM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3210-2024</t>
        </is>
      </c>
      <c r="B544" s="1" t="n">
        <v>45316</v>
      </c>
      <c r="C544" s="1" t="n">
        <v>45645</v>
      </c>
      <c r="D544" t="inlineStr">
        <is>
          <t>VÄSTERBOTTENS LÄN</t>
        </is>
      </c>
      <c r="E544" t="inlineStr">
        <is>
          <t>BJURHOLM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3386-2024</t>
        </is>
      </c>
      <c r="B545" s="1" t="n">
        <v>45317</v>
      </c>
      <c r="C545" s="1" t="n">
        <v>45645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3450-2024</t>
        </is>
      </c>
      <c r="B546" s="1" t="n">
        <v>45317</v>
      </c>
      <c r="C546" s="1" t="n">
        <v>45645</v>
      </c>
      <c r="D546" t="inlineStr">
        <is>
          <t>VÄSTERBOTTENS LÄN</t>
        </is>
      </c>
      <c r="E546" t="inlineStr">
        <is>
          <t>BJURHOLM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6721-2024</t>
        </is>
      </c>
      <c r="B547" s="1" t="n">
        <v>45342</v>
      </c>
      <c r="C547" s="1" t="n">
        <v>45645</v>
      </c>
      <c r="D547" t="inlineStr">
        <is>
          <t>VÄSTERBOTTENS LÄN</t>
        </is>
      </c>
      <c r="E547" t="inlineStr">
        <is>
          <t>BJURHOLM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6780-2024</t>
        </is>
      </c>
      <c r="B548" s="1" t="n">
        <v>45342</v>
      </c>
      <c r="C548" s="1" t="n">
        <v>45645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7288-2024</t>
        </is>
      </c>
      <c r="B549" s="1" t="n">
        <v>45344</v>
      </c>
      <c r="C549" s="1" t="n">
        <v>45645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7312-2024</t>
        </is>
      </c>
      <c r="B550" s="1" t="n">
        <v>45345</v>
      </c>
      <c r="C550" s="1" t="n">
        <v>45645</v>
      </c>
      <c r="D550" t="inlineStr">
        <is>
          <t>VÄSTERBOTTENS LÄN</t>
        </is>
      </c>
      <c r="E550" t="inlineStr">
        <is>
          <t>BJURHOLM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7431-2024</t>
        </is>
      </c>
      <c r="B551" s="1" t="n">
        <v>45345</v>
      </c>
      <c r="C551" s="1" t="n">
        <v>45645</v>
      </c>
      <c r="D551" t="inlineStr">
        <is>
          <t>VÄSTERBOTTENS LÄN</t>
        </is>
      </c>
      <c r="E551" t="inlineStr">
        <is>
          <t>BJURHOLM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7418-2024</t>
        </is>
      </c>
      <c r="B552" s="1" t="n">
        <v>45345</v>
      </c>
      <c r="C552" s="1" t="n">
        <v>45645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7683-2024</t>
        </is>
      </c>
      <c r="B553" s="1" t="n">
        <v>45348</v>
      </c>
      <c r="C553" s="1" t="n">
        <v>45645</v>
      </c>
      <c r="D553" t="inlineStr">
        <is>
          <t>VÄSTERBOTTENS LÄN</t>
        </is>
      </c>
      <c r="E553" t="inlineStr">
        <is>
          <t>BJURHOLM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7718-2024</t>
        </is>
      </c>
      <c r="B554" s="1" t="n">
        <v>45348</v>
      </c>
      <c r="C554" s="1" t="n">
        <v>45645</v>
      </c>
      <c r="D554" t="inlineStr">
        <is>
          <t>VÄSTERBOTTENS LÄN</t>
        </is>
      </c>
      <c r="E554" t="inlineStr">
        <is>
          <t>BJURHOLM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7740-2024</t>
        </is>
      </c>
      <c r="B555" s="1" t="n">
        <v>45348</v>
      </c>
      <c r="C555" s="1" t="n">
        <v>45645</v>
      </c>
      <c r="D555" t="inlineStr">
        <is>
          <t>VÄSTERBOTTENS LÄN</t>
        </is>
      </c>
      <c r="E555" t="inlineStr">
        <is>
          <t>BJURHOLM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7723-2024</t>
        </is>
      </c>
      <c r="B556" s="1" t="n">
        <v>45348</v>
      </c>
      <c r="C556" s="1" t="n">
        <v>45645</v>
      </c>
      <c r="D556" t="inlineStr">
        <is>
          <t>VÄSTERBOTTENS LÄN</t>
        </is>
      </c>
      <c r="E556" t="inlineStr">
        <is>
          <t>BJURHOLM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7728-2024</t>
        </is>
      </c>
      <c r="B557" s="1" t="n">
        <v>45348</v>
      </c>
      <c r="C557" s="1" t="n">
        <v>45645</v>
      </c>
      <c r="D557" t="inlineStr">
        <is>
          <t>VÄSTERBOTTENS LÄN</t>
        </is>
      </c>
      <c r="E557" t="inlineStr">
        <is>
          <t>BJURHOLM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7737-2024</t>
        </is>
      </c>
      <c r="B558" s="1" t="n">
        <v>45348</v>
      </c>
      <c r="C558" s="1" t="n">
        <v>45645</v>
      </c>
      <c r="D558" t="inlineStr">
        <is>
          <t>VÄSTERBOTTENS LÄN</t>
        </is>
      </c>
      <c r="E558" t="inlineStr">
        <is>
          <t>BJURHOLM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8502-2024</t>
        </is>
      </c>
      <c r="B559" s="1" t="n">
        <v>45351</v>
      </c>
      <c r="C559" s="1" t="n">
        <v>45645</v>
      </c>
      <c r="D559" t="inlineStr">
        <is>
          <t>VÄSTERBOTTENS LÄN</t>
        </is>
      </c>
      <c r="E559" t="inlineStr">
        <is>
          <t>BJURHOLM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8499-2024</t>
        </is>
      </c>
      <c r="B560" s="1" t="n">
        <v>45351</v>
      </c>
      <c r="C560" s="1" t="n">
        <v>45645</v>
      </c>
      <c r="D560" t="inlineStr">
        <is>
          <t>VÄSTERBOTTENS LÄN</t>
        </is>
      </c>
      <c r="E560" t="inlineStr">
        <is>
          <t>BJURHOLM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9044-2024</t>
        </is>
      </c>
      <c r="B561" s="1" t="n">
        <v>45351</v>
      </c>
      <c r="C561" s="1" t="n">
        <v>45645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8510-2024</t>
        </is>
      </c>
      <c r="B562" s="1" t="n">
        <v>45351</v>
      </c>
      <c r="C562" s="1" t="n">
        <v>45645</v>
      </c>
      <c r="D562" t="inlineStr">
        <is>
          <t>VÄSTERBOTTENS LÄN</t>
        </is>
      </c>
      <c r="E562" t="inlineStr">
        <is>
          <t>BJURHOLM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8822-2024</t>
        </is>
      </c>
      <c r="B563" s="1" t="n">
        <v>45355</v>
      </c>
      <c r="C563" s="1" t="n">
        <v>45645</v>
      </c>
      <c r="D563" t="inlineStr">
        <is>
          <t>VÄSTERBOTTENS LÄN</t>
        </is>
      </c>
      <c r="E563" t="inlineStr">
        <is>
          <t>BJURHOLM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9158-2024</t>
        </is>
      </c>
      <c r="B564" s="1" t="n">
        <v>45357</v>
      </c>
      <c r="C564" s="1" t="n">
        <v>45645</v>
      </c>
      <c r="D564" t="inlineStr">
        <is>
          <t>VÄSTERBOTTENS LÄN</t>
        </is>
      </c>
      <c r="E564" t="inlineStr">
        <is>
          <t>BJURHOLM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9294-2024</t>
        </is>
      </c>
      <c r="B565" s="1" t="n">
        <v>45358</v>
      </c>
      <c r="C565" s="1" t="n">
        <v>45645</v>
      </c>
      <c r="D565" t="inlineStr">
        <is>
          <t>VÄSTERBOTTENS LÄN</t>
        </is>
      </c>
      <c r="E565" t="inlineStr">
        <is>
          <t>BJURHOLM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9688-2024</t>
        </is>
      </c>
      <c r="B566" s="1" t="n">
        <v>45362</v>
      </c>
      <c r="C566" s="1" t="n">
        <v>45645</v>
      </c>
      <c r="D566" t="inlineStr">
        <is>
          <t>VÄSTERBOTTENS LÄN</t>
        </is>
      </c>
      <c r="E566" t="inlineStr">
        <is>
          <t>BJURHOLM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9678-2024</t>
        </is>
      </c>
      <c r="B567" s="1" t="n">
        <v>45362</v>
      </c>
      <c r="C567" s="1" t="n">
        <v>45645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10145-2024</t>
        </is>
      </c>
      <c r="B568" s="1" t="n">
        <v>45364</v>
      </c>
      <c r="C568" s="1" t="n">
        <v>45645</v>
      </c>
      <c r="D568" t="inlineStr">
        <is>
          <t>VÄSTERBOTTENS LÄN</t>
        </is>
      </c>
      <c r="E568" t="inlineStr">
        <is>
          <t>BJURHOLM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10841-2024</t>
        </is>
      </c>
      <c r="B569" s="1" t="n">
        <v>45369</v>
      </c>
      <c r="C569" s="1" t="n">
        <v>45645</v>
      </c>
      <c r="D569" t="inlineStr">
        <is>
          <t>VÄSTERBOTTENS LÄN</t>
        </is>
      </c>
      <c r="E569" t="inlineStr">
        <is>
          <t>BJURHOLM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11441-2024</t>
        </is>
      </c>
      <c r="B570" s="1" t="n">
        <v>45372</v>
      </c>
      <c r="C570" s="1" t="n">
        <v>45645</v>
      </c>
      <c r="D570" t="inlineStr">
        <is>
          <t>VÄSTERBOTTENS LÄN</t>
        </is>
      </c>
      <c r="E570" t="inlineStr">
        <is>
          <t>BJURHOLM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14414-2024</t>
        </is>
      </c>
      <c r="B571" s="1" t="n">
        <v>45393</v>
      </c>
      <c r="C571" s="1" t="n">
        <v>45645</v>
      </c>
      <c r="D571" t="inlineStr">
        <is>
          <t>VÄSTERBOTTENS LÄN</t>
        </is>
      </c>
      <c r="E571" t="inlineStr">
        <is>
          <t>BJURHOLM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14442-2024</t>
        </is>
      </c>
      <c r="B572" s="1" t="n">
        <v>45394</v>
      </c>
      <c r="C572" s="1" t="n">
        <v>45645</v>
      </c>
      <c r="D572" t="inlineStr">
        <is>
          <t>VÄSTERBOTTENS LÄN</t>
        </is>
      </c>
      <c r="E572" t="inlineStr">
        <is>
          <t>BJURHOLM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14410-2024</t>
        </is>
      </c>
      <c r="B573" s="1" t="n">
        <v>45394</v>
      </c>
      <c r="C573" s="1" t="n">
        <v>45645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14438-2024</t>
        </is>
      </c>
      <c r="B574" s="1" t="n">
        <v>45394</v>
      </c>
      <c r="C574" s="1" t="n">
        <v>45645</v>
      </c>
      <c r="D574" t="inlineStr">
        <is>
          <t>VÄSTERBOTTENS LÄN</t>
        </is>
      </c>
      <c r="E574" t="inlineStr">
        <is>
          <t>BJURHOLM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14407-2024</t>
        </is>
      </c>
      <c r="B575" s="1" t="n">
        <v>45394</v>
      </c>
      <c r="C575" s="1" t="n">
        <v>45645</v>
      </c>
      <c r="D575" t="inlineStr">
        <is>
          <t>VÄSTERBOTTENS LÄN</t>
        </is>
      </c>
      <c r="E575" t="inlineStr">
        <is>
          <t>BJURHOLM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14408-2024</t>
        </is>
      </c>
      <c r="B576" s="1" t="n">
        <v>45394</v>
      </c>
      <c r="C576" s="1" t="n">
        <v>45645</v>
      </c>
      <c r="D576" t="inlineStr">
        <is>
          <t>VÄSTERBOTTENS LÄN</t>
        </is>
      </c>
      <c r="E576" t="inlineStr">
        <is>
          <t>BJURHOLM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14443-2024</t>
        </is>
      </c>
      <c r="B577" s="1" t="n">
        <v>45394</v>
      </c>
      <c r="C577" s="1" t="n">
        <v>45645</v>
      </c>
      <c r="D577" t="inlineStr">
        <is>
          <t>VÄSTERBOTTENS LÄN</t>
        </is>
      </c>
      <c r="E577" t="inlineStr">
        <is>
          <t>BJURHOLM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14441-2024</t>
        </is>
      </c>
      <c r="B578" s="1" t="n">
        <v>45394</v>
      </c>
      <c r="C578" s="1" t="n">
        <v>45645</v>
      </c>
      <c r="D578" t="inlineStr">
        <is>
          <t>VÄSTERBOTTENS LÄN</t>
        </is>
      </c>
      <c r="E578" t="inlineStr">
        <is>
          <t>BJURHOLM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14888-2024</t>
        </is>
      </c>
      <c r="B579" s="1" t="n">
        <v>45398</v>
      </c>
      <c r="C579" s="1" t="n">
        <v>45645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15054-2024</t>
        </is>
      </c>
      <c r="B580" s="1" t="n">
        <v>45399</v>
      </c>
      <c r="C580" s="1" t="n">
        <v>45645</v>
      </c>
      <c r="D580" t="inlineStr">
        <is>
          <t>VÄSTERBOTTENS LÄN</t>
        </is>
      </c>
      <c r="E580" t="inlineStr">
        <is>
          <t>BJURHOLM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15381-2024</t>
        </is>
      </c>
      <c r="B581" s="1" t="n">
        <v>45401</v>
      </c>
      <c r="C581" s="1" t="n">
        <v>45645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16084-2024</t>
        </is>
      </c>
      <c r="B582" s="1" t="n">
        <v>45406</v>
      </c>
      <c r="C582" s="1" t="n">
        <v>45645</v>
      </c>
      <c r="D582" t="inlineStr">
        <is>
          <t>VÄSTERBOTTENS LÄN</t>
        </is>
      </c>
      <c r="E582" t="inlineStr">
        <is>
          <t>BJURHOLM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16081-2024</t>
        </is>
      </c>
      <c r="B583" s="1" t="n">
        <v>45406</v>
      </c>
      <c r="C583" s="1" t="n">
        <v>45645</v>
      </c>
      <c r="D583" t="inlineStr">
        <is>
          <t>VÄSTERBOTTENS LÄN</t>
        </is>
      </c>
      <c r="E583" t="inlineStr">
        <is>
          <t>BJURHOLM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16327-2024</t>
        </is>
      </c>
      <c r="B584" s="1" t="n">
        <v>45407</v>
      </c>
      <c r="C584" s="1" t="n">
        <v>45645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17740-2024</t>
        </is>
      </c>
      <c r="B585" s="1" t="n">
        <v>45418</v>
      </c>
      <c r="C585" s="1" t="n">
        <v>45645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19062-2024</t>
        </is>
      </c>
      <c r="B586" s="1" t="n">
        <v>45428</v>
      </c>
      <c r="C586" s="1" t="n">
        <v>45645</v>
      </c>
      <c r="D586" t="inlineStr">
        <is>
          <t>VÄSTERBOTTENS LÄN</t>
        </is>
      </c>
      <c r="E586" t="inlineStr">
        <is>
          <t>BJURHOLM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19328-2024</t>
        </is>
      </c>
      <c r="B587" s="1" t="n">
        <v>45428</v>
      </c>
      <c r="C587" s="1" t="n">
        <v>45645</v>
      </c>
      <c r="D587" t="inlineStr">
        <is>
          <t>VÄSTERBOTTENS LÄN</t>
        </is>
      </c>
      <c r="E587" t="inlineStr">
        <is>
          <t>BJURHOLM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19573-2024</t>
        </is>
      </c>
      <c r="B588" s="1" t="n">
        <v>45429</v>
      </c>
      <c r="C588" s="1" t="n">
        <v>45645</v>
      </c>
      <c r="D588" t="inlineStr">
        <is>
          <t>VÄSTERBOTTENS LÄN</t>
        </is>
      </c>
      <c r="E588" t="inlineStr">
        <is>
          <t>BJURHOLM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19574-2024</t>
        </is>
      </c>
      <c r="B589" s="1" t="n">
        <v>45429</v>
      </c>
      <c r="C589" s="1" t="n">
        <v>45645</v>
      </c>
      <c r="D589" t="inlineStr">
        <is>
          <t>VÄSTERBOTTENS LÄN</t>
        </is>
      </c>
      <c r="E589" t="inlineStr">
        <is>
          <t>BJURHOLM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19578-2024</t>
        </is>
      </c>
      <c r="B590" s="1" t="n">
        <v>45430</v>
      </c>
      <c r="C590" s="1" t="n">
        <v>45645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19572-2024</t>
        </is>
      </c>
      <c r="B591" s="1" t="n">
        <v>45429</v>
      </c>
      <c r="C591" s="1" t="n">
        <v>45645</v>
      </c>
      <c r="D591" t="inlineStr">
        <is>
          <t>VÄSTERBOTTENS LÄN</t>
        </is>
      </c>
      <c r="E591" t="inlineStr">
        <is>
          <t>BJURHOLM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19800-2024</t>
        </is>
      </c>
      <c r="B592" s="1" t="n">
        <v>45432</v>
      </c>
      <c r="C592" s="1" t="n">
        <v>45645</v>
      </c>
      <c r="D592" t="inlineStr">
        <is>
          <t>VÄSTERBOTTENS LÄN</t>
        </is>
      </c>
      <c r="E592" t="inlineStr">
        <is>
          <t>BJURHOLM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20011-2024</t>
        </is>
      </c>
      <c r="B593" s="1" t="n">
        <v>45434</v>
      </c>
      <c r="C593" s="1" t="n">
        <v>45645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20278-2024</t>
        </is>
      </c>
      <c r="B594" s="1" t="n">
        <v>45434</v>
      </c>
      <c r="C594" s="1" t="n">
        <v>45645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20279-2024</t>
        </is>
      </c>
      <c r="B595" s="1" t="n">
        <v>45434</v>
      </c>
      <c r="C595" s="1" t="n">
        <v>45645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20778-2024</t>
        </is>
      </c>
      <c r="B596" s="1" t="n">
        <v>45437</v>
      </c>
      <c r="C596" s="1" t="n">
        <v>45645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20777-2024</t>
        </is>
      </c>
      <c r="B597" s="1" t="n">
        <v>45436</v>
      </c>
      <c r="C597" s="1" t="n">
        <v>45645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20780-2024</t>
        </is>
      </c>
      <c r="B598" s="1" t="n">
        <v>45436</v>
      </c>
      <c r="C598" s="1" t="n">
        <v>45645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20779-2024</t>
        </is>
      </c>
      <c r="B599" s="1" t="n">
        <v>45437</v>
      </c>
      <c r="C599" s="1" t="n">
        <v>45645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21385-2024</t>
        </is>
      </c>
      <c r="B600" s="1" t="n">
        <v>45441</v>
      </c>
      <c r="C600" s="1" t="n">
        <v>45645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21611-2024</t>
        </is>
      </c>
      <c r="B601" s="1" t="n">
        <v>45442</v>
      </c>
      <c r="C601" s="1" t="n">
        <v>45645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21613-2024</t>
        </is>
      </c>
      <c r="B602" s="1" t="n">
        <v>45441</v>
      </c>
      <c r="C602" s="1" t="n">
        <v>45645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21612-2024</t>
        </is>
      </c>
      <c r="B603" s="1" t="n">
        <v>45441</v>
      </c>
      <c r="C603" s="1" t="n">
        <v>45645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21610-2024</t>
        </is>
      </c>
      <c r="B604" s="1" t="n">
        <v>45442</v>
      </c>
      <c r="C604" s="1" t="n">
        <v>45645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21814-2024</t>
        </is>
      </c>
      <c r="B605" s="1" t="n">
        <v>45442</v>
      </c>
      <c r="C605" s="1" t="n">
        <v>45645</v>
      </c>
      <c r="D605" t="inlineStr">
        <is>
          <t>VÄSTERBOTTENS LÄN</t>
        </is>
      </c>
      <c r="E605" t="inlineStr">
        <is>
          <t>BJURHOLM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21807-2024</t>
        </is>
      </c>
      <c r="B606" s="1" t="n">
        <v>45442</v>
      </c>
      <c r="C606" s="1" t="n">
        <v>45645</v>
      </c>
      <c r="D606" t="inlineStr">
        <is>
          <t>VÄSTERBOTTENS LÄN</t>
        </is>
      </c>
      <c r="E606" t="inlineStr">
        <is>
          <t>BJURHOLM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22401-2024</t>
        </is>
      </c>
      <c r="B607" s="1" t="n">
        <v>45446</v>
      </c>
      <c r="C607" s="1" t="n">
        <v>45645</v>
      </c>
      <c r="D607" t="inlineStr">
        <is>
          <t>VÄSTERBOTTENS LÄN</t>
        </is>
      </c>
      <c r="E607" t="inlineStr">
        <is>
          <t>BJURHOLM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22335-2024</t>
        </is>
      </c>
      <c r="B608" s="1" t="n">
        <v>45446</v>
      </c>
      <c r="C608" s="1" t="n">
        <v>45645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22276-2024</t>
        </is>
      </c>
      <c r="B609" s="1" t="n">
        <v>45446</v>
      </c>
      <c r="C609" s="1" t="n">
        <v>45645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22363-2024</t>
        </is>
      </c>
      <c r="B610" s="1" t="n">
        <v>45446</v>
      </c>
      <c r="C610" s="1" t="n">
        <v>45645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22408-2024</t>
        </is>
      </c>
      <c r="B611" s="1" t="n">
        <v>45446</v>
      </c>
      <c r="C611" s="1" t="n">
        <v>45645</v>
      </c>
      <c r="D611" t="inlineStr">
        <is>
          <t>VÄSTERBOTTENS LÄN</t>
        </is>
      </c>
      <c r="E611" t="inlineStr">
        <is>
          <t>BJURHOLM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22446-2024</t>
        </is>
      </c>
      <c r="B612" s="1" t="n">
        <v>45446</v>
      </c>
      <c r="C612" s="1" t="n">
        <v>45645</v>
      </c>
      <c r="D612" t="inlineStr">
        <is>
          <t>VÄSTERBOTTENS LÄN</t>
        </is>
      </c>
      <c r="E612" t="inlineStr">
        <is>
          <t>BJURHOLM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22438-2024</t>
        </is>
      </c>
      <c r="B613" s="1" t="n">
        <v>45446</v>
      </c>
      <c r="C613" s="1" t="n">
        <v>45645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22414-2024</t>
        </is>
      </c>
      <c r="B614" s="1" t="n">
        <v>45446</v>
      </c>
      <c r="C614" s="1" t="n">
        <v>45645</v>
      </c>
      <c r="D614" t="inlineStr">
        <is>
          <t>VÄSTERBOTTENS LÄN</t>
        </is>
      </c>
      <c r="E614" t="inlineStr">
        <is>
          <t>BJURHOLM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22502-2024</t>
        </is>
      </c>
      <c r="B615" s="1" t="n">
        <v>45447</v>
      </c>
      <c r="C615" s="1" t="n">
        <v>45645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23183-2024</t>
        </is>
      </c>
      <c r="B616" s="1" t="n">
        <v>45451</v>
      </c>
      <c r="C616" s="1" t="n">
        <v>45645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23181-2024</t>
        </is>
      </c>
      <c r="B617" s="1" t="n">
        <v>45450</v>
      </c>
      <c r="C617" s="1" t="n">
        <v>45645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23182-2024</t>
        </is>
      </c>
      <c r="B618" s="1" t="n">
        <v>45450</v>
      </c>
      <c r="C618" s="1" t="n">
        <v>45645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23184-2024</t>
        </is>
      </c>
      <c r="B619" s="1" t="n">
        <v>45451</v>
      </c>
      <c r="C619" s="1" t="n">
        <v>45645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23199-2024</t>
        </is>
      </c>
      <c r="B620" s="1" t="n">
        <v>45451</v>
      </c>
      <c r="C620" s="1" t="n">
        <v>45645</v>
      </c>
      <c r="D620" t="inlineStr">
        <is>
          <t>VÄSTERBOTTENS LÄN</t>
        </is>
      </c>
      <c r="E620" t="inlineStr">
        <is>
          <t>BJURHOLM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23206-2024</t>
        </is>
      </c>
      <c r="B621" s="1" t="n">
        <v>45451</v>
      </c>
      <c r="C621" s="1" t="n">
        <v>45645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23205-2024</t>
        </is>
      </c>
      <c r="B622" s="1" t="n">
        <v>45451</v>
      </c>
      <c r="C622" s="1" t="n">
        <v>45645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24274-2024</t>
        </is>
      </c>
      <c r="B623" s="1" t="n">
        <v>45457</v>
      </c>
      <c r="C623" s="1" t="n">
        <v>45645</v>
      </c>
      <c r="D623" t="inlineStr">
        <is>
          <t>VÄSTERBOTTENS LÄN</t>
        </is>
      </c>
      <c r="E623" t="inlineStr">
        <is>
          <t>BJURHOLM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24276-2024</t>
        </is>
      </c>
      <c r="B624" s="1" t="n">
        <v>45457</v>
      </c>
      <c r="C624" s="1" t="n">
        <v>45645</v>
      </c>
      <c r="D624" t="inlineStr">
        <is>
          <t>VÄSTERBOTTENS LÄN</t>
        </is>
      </c>
      <c r="E624" t="inlineStr">
        <is>
          <t>BJURHOLM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24279-2024</t>
        </is>
      </c>
      <c r="B625" s="1" t="n">
        <v>45457</v>
      </c>
      <c r="C625" s="1" t="n">
        <v>45645</v>
      </c>
      <c r="D625" t="inlineStr">
        <is>
          <t>VÄSTERBOTTENS LÄN</t>
        </is>
      </c>
      <c r="E625" t="inlineStr">
        <is>
          <t>BJURHOLM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25804-2024</t>
        </is>
      </c>
      <c r="B626" s="1" t="n">
        <v>45463</v>
      </c>
      <c r="C626" s="1" t="n">
        <v>45645</v>
      </c>
      <c r="D626" t="inlineStr">
        <is>
          <t>VÄSTERBOTTENS LÄN</t>
        </is>
      </c>
      <c r="E626" t="inlineStr">
        <is>
          <t>BJURHOLM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25839-2024</t>
        </is>
      </c>
      <c r="B627" s="1" t="n">
        <v>45467</v>
      </c>
      <c r="C627" s="1" t="n">
        <v>45645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25862-2024</t>
        </is>
      </c>
      <c r="B628" s="1" t="n">
        <v>45467</v>
      </c>
      <c r="C628" s="1" t="n">
        <v>45645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25821-2024</t>
        </is>
      </c>
      <c r="B629" s="1" t="n">
        <v>45467</v>
      </c>
      <c r="C629" s="1" t="n">
        <v>45645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25794-2024</t>
        </is>
      </c>
      <c r="B630" s="1" t="n">
        <v>45467</v>
      </c>
      <c r="C630" s="1" t="n">
        <v>45645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25801-2024</t>
        </is>
      </c>
      <c r="B631" s="1" t="n">
        <v>45467</v>
      </c>
      <c r="C631" s="1" t="n">
        <v>45645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26646-2024</t>
        </is>
      </c>
      <c r="B632" s="1" t="n">
        <v>45469</v>
      </c>
      <c r="C632" s="1" t="n">
        <v>45645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26459-2024</t>
        </is>
      </c>
      <c r="B633" s="1" t="n">
        <v>45469</v>
      </c>
      <c r="C633" s="1" t="n">
        <v>45645</v>
      </c>
      <c r="D633" t="inlineStr">
        <is>
          <t>VÄSTERBOTTENS LÄN</t>
        </is>
      </c>
      <c r="E633" t="inlineStr">
        <is>
          <t>BJURHOLM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26653-2024</t>
        </is>
      </c>
      <c r="B634" s="1" t="n">
        <v>45470</v>
      </c>
      <c r="C634" s="1" t="n">
        <v>45645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19.3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27032-2024</t>
        </is>
      </c>
      <c r="B635" s="1" t="n">
        <v>45471</v>
      </c>
      <c r="C635" s="1" t="n">
        <v>45645</v>
      </c>
      <c r="D635" t="inlineStr">
        <is>
          <t>VÄSTERBOTTENS LÄN</t>
        </is>
      </c>
      <c r="E635" t="inlineStr">
        <is>
          <t>BJURHOLM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27296-2024</t>
        </is>
      </c>
      <c r="B636" s="1" t="n">
        <v>45472</v>
      </c>
      <c r="C636" s="1" t="n">
        <v>45645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27297-2024</t>
        </is>
      </c>
      <c r="B637" s="1" t="n">
        <v>45472</v>
      </c>
      <c r="C637" s="1" t="n">
        <v>45645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27330-2024</t>
        </is>
      </c>
      <c r="B638" s="1" t="n">
        <v>45472</v>
      </c>
      <c r="C638" s="1" t="n">
        <v>45645</v>
      </c>
      <c r="D638" t="inlineStr">
        <is>
          <t>VÄSTERBOTTENS LÄN</t>
        </is>
      </c>
      <c r="E638" t="inlineStr">
        <is>
          <t>BJURHOLM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27616-2024</t>
        </is>
      </c>
      <c r="B639" s="1" t="n">
        <v>45474</v>
      </c>
      <c r="C639" s="1" t="n">
        <v>45645</v>
      </c>
      <c r="D639" t="inlineStr">
        <is>
          <t>VÄSTERBOTTENS LÄN</t>
        </is>
      </c>
      <c r="E639" t="inlineStr">
        <is>
          <t>BJURHOLM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27817-2024</t>
        </is>
      </c>
      <c r="B640" s="1" t="n">
        <v>45475</v>
      </c>
      <c r="C640" s="1" t="n">
        <v>45645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27953-2024</t>
        </is>
      </c>
      <c r="B641" s="1" t="n">
        <v>45476</v>
      </c>
      <c r="C641" s="1" t="n">
        <v>45645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28225-2024</t>
        </is>
      </c>
      <c r="B642" s="1" t="n">
        <v>45477</v>
      </c>
      <c r="C642" s="1" t="n">
        <v>45645</v>
      </c>
      <c r="D642" t="inlineStr">
        <is>
          <t>VÄSTERBOTTENS LÄN</t>
        </is>
      </c>
      <c r="E642" t="inlineStr">
        <is>
          <t>BJURHOLM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28243-2024</t>
        </is>
      </c>
      <c r="B643" s="1" t="n">
        <v>45477</v>
      </c>
      <c r="C643" s="1" t="n">
        <v>45645</v>
      </c>
      <c r="D643" t="inlineStr">
        <is>
          <t>VÄSTERBOTTENS LÄN</t>
        </is>
      </c>
      <c r="E643" t="inlineStr">
        <is>
          <t>BJURHOLM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28888-2024</t>
        </is>
      </c>
      <c r="B644" s="1" t="n">
        <v>45479</v>
      </c>
      <c r="C644" s="1" t="n">
        <v>45645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28891-2024</t>
        </is>
      </c>
      <c r="B645" s="1" t="n">
        <v>45479</v>
      </c>
      <c r="C645" s="1" t="n">
        <v>45645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29095-2024</t>
        </is>
      </c>
      <c r="B646" s="1" t="n">
        <v>45481</v>
      </c>
      <c r="C646" s="1" t="n">
        <v>45645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29641-2024</t>
        </is>
      </c>
      <c r="B647" s="1" t="n">
        <v>45484</v>
      </c>
      <c r="C647" s="1" t="n">
        <v>45645</v>
      </c>
      <c r="D647" t="inlineStr">
        <is>
          <t>VÄSTERBOTTENS LÄN</t>
        </is>
      </c>
      <c r="E647" t="inlineStr">
        <is>
          <t>BJURHOLM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31135-2024</t>
        </is>
      </c>
      <c r="B648" s="1" t="n">
        <v>45502</v>
      </c>
      <c r="C648" s="1" t="n">
        <v>45645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73.90000000000001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31193-2024</t>
        </is>
      </c>
      <c r="B649" s="1" t="n">
        <v>45503</v>
      </c>
      <c r="C649" s="1" t="n">
        <v>45645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31575-2024</t>
        </is>
      </c>
      <c r="B650" s="1" t="n">
        <v>45506</v>
      </c>
      <c r="C650" s="1" t="n">
        <v>45645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31660-2024</t>
        </is>
      </c>
      <c r="B651" s="1" t="n">
        <v>45507</v>
      </c>
      <c r="C651" s="1" t="n">
        <v>45645</v>
      </c>
      <c r="D651" t="inlineStr">
        <is>
          <t>VÄSTERBOTTENS LÄN</t>
        </is>
      </c>
      <c r="E651" t="inlineStr">
        <is>
          <t>BJURHOLM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32129-2024</t>
        </is>
      </c>
      <c r="B652" s="1" t="n">
        <v>45511</v>
      </c>
      <c r="C652" s="1" t="n">
        <v>45645</v>
      </c>
      <c r="D652" t="inlineStr">
        <is>
          <t>VÄSTERBOTTENS LÄN</t>
        </is>
      </c>
      <c r="E652" t="inlineStr">
        <is>
          <t>BJURHOLM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32289-2024</t>
        </is>
      </c>
      <c r="B653" s="1" t="n">
        <v>45512</v>
      </c>
      <c r="C653" s="1" t="n">
        <v>45645</v>
      </c>
      <c r="D653" t="inlineStr">
        <is>
          <t>VÄSTERBOTTENS LÄN</t>
        </is>
      </c>
      <c r="E653" t="inlineStr">
        <is>
          <t>BJURHOLM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32436-2024</t>
        </is>
      </c>
      <c r="B654" s="1" t="n">
        <v>45512</v>
      </c>
      <c r="C654" s="1" t="n">
        <v>45645</v>
      </c>
      <c r="D654" t="inlineStr">
        <is>
          <t>VÄSTERBOTTENS LÄN</t>
        </is>
      </c>
      <c r="E654" t="inlineStr">
        <is>
          <t>BJURHOLM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32502-2024</t>
        </is>
      </c>
      <c r="B655" s="1" t="n">
        <v>45513</v>
      </c>
      <c r="C655" s="1" t="n">
        <v>45645</v>
      </c>
      <c r="D655" t="inlineStr">
        <is>
          <t>VÄSTERBOTTENS LÄN</t>
        </is>
      </c>
      <c r="E655" t="inlineStr">
        <is>
          <t>BJURHOLM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33333-2024</t>
        </is>
      </c>
      <c r="B656" s="1" t="n">
        <v>45519</v>
      </c>
      <c r="C656" s="1" t="n">
        <v>45645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33722-2024</t>
        </is>
      </c>
      <c r="B657" s="1" t="n">
        <v>45520</v>
      </c>
      <c r="C657" s="1" t="n">
        <v>45645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Sveaskog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35546-2024</t>
        </is>
      </c>
      <c r="B658" s="1" t="n">
        <v>45531</v>
      </c>
      <c r="C658" s="1" t="n">
        <v>45645</v>
      </c>
      <c r="D658" t="inlineStr">
        <is>
          <t>VÄSTERBOTTENS LÄN</t>
        </is>
      </c>
      <c r="E658" t="inlineStr">
        <is>
          <t>BJURHOLM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35614-2024</t>
        </is>
      </c>
      <c r="B659" s="1" t="n">
        <v>45531</v>
      </c>
      <c r="C659" s="1" t="n">
        <v>45645</v>
      </c>
      <c r="D659" t="inlineStr">
        <is>
          <t>VÄSTERBOTTENS LÄN</t>
        </is>
      </c>
      <c r="E659" t="inlineStr">
        <is>
          <t>BJURHOLM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36167-2024</t>
        </is>
      </c>
      <c r="B660" s="1" t="n">
        <v>45534</v>
      </c>
      <c r="C660" s="1" t="n">
        <v>45645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36416-2024</t>
        </is>
      </c>
      <c r="B661" s="1" t="n">
        <v>45536</v>
      </c>
      <c r="C661" s="1" t="n">
        <v>45645</v>
      </c>
      <c r="D661" t="inlineStr">
        <is>
          <t>VÄSTERBOTTENS LÄN</t>
        </is>
      </c>
      <c r="E661" t="inlineStr">
        <is>
          <t>BJURHOLM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36448-2024</t>
        </is>
      </c>
      <c r="B662" s="1" t="n">
        <v>45537</v>
      </c>
      <c r="C662" s="1" t="n">
        <v>45645</v>
      </c>
      <c r="D662" t="inlineStr">
        <is>
          <t>VÄSTERBOTTENS LÄN</t>
        </is>
      </c>
      <c r="E662" t="inlineStr">
        <is>
          <t>BJURHOLM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36594-2024</t>
        </is>
      </c>
      <c r="B663" s="1" t="n">
        <v>45537</v>
      </c>
      <c r="C663" s="1" t="n">
        <v>45645</v>
      </c>
      <c r="D663" t="inlineStr">
        <is>
          <t>VÄSTERBOTTENS LÄN</t>
        </is>
      </c>
      <c r="E663" t="inlineStr">
        <is>
          <t>BJURHOLM</t>
        </is>
      </c>
      <c r="G663" t="n">
        <v>17.7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36480-2024</t>
        </is>
      </c>
      <c r="B664" s="1" t="n">
        <v>45537</v>
      </c>
      <c r="C664" s="1" t="n">
        <v>45645</v>
      </c>
      <c r="D664" t="inlineStr">
        <is>
          <t>VÄSTERBOTTENS LÄN</t>
        </is>
      </c>
      <c r="E664" t="inlineStr">
        <is>
          <t>BJURHOLM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36484-2024</t>
        </is>
      </c>
      <c r="B665" s="1" t="n">
        <v>45537</v>
      </c>
      <c r="C665" s="1" t="n">
        <v>45645</v>
      </c>
      <c r="D665" t="inlineStr">
        <is>
          <t>VÄSTERBOTTENS LÄN</t>
        </is>
      </c>
      <c r="E665" t="inlineStr">
        <is>
          <t>BJURHOLM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36605-2024</t>
        </is>
      </c>
      <c r="B666" s="1" t="n">
        <v>45537</v>
      </c>
      <c r="C666" s="1" t="n">
        <v>45645</v>
      </c>
      <c r="D666" t="inlineStr">
        <is>
          <t>VÄSTERBOTTENS LÄN</t>
        </is>
      </c>
      <c r="E666" t="inlineStr">
        <is>
          <t>BJURHOLM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36617-2024</t>
        </is>
      </c>
      <c r="B667" s="1" t="n">
        <v>45537</v>
      </c>
      <c r="C667" s="1" t="n">
        <v>45645</v>
      </c>
      <c r="D667" t="inlineStr">
        <is>
          <t>VÄSTERBOTTENS LÄN</t>
        </is>
      </c>
      <c r="E667" t="inlineStr">
        <is>
          <t>BJURHOLM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36697-2024</t>
        </is>
      </c>
      <c r="B668" s="1" t="n">
        <v>45537</v>
      </c>
      <c r="C668" s="1" t="n">
        <v>45645</v>
      </c>
      <c r="D668" t="inlineStr">
        <is>
          <t>VÄSTERBOTTENS LÄN</t>
        </is>
      </c>
      <c r="E668" t="inlineStr">
        <is>
          <t>BJURHOLM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36707-2024</t>
        </is>
      </c>
      <c r="B669" s="1" t="n">
        <v>45537</v>
      </c>
      <c r="C669" s="1" t="n">
        <v>45645</v>
      </c>
      <c r="D669" t="inlineStr">
        <is>
          <t>VÄSTERBOTTENS LÄN</t>
        </is>
      </c>
      <c r="E669" t="inlineStr">
        <is>
          <t>BJURHOLM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36978-2024</t>
        </is>
      </c>
      <c r="B670" s="1" t="n">
        <v>45539</v>
      </c>
      <c r="C670" s="1" t="n">
        <v>45645</v>
      </c>
      <c r="D670" t="inlineStr">
        <is>
          <t>VÄSTERBOTTENS LÄN</t>
        </is>
      </c>
      <c r="E670" t="inlineStr">
        <is>
          <t>BJURHOLM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38305-2024</t>
        </is>
      </c>
      <c r="B671" s="1" t="n">
        <v>45545</v>
      </c>
      <c r="C671" s="1" t="n">
        <v>45645</v>
      </c>
      <c r="D671" t="inlineStr">
        <is>
          <t>VÄSTERBOTTENS LÄN</t>
        </is>
      </c>
      <c r="E671" t="inlineStr">
        <is>
          <t>BJURHOLM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38410-2024</t>
        </is>
      </c>
      <c r="B672" s="1" t="n">
        <v>45546</v>
      </c>
      <c r="C672" s="1" t="n">
        <v>45645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38906-2024</t>
        </is>
      </c>
      <c r="B673" s="1" t="n">
        <v>45547</v>
      </c>
      <c r="C673" s="1" t="n">
        <v>45645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45645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45645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38967-2024</t>
        </is>
      </c>
      <c r="B676" s="1" t="n">
        <v>45548</v>
      </c>
      <c r="C676" s="1" t="n">
        <v>45645</v>
      </c>
      <c r="D676" t="inlineStr">
        <is>
          <t>VÄSTERBOTTENS LÄN</t>
        </is>
      </c>
      <c r="E676" t="inlineStr">
        <is>
          <t>BJURHOLM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45645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39264-2024</t>
        </is>
      </c>
      <c r="B678" s="1" t="n">
        <v>45551</v>
      </c>
      <c r="C678" s="1" t="n">
        <v>45645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39268-2024</t>
        </is>
      </c>
      <c r="B679" s="1" t="n">
        <v>45551</v>
      </c>
      <c r="C679" s="1" t="n">
        <v>45645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40076-2024</t>
        </is>
      </c>
      <c r="B680" s="1" t="n">
        <v>45554</v>
      </c>
      <c r="C680" s="1" t="n">
        <v>45645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40577-2024</t>
        </is>
      </c>
      <c r="B681" s="1" t="n">
        <v>45555</v>
      </c>
      <c r="C681" s="1" t="n">
        <v>45645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45645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41184-2024</t>
        </is>
      </c>
      <c r="B683" s="1" t="n">
        <v>45559</v>
      </c>
      <c r="C683" s="1" t="n">
        <v>45645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41432-2024</t>
        </is>
      </c>
      <c r="B684" s="1" t="n">
        <v>45560</v>
      </c>
      <c r="C684" s="1" t="n">
        <v>45645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45645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45645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42557-2024</t>
        </is>
      </c>
      <c r="B687" s="1" t="n">
        <v>45565</v>
      </c>
      <c r="C687" s="1" t="n">
        <v>45645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43051-2024</t>
        </is>
      </c>
      <c r="B688" s="1" t="n">
        <v>45567</v>
      </c>
      <c r="C688" s="1" t="n">
        <v>45645</v>
      </c>
      <c r="D688" t="inlineStr">
        <is>
          <t>VÄSTERBOTTENS LÄN</t>
        </is>
      </c>
      <c r="E688" t="inlineStr">
        <is>
          <t>BJURHOLM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45645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43031-2024</t>
        </is>
      </c>
      <c r="B690" s="1" t="n">
        <v>45567</v>
      </c>
      <c r="C690" s="1" t="n">
        <v>45645</v>
      </c>
      <c r="D690" t="inlineStr">
        <is>
          <t>VÄSTERBOTTENS LÄN</t>
        </is>
      </c>
      <c r="E690" t="inlineStr">
        <is>
          <t>BJURHOLM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43311-2024</t>
        </is>
      </c>
      <c r="B691" s="1" t="n">
        <v>45568</v>
      </c>
      <c r="C691" s="1" t="n">
        <v>45645</v>
      </c>
      <c r="D691" t="inlineStr">
        <is>
          <t>VÄSTERBOTTENS LÄN</t>
        </is>
      </c>
      <c r="E691" t="inlineStr">
        <is>
          <t>BJURHOLM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43317-2024</t>
        </is>
      </c>
      <c r="B692" s="1" t="n">
        <v>45568</v>
      </c>
      <c r="C692" s="1" t="n">
        <v>45645</v>
      </c>
      <c r="D692" t="inlineStr">
        <is>
          <t>VÄSTERBOTTENS LÄN</t>
        </is>
      </c>
      <c r="E692" t="inlineStr">
        <is>
          <t>BJURHOLM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43321-2024</t>
        </is>
      </c>
      <c r="B693" s="1" t="n">
        <v>45568</v>
      </c>
      <c r="C693" s="1" t="n">
        <v>45645</v>
      </c>
      <c r="D693" t="inlineStr">
        <is>
          <t>VÄSTERBOTTENS LÄN</t>
        </is>
      </c>
      <c r="E693" t="inlineStr">
        <is>
          <t>BJURHOLM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44322-2024</t>
        </is>
      </c>
      <c r="B694" s="1" t="n">
        <v>45573</v>
      </c>
      <c r="C694" s="1" t="n">
        <v>45645</v>
      </c>
      <c r="D694" t="inlineStr">
        <is>
          <t>VÄSTERBOTTENS LÄN</t>
        </is>
      </c>
      <c r="E694" t="inlineStr">
        <is>
          <t>BJURHOLM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44478-2024</t>
        </is>
      </c>
      <c r="B695" s="1" t="n">
        <v>45574</v>
      </c>
      <c r="C695" s="1" t="n">
        <v>45645</v>
      </c>
      <c r="D695" t="inlineStr">
        <is>
          <t>VÄSTERBOTTENS LÄN</t>
        </is>
      </c>
      <c r="E695" t="inlineStr">
        <is>
          <t>BJURHOLM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45395-2024</t>
        </is>
      </c>
      <c r="B696" s="1" t="n">
        <v>45576</v>
      </c>
      <c r="C696" s="1" t="n">
        <v>45645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45625-2024</t>
        </is>
      </c>
      <c r="B697" s="1" t="n">
        <v>45579</v>
      </c>
      <c r="C697" s="1" t="n">
        <v>45645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SCA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45645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46435-2024</t>
        </is>
      </c>
      <c r="B699" s="1" t="n">
        <v>45582</v>
      </c>
      <c r="C699" s="1" t="n">
        <v>45645</v>
      </c>
      <c r="D699" t="inlineStr">
        <is>
          <t>VÄSTERBOTTENS LÄN</t>
        </is>
      </c>
      <c r="E699" t="inlineStr">
        <is>
          <t>BJURHOLM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46978-2024</t>
        </is>
      </c>
      <c r="B700" s="1" t="n">
        <v>45586</v>
      </c>
      <c r="C700" s="1" t="n">
        <v>45645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46994-2024</t>
        </is>
      </c>
      <c r="B701" s="1" t="n">
        <v>45586</v>
      </c>
      <c r="C701" s="1" t="n">
        <v>45645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45645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47499-2024</t>
        </is>
      </c>
      <c r="B703" s="1" t="n">
        <v>45587</v>
      </c>
      <c r="C703" s="1" t="n">
        <v>45645</v>
      </c>
      <c r="D703" t="inlineStr">
        <is>
          <t>VÄSTERBOTTENS LÄN</t>
        </is>
      </c>
      <c r="E703" t="inlineStr">
        <is>
          <t>BJURHOLM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47593-2024</t>
        </is>
      </c>
      <c r="B704" s="1" t="n">
        <v>45587</v>
      </c>
      <c r="C704" s="1" t="n">
        <v>45645</v>
      </c>
      <c r="D704" t="inlineStr">
        <is>
          <t>VÄSTERBOTTENS LÄN</t>
        </is>
      </c>
      <c r="E704" t="inlineStr">
        <is>
          <t>BJURHOLM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47594-2024</t>
        </is>
      </c>
      <c r="B705" s="1" t="n">
        <v>45587</v>
      </c>
      <c r="C705" s="1" t="n">
        <v>45645</v>
      </c>
      <c r="D705" t="inlineStr">
        <is>
          <t>VÄSTERBOTTENS LÄN</t>
        </is>
      </c>
      <c r="E705" t="inlineStr">
        <is>
          <t>BJURHOLM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47591-2024</t>
        </is>
      </c>
      <c r="B706" s="1" t="n">
        <v>45587</v>
      </c>
      <c r="C706" s="1" t="n">
        <v>45645</v>
      </c>
      <c r="D706" t="inlineStr">
        <is>
          <t>VÄSTERBOTTENS LÄN</t>
        </is>
      </c>
      <c r="E706" t="inlineStr">
        <is>
          <t>BJURHOLM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47592-2024</t>
        </is>
      </c>
      <c r="B707" s="1" t="n">
        <v>45587</v>
      </c>
      <c r="C707" s="1" t="n">
        <v>45645</v>
      </c>
      <c r="D707" t="inlineStr">
        <is>
          <t>VÄSTERBOTTENS LÄN</t>
        </is>
      </c>
      <c r="E707" t="inlineStr">
        <is>
          <t>BJURHOLM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HYPERLINK("https://klasma.github.io/Logging_2403/knärot/A 47592-2024 karta knärot.png", "A 47592-2024")</f>
        <v/>
      </c>
      <c r="V707">
        <f>HYPERLINK("https://klasma.github.io/Logging_2403/klagomål/A 47592-2024 FSC-klagomål.docx", "A 47592-2024")</f>
        <v/>
      </c>
      <c r="W707">
        <f>HYPERLINK("https://klasma.github.io/Logging_2403/klagomålsmail/A 47592-2024 FSC-klagomål mail.docx", "A 47592-2024")</f>
        <v/>
      </c>
      <c r="X707">
        <f>HYPERLINK("https://klasma.github.io/Logging_2403/tillsyn/A 47592-2024 tillsynsbegäran.docx", "A 47592-2024")</f>
        <v/>
      </c>
      <c r="Y707">
        <f>HYPERLINK("https://klasma.github.io/Logging_2403/tillsynsmail/A 47592-2024 tillsynsbegäran mail.docx", "A 47592-2024")</f>
        <v/>
      </c>
    </row>
    <row r="708" ht="15" customHeight="1">
      <c r="A708" t="inlineStr">
        <is>
          <t>A 48314-2024</t>
        </is>
      </c>
      <c r="B708" s="1" t="n">
        <v>45590</v>
      </c>
      <c r="C708" s="1" t="n">
        <v>45645</v>
      </c>
      <c r="D708" t="inlineStr">
        <is>
          <t>VÄSTERBOTTENS LÄN</t>
        </is>
      </c>
      <c r="E708" t="inlineStr">
        <is>
          <t>BJURHOLM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48836-2024</t>
        </is>
      </c>
      <c r="B709" s="1" t="n">
        <v>45593</v>
      </c>
      <c r="C709" s="1" t="n">
        <v>45645</v>
      </c>
      <c r="D709" t="inlineStr">
        <is>
          <t>VÄSTERBOTTENS LÄN</t>
        </is>
      </c>
      <c r="E709" t="inlineStr">
        <is>
          <t>BJURHOLM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50189-2024</t>
        </is>
      </c>
      <c r="B710" s="1" t="n">
        <v>45600</v>
      </c>
      <c r="C710" s="1" t="n">
        <v>45645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50238-2024</t>
        </is>
      </c>
      <c r="B711" s="1" t="n">
        <v>45600</v>
      </c>
      <c r="C711" s="1" t="n">
        <v>45645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50098-2024</t>
        </is>
      </c>
      <c r="B712" s="1" t="n">
        <v>45600</v>
      </c>
      <c r="C712" s="1" t="n">
        <v>45645</v>
      </c>
      <c r="D712" t="inlineStr">
        <is>
          <t>VÄSTERBOTTENS LÄN</t>
        </is>
      </c>
      <c r="E712" t="inlineStr">
        <is>
          <t>BJURHOLM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50441-2024</t>
        </is>
      </c>
      <c r="B713" s="1" t="n">
        <v>45601</v>
      </c>
      <c r="C713" s="1" t="n">
        <v>45645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50726-2024</t>
        </is>
      </c>
      <c r="B714" s="1" t="n">
        <v>45602</v>
      </c>
      <c r="C714" s="1" t="n">
        <v>45645</v>
      </c>
      <c r="D714" t="inlineStr">
        <is>
          <t>VÄSTERBOTTENS LÄN</t>
        </is>
      </c>
      <c r="E714" t="inlineStr">
        <is>
          <t>BJURHOLM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50680-2024</t>
        </is>
      </c>
      <c r="B715" s="1" t="n">
        <v>45602</v>
      </c>
      <c r="C715" s="1" t="n">
        <v>45645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50729-2024</t>
        </is>
      </c>
      <c r="B716" s="1" t="n">
        <v>45602</v>
      </c>
      <c r="C716" s="1" t="n">
        <v>45645</v>
      </c>
      <c r="D716" t="inlineStr">
        <is>
          <t>VÄSTERBOTTENS LÄN</t>
        </is>
      </c>
      <c r="E716" t="inlineStr">
        <is>
          <t>BJURHOLM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50727-2024</t>
        </is>
      </c>
      <c r="B717" s="1" t="n">
        <v>45602</v>
      </c>
      <c r="C717" s="1" t="n">
        <v>45645</v>
      </c>
      <c r="D717" t="inlineStr">
        <is>
          <t>VÄSTERBOTTENS LÄN</t>
        </is>
      </c>
      <c r="E717" t="inlineStr">
        <is>
          <t>BJURHOLM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50773-2024</t>
        </is>
      </c>
      <c r="B718" s="1" t="n">
        <v>45602</v>
      </c>
      <c r="C718" s="1" t="n">
        <v>45645</v>
      </c>
      <c r="D718" t="inlineStr">
        <is>
          <t>VÄSTERBOTTENS LÄN</t>
        </is>
      </c>
      <c r="E718" t="inlineStr">
        <is>
          <t>BJURHOLM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50728-2024</t>
        </is>
      </c>
      <c r="B719" s="1" t="n">
        <v>45602</v>
      </c>
      <c r="C719" s="1" t="n">
        <v>45645</v>
      </c>
      <c r="D719" t="inlineStr">
        <is>
          <t>VÄSTERBOTTENS LÄN</t>
        </is>
      </c>
      <c r="E719" t="inlineStr">
        <is>
          <t>BJURHOLM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50762-2024</t>
        </is>
      </c>
      <c r="B720" s="1" t="n">
        <v>45602</v>
      </c>
      <c r="C720" s="1" t="n">
        <v>45645</v>
      </c>
      <c r="D720" t="inlineStr">
        <is>
          <t>VÄSTERBOTTENS LÄN</t>
        </is>
      </c>
      <c r="E720" t="inlineStr">
        <is>
          <t>BJURHOLM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52472-2024</t>
        </is>
      </c>
      <c r="B721" s="1" t="n">
        <v>45609</v>
      </c>
      <c r="C721" s="1" t="n">
        <v>45645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52549-2024</t>
        </is>
      </c>
      <c r="B722" s="1" t="n">
        <v>45609</v>
      </c>
      <c r="C722" s="1" t="n">
        <v>45645</v>
      </c>
      <c r="D722" t="inlineStr">
        <is>
          <t>VÄSTERBOTTENS LÄN</t>
        </is>
      </c>
      <c r="E722" t="inlineStr">
        <is>
          <t>BJURHOLM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52569-2024</t>
        </is>
      </c>
      <c r="B723" s="1" t="n">
        <v>45609</v>
      </c>
      <c r="C723" s="1" t="n">
        <v>45645</v>
      </c>
      <c r="D723" t="inlineStr">
        <is>
          <t>VÄSTERBOTTENS LÄN</t>
        </is>
      </c>
      <c r="E723" t="inlineStr">
        <is>
          <t>BJURHOLM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52527-2024</t>
        </is>
      </c>
      <c r="B724" s="1" t="n">
        <v>45609</v>
      </c>
      <c r="C724" s="1" t="n">
        <v>45645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52535-2024</t>
        </is>
      </c>
      <c r="B725" s="1" t="n">
        <v>45609</v>
      </c>
      <c r="C725" s="1" t="n">
        <v>45645</v>
      </c>
      <c r="D725" t="inlineStr">
        <is>
          <t>VÄSTERBOTTENS LÄN</t>
        </is>
      </c>
      <c r="E725" t="inlineStr">
        <is>
          <t>BJURHOLM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52550-2024</t>
        </is>
      </c>
      <c r="B726" s="1" t="n">
        <v>45609</v>
      </c>
      <c r="C726" s="1" t="n">
        <v>45645</v>
      </c>
      <c r="D726" t="inlineStr">
        <is>
          <t>VÄSTERBOTTENS LÄN</t>
        </is>
      </c>
      <c r="E726" t="inlineStr">
        <is>
          <t>BJURHOLM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52584-2024</t>
        </is>
      </c>
      <c r="B727" s="1" t="n">
        <v>45609</v>
      </c>
      <c r="C727" s="1" t="n">
        <v>45645</v>
      </c>
      <c r="D727" t="inlineStr">
        <is>
          <t>VÄSTERBOTTENS LÄN</t>
        </is>
      </c>
      <c r="E727" t="inlineStr">
        <is>
          <t>BJURHOLM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52737-2024</t>
        </is>
      </c>
      <c r="B728" s="1" t="n">
        <v>45610</v>
      </c>
      <c r="C728" s="1" t="n">
        <v>45645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11.2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52739-2024</t>
        </is>
      </c>
      <c r="B729" s="1" t="n">
        <v>45610</v>
      </c>
      <c r="C729" s="1" t="n">
        <v>45645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Sveaskog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52671-2024</t>
        </is>
      </c>
      <c r="B730" s="1" t="n">
        <v>45610</v>
      </c>
      <c r="C730" s="1" t="n">
        <v>45645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53127-2024</t>
        </is>
      </c>
      <c r="B731" s="1" t="n">
        <v>45611</v>
      </c>
      <c r="C731" s="1" t="n">
        <v>45645</v>
      </c>
      <c r="D731" t="inlineStr">
        <is>
          <t>VÄSTERBOTTENS LÄN</t>
        </is>
      </c>
      <c r="E731" t="inlineStr">
        <is>
          <t>BJURHOLM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53261-2024</t>
        </is>
      </c>
      <c r="B732" s="1" t="n">
        <v>45614</v>
      </c>
      <c r="C732" s="1" t="n">
        <v>45645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SCA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53374-2024</t>
        </is>
      </c>
      <c r="B733" s="1" t="n">
        <v>45614</v>
      </c>
      <c r="C733" s="1" t="n">
        <v>45645</v>
      </c>
      <c r="D733" t="inlineStr">
        <is>
          <t>VÄSTERBOTTENS LÄN</t>
        </is>
      </c>
      <c r="E733" t="inlineStr">
        <is>
          <t>BJURHOLM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53375-2024</t>
        </is>
      </c>
      <c r="B734" s="1" t="n">
        <v>45614</v>
      </c>
      <c r="C734" s="1" t="n">
        <v>45645</v>
      </c>
      <c r="D734" t="inlineStr">
        <is>
          <t>VÄSTERBOTTENS LÄN</t>
        </is>
      </c>
      <c r="E734" t="inlineStr">
        <is>
          <t>BJURHOLM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53900-2024</t>
        </is>
      </c>
      <c r="B735" s="1" t="n">
        <v>45615</v>
      </c>
      <c r="C735" s="1" t="n">
        <v>45645</v>
      </c>
      <c r="D735" t="inlineStr">
        <is>
          <t>VÄSTERBOTTENS LÄN</t>
        </is>
      </c>
      <c r="E735" t="inlineStr">
        <is>
          <t>BJURHOLM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53888-2024</t>
        </is>
      </c>
      <c r="B736" s="1" t="n">
        <v>45615</v>
      </c>
      <c r="C736" s="1" t="n">
        <v>45645</v>
      </c>
      <c r="D736" t="inlineStr">
        <is>
          <t>VÄSTERBOTTENS LÄN</t>
        </is>
      </c>
      <c r="E736" t="inlineStr">
        <is>
          <t>BJURHOLM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53899-2024</t>
        </is>
      </c>
      <c r="B737" s="1" t="n">
        <v>45615</v>
      </c>
      <c r="C737" s="1" t="n">
        <v>45645</v>
      </c>
      <c r="D737" t="inlineStr">
        <is>
          <t>VÄSTERBOTTENS LÄN</t>
        </is>
      </c>
      <c r="E737" t="inlineStr">
        <is>
          <t>BJURHOLM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54151-2024</t>
        </is>
      </c>
      <c r="B738" s="1" t="n">
        <v>45616</v>
      </c>
      <c r="C738" s="1" t="n">
        <v>45645</v>
      </c>
      <c r="D738" t="inlineStr">
        <is>
          <t>VÄSTERBOTTENS LÄN</t>
        </is>
      </c>
      <c r="E738" t="inlineStr">
        <is>
          <t>BJURHOLM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54559-2024</t>
        </is>
      </c>
      <c r="B739" s="1" t="n">
        <v>45617</v>
      </c>
      <c r="C739" s="1" t="n">
        <v>45645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55459-2024</t>
        </is>
      </c>
      <c r="B740" s="1" t="n">
        <v>45622</v>
      </c>
      <c r="C740" s="1" t="n">
        <v>45645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SCA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56114-2024</t>
        </is>
      </c>
      <c r="B741" s="1" t="n">
        <v>45623</v>
      </c>
      <c r="C741" s="1" t="n">
        <v>45645</v>
      </c>
      <c r="D741" t="inlineStr">
        <is>
          <t>VÄSTERBOTTENS LÄN</t>
        </is>
      </c>
      <c r="E741" t="inlineStr">
        <is>
          <t>BJURHOLM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56151-2024</t>
        </is>
      </c>
      <c r="B742" s="1" t="n">
        <v>45623</v>
      </c>
      <c r="C742" s="1" t="n">
        <v>45645</v>
      </c>
      <c r="D742" t="inlineStr">
        <is>
          <t>VÄSTERBOTTENS LÄN</t>
        </is>
      </c>
      <c r="E742" t="inlineStr">
        <is>
          <t>BJURHOLM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56218-2024</t>
        </is>
      </c>
      <c r="B743" s="1" t="n">
        <v>45624</v>
      </c>
      <c r="C743" s="1" t="n">
        <v>45645</v>
      </c>
      <c r="D743" t="inlineStr">
        <is>
          <t>VÄSTERBOTTENS LÄN</t>
        </is>
      </c>
      <c r="E743" t="inlineStr">
        <is>
          <t>BJURHOLM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56693-2024</t>
        </is>
      </c>
      <c r="B744" s="1" t="n">
        <v>45627</v>
      </c>
      <c r="C744" s="1" t="n">
        <v>45645</v>
      </c>
      <c r="D744" t="inlineStr">
        <is>
          <t>VÄSTERBOTTENS LÄN</t>
        </is>
      </c>
      <c r="E744" t="inlineStr">
        <is>
          <t>BJURHOLM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57012-2024</t>
        </is>
      </c>
      <c r="B745" s="1" t="n">
        <v>45628</v>
      </c>
      <c r="C745" s="1" t="n">
        <v>45645</v>
      </c>
      <c r="D745" t="inlineStr">
        <is>
          <t>VÄSTERBOTTENS LÄN</t>
        </is>
      </c>
      <c r="E745" t="inlineStr">
        <is>
          <t>BJURHOLM</t>
        </is>
      </c>
      <c r="G745" t="n">
        <v>12.7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57013-2024</t>
        </is>
      </c>
      <c r="B746" s="1" t="n">
        <v>45628</v>
      </c>
      <c r="C746" s="1" t="n">
        <v>45645</v>
      </c>
      <c r="D746" t="inlineStr">
        <is>
          <t>VÄSTERBOTTENS LÄN</t>
        </is>
      </c>
      <c r="E746" t="inlineStr">
        <is>
          <t>BJURHOLM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57562-2024</t>
        </is>
      </c>
      <c r="B747" s="1" t="n">
        <v>45630</v>
      </c>
      <c r="C747" s="1" t="n">
        <v>45645</v>
      </c>
      <c r="D747" t="inlineStr">
        <is>
          <t>VÄSTERBOTTENS LÄN</t>
        </is>
      </c>
      <c r="E747" t="inlineStr">
        <is>
          <t>BJURHOLM</t>
        </is>
      </c>
      <c r="F747" t="inlineStr">
        <is>
          <t>Sveaskog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57609-2024</t>
        </is>
      </c>
      <c r="B748" s="1" t="n">
        <v>45630</v>
      </c>
      <c r="C748" s="1" t="n">
        <v>45645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57640-2024</t>
        </is>
      </c>
      <c r="B749" s="1" t="n">
        <v>45630</v>
      </c>
      <c r="C749" s="1" t="n">
        <v>45645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57697-2024</t>
        </is>
      </c>
      <c r="B750" s="1" t="n">
        <v>45630</v>
      </c>
      <c r="C750" s="1" t="n">
        <v>45645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57798-2024</t>
        </is>
      </c>
      <c r="B751" s="1" t="n">
        <v>45631</v>
      </c>
      <c r="C751" s="1" t="n">
        <v>45645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59553-2024</t>
        </is>
      </c>
      <c r="B752" s="1" t="n">
        <v>45638</v>
      </c>
      <c r="C752" s="1" t="n">
        <v>45645</v>
      </c>
      <c r="D752" t="inlineStr">
        <is>
          <t>VÄSTERBOTTENS LÄN</t>
        </is>
      </c>
      <c r="E752" t="inlineStr">
        <is>
          <t>BJURHOLM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60224-2024</t>
        </is>
      </c>
      <c r="B753" s="1" t="n">
        <v>45642</v>
      </c>
      <c r="C753" s="1" t="n">
        <v>45645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60345-2024</t>
        </is>
      </c>
      <c r="B754" s="1" t="n">
        <v>45643</v>
      </c>
      <c r="C754" s="1" t="n">
        <v>45645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60346-2024</t>
        </is>
      </c>
      <c r="B755" s="1" t="n">
        <v>45643</v>
      </c>
      <c r="C755" s="1" t="n">
        <v>45645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2024-12-19T14:49:07Z</dcterms:created>
  <dcterms:modified xmlns:dcterms="http://purl.org/dc/terms/" xmlns:xsi="http://www.w3.org/2001/XMLSchema-instance" xsi:type="dcterms:W3CDTF">2024-12-19T14:49:08Z</dcterms:modified>
</cp:coreProperties>
</file>