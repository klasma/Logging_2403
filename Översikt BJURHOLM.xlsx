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45290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45290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45290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45290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45290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45290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45290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45290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45290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45290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45290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45290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45290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45290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45290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45290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45290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45290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45290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45290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45290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45290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45290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45290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45290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45290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45290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45290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45290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45290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45290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45290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45290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45290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45290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45290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45290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45290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45290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45290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57865-2021</t>
        </is>
      </c>
      <c r="B42" s="1" t="n">
        <v>44484</v>
      </c>
      <c r="C42" s="1" t="n">
        <v>45290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57865-2021 artfynd.xlsx", "A 57865-2021")</f>
        <v/>
      </c>
      <c r="T42">
        <f>HYPERLINK("https://klasma.github.io/Logging_2403/kartor/A 57865-2021 karta.png", "A 57865-2021")</f>
        <v/>
      </c>
      <c r="V42">
        <f>HYPERLINK("https://klasma.github.io/Logging_2403/klagomål/A 57865-2021 FSC-klagomål.docx", "A 57865-2021")</f>
        <v/>
      </c>
      <c r="W42">
        <f>HYPERLINK("https://klasma.github.io/Logging_2403/klagomålsmail/A 57865-2021 FSC-klagomål mail.docx", "A 57865-2021")</f>
        <v/>
      </c>
      <c r="X42">
        <f>HYPERLINK("https://klasma.github.io/Logging_2403/tillsyn/A 57865-2021 tillsynsbegäran.docx", "A 57865-2021")</f>
        <v/>
      </c>
      <c r="Y42">
        <f>HYPERLINK("https://klasma.github.io/Logging_2403/tillsynsmail/A 57865-2021 tillsynsbegäran mail.docx", "A 57865-2021")</f>
        <v/>
      </c>
    </row>
    <row r="43" ht="15" customHeight="1">
      <c r="A43" t="inlineStr">
        <is>
          <t>A 16145-2022</t>
        </is>
      </c>
      <c r="B43" s="1" t="n">
        <v>44665</v>
      </c>
      <c r="C43" s="1" t="n">
        <v>45290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16145-2022 artfynd.xlsx", "A 16145-2022")</f>
        <v/>
      </c>
      <c r="T43">
        <f>HYPERLINK("https://klasma.github.io/Logging_2403/kartor/A 16145-2022 karta.png", "A 16145-2022")</f>
        <v/>
      </c>
      <c r="V43">
        <f>HYPERLINK("https://klasma.github.io/Logging_2403/klagomål/A 16145-2022 FSC-klagomål.docx", "A 16145-2022")</f>
        <v/>
      </c>
      <c r="W43">
        <f>HYPERLINK("https://klasma.github.io/Logging_2403/klagomålsmail/A 16145-2022 FSC-klagomål mail.docx", "A 16145-2022")</f>
        <v/>
      </c>
      <c r="X43">
        <f>HYPERLINK("https://klasma.github.io/Logging_2403/tillsyn/A 16145-2022 tillsynsbegäran.docx", "A 16145-2022")</f>
        <v/>
      </c>
      <c r="Y43">
        <f>HYPERLINK("https://klasma.github.io/Logging_2403/tillsynsmail/A 16145-2022 tillsynsbegäran mail.docx", "A 16145-2022")</f>
        <v/>
      </c>
    </row>
    <row r="44" ht="15" customHeight="1">
      <c r="A44" t="inlineStr">
        <is>
          <t>A 43969-2022</t>
        </is>
      </c>
      <c r="B44" s="1" t="n">
        <v>44837</v>
      </c>
      <c r="C44" s="1" t="n">
        <v>45290</v>
      </c>
      <c r="D44" t="inlineStr">
        <is>
          <t>VÄSTERBOTTENS LÄN</t>
        </is>
      </c>
      <c r="E44" t="inlineStr">
        <is>
          <t>BJURHOLM</t>
        </is>
      </c>
      <c r="G44" t="n">
        <v>2.3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Lappranunkel</t>
        </is>
      </c>
      <c r="S44">
        <f>HYPERLINK("https://klasma.github.io/Logging_2403/artfynd/A 43969-2022 artfynd.xlsx", "A 43969-2022")</f>
        <v/>
      </c>
      <c r="T44">
        <f>HYPERLINK("https://klasma.github.io/Logging_2403/kartor/A 43969-2022 karta.png", "A 43969-2022")</f>
        <v/>
      </c>
      <c r="V44">
        <f>HYPERLINK("https://klasma.github.io/Logging_2403/klagomål/A 43969-2022 FSC-klagomål.docx", "A 43969-2022")</f>
        <v/>
      </c>
      <c r="W44">
        <f>HYPERLINK("https://klasma.github.io/Logging_2403/klagomålsmail/A 43969-2022 FSC-klagomål mail.docx", "A 43969-2022")</f>
        <v/>
      </c>
      <c r="X44">
        <f>HYPERLINK("https://klasma.github.io/Logging_2403/tillsyn/A 43969-2022 tillsynsbegäran.docx", "A 43969-2022")</f>
        <v/>
      </c>
      <c r="Y44">
        <f>HYPERLINK("https://klasma.github.io/Logging_2403/tillsynsmail/A 43969-2022 tillsynsbegäran mail.docx", "A 43969-2022")</f>
        <v/>
      </c>
    </row>
    <row r="45" ht="15" customHeight="1">
      <c r="A45" t="inlineStr">
        <is>
          <t>A 52690-2022</t>
        </is>
      </c>
      <c r="B45" s="1" t="n">
        <v>44874</v>
      </c>
      <c r="C45" s="1" t="n">
        <v>45290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17.3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HYPERLINK("https://klasma.github.io/Logging_2403/artfynd/A 52690-2022 artfynd.xlsx", "A 52690-2022")</f>
        <v/>
      </c>
      <c r="T45">
        <f>HYPERLINK("https://klasma.github.io/Logging_2403/kartor/A 52690-2022 karta.png", "A 52690-2022")</f>
        <v/>
      </c>
      <c r="V45">
        <f>HYPERLINK("https://klasma.github.io/Logging_2403/klagomål/A 52690-2022 FSC-klagomål.docx", "A 52690-2022")</f>
        <v/>
      </c>
      <c r="W45">
        <f>HYPERLINK("https://klasma.github.io/Logging_2403/klagomålsmail/A 52690-2022 FSC-klagomål mail.docx", "A 52690-2022")</f>
        <v/>
      </c>
      <c r="X45">
        <f>HYPERLINK("https://klasma.github.io/Logging_2403/tillsyn/A 52690-2022 tillsynsbegäran.docx", "A 52690-2022")</f>
        <v/>
      </c>
      <c r="Y45">
        <f>HYPERLINK("https://klasma.github.io/Logging_2403/tillsynsmail/A 52690-2022 tillsynsbegäran mail.docx", "A 52690-2022")</f>
        <v/>
      </c>
    </row>
    <row r="46" ht="15" customHeight="1">
      <c r="A46" t="inlineStr">
        <is>
          <t>A 62112-2022</t>
        </is>
      </c>
      <c r="B46" s="1" t="n">
        <v>44920</v>
      </c>
      <c r="C46" s="1" t="n">
        <v>45290</v>
      </c>
      <c r="D46" t="inlineStr">
        <is>
          <t>VÄSTERBOTTENS LÄN</t>
        </is>
      </c>
      <c r="E46" t="inlineStr">
        <is>
          <t>BJURHOLM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HYPERLINK("https://klasma.github.io/Logging_2403/artfynd/A 62112-2022 artfynd.xlsx", "A 62112-2022")</f>
        <v/>
      </c>
      <c r="T46">
        <f>HYPERLINK("https://klasma.github.io/Logging_2403/kartor/A 62112-2022 karta.png", "A 62112-2022")</f>
        <v/>
      </c>
      <c r="V46">
        <f>HYPERLINK("https://klasma.github.io/Logging_2403/klagomål/A 62112-2022 FSC-klagomål.docx", "A 62112-2022")</f>
        <v/>
      </c>
      <c r="W46">
        <f>HYPERLINK("https://klasma.github.io/Logging_2403/klagomålsmail/A 62112-2022 FSC-klagomål mail.docx", "A 62112-2022")</f>
        <v/>
      </c>
      <c r="X46">
        <f>HYPERLINK("https://klasma.github.io/Logging_2403/tillsyn/A 62112-2022 tillsynsbegäran.docx", "A 62112-2022")</f>
        <v/>
      </c>
      <c r="Y46">
        <f>HYPERLINK("https://klasma.github.io/Logging_2403/tillsynsmail/A 62112-2022 tillsynsbegäran mail.docx", "A 62112-2022")</f>
        <v/>
      </c>
    </row>
    <row r="47" ht="15" customHeight="1">
      <c r="A47" t="inlineStr">
        <is>
          <t>A 11819-2023</t>
        </is>
      </c>
      <c r="B47" s="1" t="n">
        <v>44994</v>
      </c>
      <c r="C47" s="1" t="n">
        <v>45290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HYPERLINK("https://klasma.github.io/Logging_2403/artfynd/A 11819-2023 artfynd.xlsx", "A 11819-2023")</f>
        <v/>
      </c>
      <c r="T47">
        <f>HYPERLINK("https://klasma.github.io/Logging_2403/kartor/A 11819-2023 karta.png", "A 11819-2023")</f>
        <v/>
      </c>
      <c r="V47">
        <f>HYPERLINK("https://klasma.github.io/Logging_2403/klagomål/A 11819-2023 FSC-klagomål.docx", "A 11819-2023")</f>
        <v/>
      </c>
      <c r="W47">
        <f>HYPERLINK("https://klasma.github.io/Logging_2403/klagomålsmail/A 11819-2023 FSC-klagomål mail.docx", "A 11819-2023")</f>
        <v/>
      </c>
      <c r="X47">
        <f>HYPERLINK("https://klasma.github.io/Logging_2403/tillsyn/A 11819-2023 tillsynsbegäran.docx", "A 11819-2023")</f>
        <v/>
      </c>
      <c r="Y47">
        <f>HYPERLINK("https://klasma.github.io/Logging_2403/tillsynsmail/A 11819-2023 tillsynsbegäran mail.docx", "A 11819-2023")</f>
        <v/>
      </c>
    </row>
    <row r="48" ht="15" customHeight="1">
      <c r="A48" t="inlineStr">
        <is>
          <t>A 20608-2023</t>
        </is>
      </c>
      <c r="B48" s="1" t="n">
        <v>45057</v>
      </c>
      <c r="C48" s="1" t="n">
        <v>45290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10.5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Goliatmusseron</t>
        </is>
      </c>
      <c r="S48">
        <f>HYPERLINK("https://klasma.github.io/Logging_2403/artfynd/A 20608-2023 artfynd.xlsx", "A 20608-2023")</f>
        <v/>
      </c>
      <c r="T48">
        <f>HYPERLINK("https://klasma.github.io/Logging_2403/kartor/A 20608-2023 karta.png", "A 20608-2023")</f>
        <v/>
      </c>
      <c r="V48">
        <f>HYPERLINK("https://klasma.github.io/Logging_2403/klagomål/A 20608-2023 FSC-klagomål.docx", "A 20608-2023")</f>
        <v/>
      </c>
      <c r="W48">
        <f>HYPERLINK("https://klasma.github.io/Logging_2403/klagomålsmail/A 20608-2023 FSC-klagomål mail.docx", "A 20608-2023")</f>
        <v/>
      </c>
      <c r="X48">
        <f>HYPERLINK("https://klasma.github.io/Logging_2403/tillsyn/A 20608-2023 tillsynsbegäran.docx", "A 20608-2023")</f>
        <v/>
      </c>
      <c r="Y48">
        <f>HYPERLINK("https://klasma.github.io/Logging_2403/tillsynsmail/A 20608-2023 tillsynsbegäran mail.docx", "A 20608-2023")</f>
        <v/>
      </c>
    </row>
    <row r="49" ht="15" customHeight="1">
      <c r="A49" t="inlineStr">
        <is>
          <t>A 35280-2023</t>
        </is>
      </c>
      <c r="B49" s="1" t="n">
        <v>45145</v>
      </c>
      <c r="C49" s="1" t="n">
        <v>45290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HYPERLINK("https://klasma.github.io/Logging_2403/artfynd/A 35280-2023 artfynd.xlsx", "A 35280-2023")</f>
        <v/>
      </c>
      <c r="T49">
        <f>HYPERLINK("https://klasma.github.io/Logging_2403/kartor/A 35280-2023 karta.png", "A 35280-2023")</f>
        <v/>
      </c>
      <c r="V49">
        <f>HYPERLINK("https://klasma.github.io/Logging_2403/klagomål/A 35280-2023 FSC-klagomål.docx", "A 35280-2023")</f>
        <v/>
      </c>
      <c r="W49">
        <f>HYPERLINK("https://klasma.github.io/Logging_2403/klagomålsmail/A 35280-2023 FSC-klagomål mail.docx", "A 35280-2023")</f>
        <v/>
      </c>
      <c r="X49">
        <f>HYPERLINK("https://klasma.github.io/Logging_2403/tillsyn/A 35280-2023 tillsynsbegäran.docx", "A 35280-2023")</f>
        <v/>
      </c>
      <c r="Y49">
        <f>HYPERLINK("https://klasma.github.io/Logging_2403/tillsynsmail/A 35280-2023 tillsynsbegäran mail.docx", "A 35280-2023")</f>
        <v/>
      </c>
    </row>
    <row r="50" ht="15" customHeight="1">
      <c r="A50" t="inlineStr">
        <is>
          <t>A 39628-2023</t>
        </is>
      </c>
      <c r="B50" s="1" t="n">
        <v>45167</v>
      </c>
      <c r="C50" s="1" t="n">
        <v>45290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39628-2023 artfynd.xlsx", "A 39628-2023")</f>
        <v/>
      </c>
      <c r="T50">
        <f>HYPERLINK("https://klasma.github.io/Logging_2403/kartor/A 39628-2023 karta.png", "A 39628-2023")</f>
        <v/>
      </c>
      <c r="V50">
        <f>HYPERLINK("https://klasma.github.io/Logging_2403/klagomål/A 39628-2023 FSC-klagomål.docx", "A 39628-2023")</f>
        <v/>
      </c>
      <c r="W50">
        <f>HYPERLINK("https://klasma.github.io/Logging_2403/klagomålsmail/A 39628-2023 FSC-klagomål mail.docx", "A 39628-2023")</f>
        <v/>
      </c>
      <c r="X50">
        <f>HYPERLINK("https://klasma.github.io/Logging_2403/tillsyn/A 39628-2023 tillsynsbegäran.docx", "A 39628-2023")</f>
        <v/>
      </c>
      <c r="Y50">
        <f>HYPERLINK("https://klasma.github.io/Logging_2403/tillsynsmail/A 39628-2023 tillsynsbegäran mail.docx", "A 39628-2023")</f>
        <v/>
      </c>
    </row>
    <row r="51" ht="15" customHeight="1">
      <c r="A51" t="inlineStr">
        <is>
          <t>A 44773-2023</t>
        </is>
      </c>
      <c r="B51" s="1" t="n">
        <v>45190</v>
      </c>
      <c r="C51" s="1" t="n">
        <v>45290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48.5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HYPERLINK("https://klasma.github.io/Logging_2403/artfynd/A 44773-2023 artfynd.xlsx", "A 44773-2023")</f>
        <v/>
      </c>
      <c r="T51">
        <f>HYPERLINK("https://klasma.github.io/Logging_2403/kartor/A 44773-2023 karta.png", "A 44773-2023")</f>
        <v/>
      </c>
      <c r="V51">
        <f>HYPERLINK("https://klasma.github.io/Logging_2403/klagomål/A 44773-2023 FSC-klagomål.docx", "A 44773-2023")</f>
        <v/>
      </c>
      <c r="W51">
        <f>HYPERLINK("https://klasma.github.io/Logging_2403/klagomålsmail/A 44773-2023 FSC-klagomål mail.docx", "A 44773-2023")</f>
        <v/>
      </c>
      <c r="X51">
        <f>HYPERLINK("https://klasma.github.io/Logging_2403/tillsyn/A 44773-2023 tillsynsbegäran.docx", "A 44773-2023")</f>
        <v/>
      </c>
      <c r="Y51">
        <f>HYPERLINK("https://klasma.github.io/Logging_2403/tillsynsmail/A 44773-2023 tillsynsbegäran mail.docx", "A 44773-2023")</f>
        <v/>
      </c>
    </row>
    <row r="52" ht="15" customHeight="1">
      <c r="A52" t="inlineStr">
        <is>
          <t>A 58232-2023</t>
        </is>
      </c>
      <c r="B52" s="1" t="n">
        <v>45245</v>
      </c>
      <c r="C52" s="1" t="n">
        <v>45290</v>
      </c>
      <c r="D52" t="inlineStr">
        <is>
          <t>VÄSTERBOTTENS LÄN</t>
        </is>
      </c>
      <c r="E52" t="inlineStr">
        <is>
          <t>BJURHOLM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HYPERLINK("https://klasma.github.io/Logging_2403/artfynd/A 58232-2023 artfynd.xlsx", "A 58232-2023")</f>
        <v/>
      </c>
      <c r="T52">
        <f>HYPERLINK("https://klasma.github.io/Logging_2403/kartor/A 58232-2023 karta.png", "A 58232-2023")</f>
        <v/>
      </c>
      <c r="V52">
        <f>HYPERLINK("https://klasma.github.io/Logging_2403/klagomål/A 58232-2023 FSC-klagomål.docx", "A 58232-2023")</f>
        <v/>
      </c>
      <c r="W52">
        <f>HYPERLINK("https://klasma.github.io/Logging_2403/klagomålsmail/A 58232-2023 FSC-klagomål mail.docx", "A 58232-2023")</f>
        <v/>
      </c>
      <c r="X52">
        <f>HYPERLINK("https://klasma.github.io/Logging_2403/tillsyn/A 58232-2023 tillsynsbegäran.docx", "A 58232-2023")</f>
        <v/>
      </c>
      <c r="Y52">
        <f>HYPERLINK("https://klasma.github.io/Logging_2403/tillsynsmail/A 58232-2023 tillsynsbegäran mail.docx", "A 58232-2023")</f>
        <v/>
      </c>
    </row>
    <row r="53" ht="15" customHeight="1">
      <c r="A53" t="inlineStr">
        <is>
          <t>A 57802-2023</t>
        </is>
      </c>
      <c r="B53" s="1" t="n">
        <v>45246</v>
      </c>
      <c r="C53" s="1" t="n">
        <v>45290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14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HYPERLINK("https://klasma.github.io/Logging_2403/artfynd/A 57802-2023 artfynd.xlsx", "A 57802-2023")</f>
        <v/>
      </c>
      <c r="T53">
        <f>HYPERLINK("https://klasma.github.io/Logging_2403/kartor/A 57802-2023 karta.png", "A 57802-2023")</f>
        <v/>
      </c>
      <c r="V53">
        <f>HYPERLINK("https://klasma.github.io/Logging_2403/klagomål/A 57802-2023 FSC-klagomål.docx", "A 57802-2023")</f>
        <v/>
      </c>
      <c r="W53">
        <f>HYPERLINK("https://klasma.github.io/Logging_2403/klagomålsmail/A 57802-2023 FSC-klagomål mail.docx", "A 57802-2023")</f>
        <v/>
      </c>
      <c r="X53">
        <f>HYPERLINK("https://klasma.github.io/Logging_2403/tillsyn/A 57802-2023 tillsynsbegäran.docx", "A 57802-2023")</f>
        <v/>
      </c>
      <c r="Y53">
        <f>HYPERLINK("https://klasma.github.io/Logging_2403/tillsynsmail/A 57802-2023 tillsynsbegäran mail.docx", "A 57802-2023")</f>
        <v/>
      </c>
    </row>
    <row r="54" ht="15" customHeight="1">
      <c r="A54" t="inlineStr">
        <is>
          <t>A 64499-2023</t>
        </is>
      </c>
      <c r="B54" s="1" t="n">
        <v>45280</v>
      </c>
      <c r="C54" s="1" t="n">
        <v>45290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64499-2023 artfynd.xlsx", "A 64499-2023")</f>
        <v/>
      </c>
      <c r="T54">
        <f>HYPERLINK("https://klasma.github.io/Logging_2403/kartor/A 64499-2023 karta.png", "A 64499-2023")</f>
        <v/>
      </c>
      <c r="V54">
        <f>HYPERLINK("https://klasma.github.io/Logging_2403/klagomål/A 64499-2023 FSC-klagomål.docx", "A 64499-2023")</f>
        <v/>
      </c>
      <c r="W54">
        <f>HYPERLINK("https://klasma.github.io/Logging_2403/klagomålsmail/A 64499-2023 FSC-klagomål mail.docx", "A 64499-2023")</f>
        <v/>
      </c>
      <c r="X54">
        <f>HYPERLINK("https://klasma.github.io/Logging_2403/tillsyn/A 64499-2023 tillsynsbegäran.docx", "A 64499-2023")</f>
        <v/>
      </c>
      <c r="Y54">
        <f>HYPERLINK("https://klasma.github.io/Logging_2403/tillsynsmail/A 64499-2023 tillsynsbegäran mail.docx", "A 64499-2023")</f>
        <v/>
      </c>
    </row>
    <row r="55" ht="15" customHeight="1">
      <c r="A55" t="inlineStr">
        <is>
          <t>A 45763-2018</t>
        </is>
      </c>
      <c r="B55" s="1" t="n">
        <v>43362</v>
      </c>
      <c r="C55" s="1" t="n">
        <v>45290</v>
      </c>
      <c r="D55" t="inlineStr">
        <is>
          <t>VÄSTERBOTTENS LÄN</t>
        </is>
      </c>
      <c r="E55" t="inlineStr">
        <is>
          <t>BJURHOLM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51391-2018</t>
        </is>
      </c>
      <c r="B56" s="1" t="n">
        <v>43378</v>
      </c>
      <c r="C56" s="1" t="n">
        <v>45290</v>
      </c>
      <c r="D56" t="inlineStr">
        <is>
          <t>VÄSTERBOTTENS LÄN</t>
        </is>
      </c>
      <c r="E56" t="inlineStr">
        <is>
          <t>BJURHOLM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53712-2018</t>
        </is>
      </c>
      <c r="B57" s="1" t="n">
        <v>43385</v>
      </c>
      <c r="C57" s="1" t="n">
        <v>45290</v>
      </c>
      <c r="D57" t="inlineStr">
        <is>
          <t>VÄSTERBOTTENS LÄN</t>
        </is>
      </c>
      <c r="E57" t="inlineStr">
        <is>
          <t>BJURHOLM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58466-2018</t>
        </is>
      </c>
      <c r="B58" s="1" t="n">
        <v>43397</v>
      </c>
      <c r="C58" s="1" t="n">
        <v>45290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58415-2018</t>
        </is>
      </c>
      <c r="B59" s="1" t="n">
        <v>43398</v>
      </c>
      <c r="C59" s="1" t="n">
        <v>45290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58629-2018</t>
        </is>
      </c>
      <c r="B60" s="1" t="n">
        <v>43399</v>
      </c>
      <c r="C60" s="1" t="n">
        <v>45290</v>
      </c>
      <c r="D60" t="inlineStr">
        <is>
          <t>VÄSTERBOTTENS LÄN</t>
        </is>
      </c>
      <c r="E60" t="inlineStr">
        <is>
          <t>BJURHOLM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58758-2018</t>
        </is>
      </c>
      <c r="B61" s="1" t="n">
        <v>43399</v>
      </c>
      <c r="C61" s="1" t="n">
        <v>45290</v>
      </c>
      <c r="D61" t="inlineStr">
        <is>
          <t>VÄSTERBOTTENS LÄN</t>
        </is>
      </c>
      <c r="E61" t="inlineStr">
        <is>
          <t>BJURHOLM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58639-2018</t>
        </is>
      </c>
      <c r="B62" s="1" t="n">
        <v>43399</v>
      </c>
      <c r="C62" s="1" t="n">
        <v>45290</v>
      </c>
      <c r="D62" t="inlineStr">
        <is>
          <t>VÄSTERBOTTENS LÄN</t>
        </is>
      </c>
      <c r="E62" t="inlineStr">
        <is>
          <t>BJURHOLM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58762-2018</t>
        </is>
      </c>
      <c r="B63" s="1" t="n">
        <v>43402</v>
      </c>
      <c r="C63" s="1" t="n">
        <v>45290</v>
      </c>
      <c r="D63" t="inlineStr">
        <is>
          <t>VÄSTERBOTTENS LÄN</t>
        </is>
      </c>
      <c r="E63" t="inlineStr">
        <is>
          <t>BJURHOLM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58729-2018</t>
        </is>
      </c>
      <c r="B64" s="1" t="n">
        <v>43402</v>
      </c>
      <c r="C64" s="1" t="n">
        <v>45290</v>
      </c>
      <c r="D64" t="inlineStr">
        <is>
          <t>VÄSTERBOTTENS LÄN</t>
        </is>
      </c>
      <c r="E64" t="inlineStr">
        <is>
          <t>BJURHOLM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57337-2018</t>
        </is>
      </c>
      <c r="B65" s="1" t="n">
        <v>43404</v>
      </c>
      <c r="C65" s="1" t="n">
        <v>45290</v>
      </c>
      <c r="D65" t="inlineStr">
        <is>
          <t>VÄSTERBOTTENS LÄN</t>
        </is>
      </c>
      <c r="E65" t="inlineStr">
        <is>
          <t>BJURHOLM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60339-2018</t>
        </is>
      </c>
      <c r="B66" s="1" t="n">
        <v>43406</v>
      </c>
      <c r="C66" s="1" t="n">
        <v>45290</v>
      </c>
      <c r="D66" t="inlineStr">
        <is>
          <t>VÄSTERBOTTENS LÄN</t>
        </is>
      </c>
      <c r="E66" t="inlineStr">
        <is>
          <t>BJURHOLM</t>
        </is>
      </c>
      <c r="G66" t="n">
        <v>14.4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60418-2018</t>
        </is>
      </c>
      <c r="B67" s="1" t="n">
        <v>43406</v>
      </c>
      <c r="C67" s="1" t="n">
        <v>45290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60391-2018</t>
        </is>
      </c>
      <c r="B68" s="1" t="n">
        <v>43406</v>
      </c>
      <c r="C68" s="1" t="n">
        <v>45290</v>
      </c>
      <c r="D68" t="inlineStr">
        <is>
          <t>VÄSTERBOTTENS LÄN</t>
        </is>
      </c>
      <c r="E68" t="inlineStr">
        <is>
          <t>BJURHOLM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60421-2018</t>
        </is>
      </c>
      <c r="B69" s="1" t="n">
        <v>43406</v>
      </c>
      <c r="C69" s="1" t="n">
        <v>45290</v>
      </c>
      <c r="D69" t="inlineStr">
        <is>
          <t>VÄSTERBOTTENS LÄN</t>
        </is>
      </c>
      <c r="E69" t="inlineStr">
        <is>
          <t>BJURHOLM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58102-2018</t>
        </is>
      </c>
      <c r="B70" s="1" t="n">
        <v>43406</v>
      </c>
      <c r="C70" s="1" t="n">
        <v>45290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60401-2018</t>
        </is>
      </c>
      <c r="B71" s="1" t="n">
        <v>43406</v>
      </c>
      <c r="C71" s="1" t="n">
        <v>45290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59827-2018</t>
        </is>
      </c>
      <c r="B72" s="1" t="n">
        <v>43411</v>
      </c>
      <c r="C72" s="1" t="n">
        <v>45290</v>
      </c>
      <c r="D72" t="inlineStr">
        <is>
          <t>VÄSTERBOTTENS LÄN</t>
        </is>
      </c>
      <c r="E72" t="inlineStr">
        <is>
          <t>BJURHOLM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62911-2018</t>
        </is>
      </c>
      <c r="B73" s="1" t="n">
        <v>43416</v>
      </c>
      <c r="C73" s="1" t="n">
        <v>45290</v>
      </c>
      <c r="D73" t="inlineStr">
        <is>
          <t>VÄSTERBOTTENS LÄN</t>
        </is>
      </c>
      <c r="E73" t="inlineStr">
        <is>
          <t>BJURHOLM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62927-2018</t>
        </is>
      </c>
      <c r="B74" s="1" t="n">
        <v>43416</v>
      </c>
      <c r="C74" s="1" t="n">
        <v>45290</v>
      </c>
      <c r="D74" t="inlineStr">
        <is>
          <t>VÄSTERBOTTENS LÄN</t>
        </is>
      </c>
      <c r="E74" t="inlineStr">
        <is>
          <t>BJURHOLM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63775-2018</t>
        </is>
      </c>
      <c r="B75" s="1" t="n">
        <v>43418</v>
      </c>
      <c r="C75" s="1" t="n">
        <v>45290</v>
      </c>
      <c r="D75" t="inlineStr">
        <is>
          <t>VÄSTERBOTTENS LÄN</t>
        </is>
      </c>
      <c r="E75" t="inlineStr">
        <is>
          <t>BJURHOLM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65625-2018</t>
        </is>
      </c>
      <c r="B76" s="1" t="n">
        <v>43425</v>
      </c>
      <c r="C76" s="1" t="n">
        <v>45290</v>
      </c>
      <c r="D76" t="inlineStr">
        <is>
          <t>VÄSTERBOTTENS LÄN</t>
        </is>
      </c>
      <c r="E76" t="inlineStr">
        <is>
          <t>BJURHOLM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66237-2018</t>
        </is>
      </c>
      <c r="B77" s="1" t="n">
        <v>43426</v>
      </c>
      <c r="C77" s="1" t="n">
        <v>45290</v>
      </c>
      <c r="D77" t="inlineStr">
        <is>
          <t>VÄSTERBOTTENS LÄN</t>
        </is>
      </c>
      <c r="E77" t="inlineStr">
        <is>
          <t>BJURHOLM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68106-2018</t>
        </is>
      </c>
      <c r="B78" s="1" t="n">
        <v>43434</v>
      </c>
      <c r="C78" s="1" t="n">
        <v>45290</v>
      </c>
      <c r="D78" t="inlineStr">
        <is>
          <t>VÄSTERBOTTENS LÄN</t>
        </is>
      </c>
      <c r="E78" t="inlineStr">
        <is>
          <t>BJURHOLM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68100-2018</t>
        </is>
      </c>
      <c r="B79" s="1" t="n">
        <v>43434</v>
      </c>
      <c r="C79" s="1" t="n">
        <v>45290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68352-2018</t>
        </is>
      </c>
      <c r="B80" s="1" t="n">
        <v>43441</v>
      </c>
      <c r="C80" s="1" t="n">
        <v>45290</v>
      </c>
      <c r="D80" t="inlineStr">
        <is>
          <t>VÄSTERBOTTENS LÄN</t>
        </is>
      </c>
      <c r="E80" t="inlineStr">
        <is>
          <t>BJURHOLM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68932-2018</t>
        </is>
      </c>
      <c r="B81" s="1" t="n">
        <v>43445</v>
      </c>
      <c r="C81" s="1" t="n">
        <v>45290</v>
      </c>
      <c r="D81" t="inlineStr">
        <is>
          <t>VÄSTERBOTTENS LÄN</t>
        </is>
      </c>
      <c r="E81" t="inlineStr">
        <is>
          <t>BJURHOLM</t>
        </is>
      </c>
      <c r="F81" t="inlineStr">
        <is>
          <t>Holmen skog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71094-2018</t>
        </is>
      </c>
      <c r="B82" s="1" t="n">
        <v>43452</v>
      </c>
      <c r="C82" s="1" t="n">
        <v>45290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402-2019</t>
        </is>
      </c>
      <c r="B83" s="1" t="n">
        <v>43455</v>
      </c>
      <c r="C83" s="1" t="n">
        <v>45290</v>
      </c>
      <c r="D83" t="inlineStr">
        <is>
          <t>VÄSTERBOTTENS LÄN</t>
        </is>
      </c>
      <c r="E83" t="inlineStr">
        <is>
          <t>BJURHOLM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955-2019</t>
        </is>
      </c>
      <c r="B84" s="1" t="n">
        <v>43456</v>
      </c>
      <c r="C84" s="1" t="n">
        <v>45290</v>
      </c>
      <c r="D84" t="inlineStr">
        <is>
          <t>VÄSTERBOTTENS LÄN</t>
        </is>
      </c>
      <c r="E84" t="inlineStr">
        <is>
          <t>BJURHOLM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254-2019</t>
        </is>
      </c>
      <c r="B85" s="1" t="n">
        <v>43468</v>
      </c>
      <c r="C85" s="1" t="n">
        <v>45290</v>
      </c>
      <c r="D85" t="inlineStr">
        <is>
          <t>VÄSTERBOTTENS LÄN</t>
        </is>
      </c>
      <c r="E85" t="inlineStr">
        <is>
          <t>BJURHOLM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1540-2019</t>
        </is>
      </c>
      <c r="B86" s="1" t="n">
        <v>43473</v>
      </c>
      <c r="C86" s="1" t="n">
        <v>45290</v>
      </c>
      <c r="D86" t="inlineStr">
        <is>
          <t>VÄSTERBOTTENS LÄN</t>
        </is>
      </c>
      <c r="E86" t="inlineStr">
        <is>
          <t>BJURHOLM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1542-2019</t>
        </is>
      </c>
      <c r="B87" s="1" t="n">
        <v>43473</v>
      </c>
      <c r="C87" s="1" t="n">
        <v>45290</v>
      </c>
      <c r="D87" t="inlineStr">
        <is>
          <t>VÄSTERBOTTENS LÄN</t>
        </is>
      </c>
      <c r="E87" t="inlineStr">
        <is>
          <t>BJURHOLM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1430-2019</t>
        </is>
      </c>
      <c r="B88" s="1" t="n">
        <v>43473</v>
      </c>
      <c r="C88" s="1" t="n">
        <v>45290</v>
      </c>
      <c r="D88" t="inlineStr">
        <is>
          <t>VÄSTERBOTTENS LÄN</t>
        </is>
      </c>
      <c r="E88" t="inlineStr">
        <is>
          <t>BJURHOLM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1473-2019</t>
        </is>
      </c>
      <c r="B89" s="1" t="n">
        <v>43473</v>
      </c>
      <c r="C89" s="1" t="n">
        <v>45290</v>
      </c>
      <c r="D89" t="inlineStr">
        <is>
          <t>VÄSTERBOTTENS LÄN</t>
        </is>
      </c>
      <c r="E89" t="inlineStr">
        <is>
          <t>BJURHOLM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7250-2019</t>
        </is>
      </c>
      <c r="B90" s="1" t="n">
        <v>43489</v>
      </c>
      <c r="C90" s="1" t="n">
        <v>45290</v>
      </c>
      <c r="D90" t="inlineStr">
        <is>
          <t>VÄSTERBOTTENS LÄN</t>
        </is>
      </c>
      <c r="E90" t="inlineStr">
        <is>
          <t>BJURHOLM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7201-2019</t>
        </is>
      </c>
      <c r="B91" s="1" t="n">
        <v>43496</v>
      </c>
      <c r="C91" s="1" t="n">
        <v>45290</v>
      </c>
      <c r="D91" t="inlineStr">
        <is>
          <t>VÄSTERBOTTENS LÄN</t>
        </is>
      </c>
      <c r="E91" t="inlineStr">
        <is>
          <t>BJURHOLM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7407-2019</t>
        </is>
      </c>
      <c r="B92" s="1" t="n">
        <v>43496</v>
      </c>
      <c r="C92" s="1" t="n">
        <v>45290</v>
      </c>
      <c r="D92" t="inlineStr">
        <is>
          <t>VÄSTERBOTTENS LÄN</t>
        </is>
      </c>
      <c r="E92" t="inlineStr">
        <is>
          <t>BJURHOLM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8004-2019</t>
        </is>
      </c>
      <c r="B93" s="1" t="n">
        <v>43497</v>
      </c>
      <c r="C93" s="1" t="n">
        <v>45290</v>
      </c>
      <c r="D93" t="inlineStr">
        <is>
          <t>VÄSTERBOTTENS LÄN</t>
        </is>
      </c>
      <c r="E93" t="inlineStr">
        <is>
          <t>BJURHOLM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12172-2019</t>
        </is>
      </c>
      <c r="B94" s="1" t="n">
        <v>43522</v>
      </c>
      <c r="C94" s="1" t="n">
        <v>45290</v>
      </c>
      <c r="D94" t="inlineStr">
        <is>
          <t>VÄSTERBOTTENS LÄN</t>
        </is>
      </c>
      <c r="E94" t="inlineStr">
        <is>
          <t>BJURHOLM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14528-2019</t>
        </is>
      </c>
      <c r="B95" s="1" t="n">
        <v>43537</v>
      </c>
      <c r="C95" s="1" t="n">
        <v>45290</v>
      </c>
      <c r="D95" t="inlineStr">
        <is>
          <t>VÄSTERBOTTENS LÄN</t>
        </is>
      </c>
      <c r="E95" t="inlineStr">
        <is>
          <t>BJURHOLM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17898-2019</t>
        </is>
      </c>
      <c r="B96" s="1" t="n">
        <v>43557</v>
      </c>
      <c r="C96" s="1" t="n">
        <v>45290</v>
      </c>
      <c r="D96" t="inlineStr">
        <is>
          <t>VÄSTERBOTTENS LÄN</t>
        </is>
      </c>
      <c r="E96" t="inlineStr">
        <is>
          <t>BJURHOLM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17891-2019</t>
        </is>
      </c>
      <c r="B97" s="1" t="n">
        <v>43557</v>
      </c>
      <c r="C97" s="1" t="n">
        <v>45290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20103-2019</t>
        </is>
      </c>
      <c r="B98" s="1" t="n">
        <v>43570</v>
      </c>
      <c r="C98" s="1" t="n">
        <v>45290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20842-2019</t>
        </is>
      </c>
      <c r="B99" s="1" t="n">
        <v>43577</v>
      </c>
      <c r="C99" s="1" t="n">
        <v>45290</v>
      </c>
      <c r="D99" t="inlineStr">
        <is>
          <t>VÄSTERBOTTENS LÄN</t>
        </is>
      </c>
      <c r="E99" t="inlineStr">
        <is>
          <t>BJURHOLM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21104-2019</t>
        </is>
      </c>
      <c r="B100" s="1" t="n">
        <v>43578</v>
      </c>
      <c r="C100" s="1" t="n">
        <v>45290</v>
      </c>
      <c r="D100" t="inlineStr">
        <is>
          <t>VÄSTERBOTTENS LÄN</t>
        </is>
      </c>
      <c r="E100" t="inlineStr">
        <is>
          <t>BJURHOLM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21325-2019</t>
        </is>
      </c>
      <c r="B101" s="1" t="n">
        <v>43579</v>
      </c>
      <c r="C101" s="1" t="n">
        <v>45290</v>
      </c>
      <c r="D101" t="inlineStr">
        <is>
          <t>VÄSTERBOTTENS LÄN</t>
        </is>
      </c>
      <c r="E101" t="inlineStr">
        <is>
          <t>BJURHOLM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22370-2019</t>
        </is>
      </c>
      <c r="B102" s="1" t="n">
        <v>43585</v>
      </c>
      <c r="C102" s="1" t="n">
        <v>45290</v>
      </c>
      <c r="D102" t="inlineStr">
        <is>
          <t>VÄSTERBOTTENS LÄN</t>
        </is>
      </c>
      <c r="E102" t="inlineStr">
        <is>
          <t>BJURHOLM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24259-2019</t>
        </is>
      </c>
      <c r="B103" s="1" t="n">
        <v>43597</v>
      </c>
      <c r="C103" s="1" t="n">
        <v>45290</v>
      </c>
      <c r="D103" t="inlineStr">
        <is>
          <t>VÄSTERBOTTENS LÄN</t>
        </is>
      </c>
      <c r="E103" t="inlineStr">
        <is>
          <t>BJURHOLM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25935-2019</t>
        </is>
      </c>
      <c r="B104" s="1" t="n">
        <v>43608</v>
      </c>
      <c r="C104" s="1" t="n">
        <v>45290</v>
      </c>
      <c r="D104" t="inlineStr">
        <is>
          <t>VÄSTERBOTTENS LÄN</t>
        </is>
      </c>
      <c r="E104" t="inlineStr">
        <is>
          <t>BJURHOLM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28945-2019</t>
        </is>
      </c>
      <c r="B105" s="1" t="n">
        <v>43619</v>
      </c>
      <c r="C105" s="1" t="n">
        <v>45290</v>
      </c>
      <c r="D105" t="inlineStr">
        <is>
          <t>VÄSTERBOTTENS LÄN</t>
        </is>
      </c>
      <c r="E105" t="inlineStr">
        <is>
          <t>BJURHOLM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28946-2019</t>
        </is>
      </c>
      <c r="B106" s="1" t="n">
        <v>43619</v>
      </c>
      <c r="C106" s="1" t="n">
        <v>45290</v>
      </c>
      <c r="D106" t="inlineStr">
        <is>
          <t>VÄSTERBOTTENS LÄN</t>
        </is>
      </c>
      <c r="E106" t="inlineStr">
        <is>
          <t>BJURHOLM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28941-2019</t>
        </is>
      </c>
      <c r="B107" s="1" t="n">
        <v>43619</v>
      </c>
      <c r="C107" s="1" t="n">
        <v>45290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29348-2019</t>
        </is>
      </c>
      <c r="B108" s="1" t="n">
        <v>43626</v>
      </c>
      <c r="C108" s="1" t="n">
        <v>45290</v>
      </c>
      <c r="D108" t="inlineStr">
        <is>
          <t>VÄSTERBOTTENS LÄN</t>
        </is>
      </c>
      <c r="E108" t="inlineStr">
        <is>
          <t>BJURHOLM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29657-2019</t>
        </is>
      </c>
      <c r="B109" s="1" t="n">
        <v>43628</v>
      </c>
      <c r="C109" s="1" t="n">
        <v>45290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30354-2019</t>
        </is>
      </c>
      <c r="B110" s="1" t="n">
        <v>43634</v>
      </c>
      <c r="C110" s="1" t="n">
        <v>45290</v>
      </c>
      <c r="D110" t="inlineStr">
        <is>
          <t>VÄSTERBOTTENS LÄN</t>
        </is>
      </c>
      <c r="E110" t="inlineStr">
        <is>
          <t>BJURHOLM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30882-2019</t>
        </is>
      </c>
      <c r="B111" s="1" t="n">
        <v>43636</v>
      </c>
      <c r="C111" s="1" t="n">
        <v>45290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38007-2019</t>
        </is>
      </c>
      <c r="B112" s="1" t="n">
        <v>43683</v>
      </c>
      <c r="C112" s="1" t="n">
        <v>45290</v>
      </c>
      <c r="D112" t="inlineStr">
        <is>
          <t>VÄSTERBOTTENS LÄN</t>
        </is>
      </c>
      <c r="E112" t="inlineStr">
        <is>
          <t>BJURHOLM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38011-2019</t>
        </is>
      </c>
      <c r="B113" s="1" t="n">
        <v>43683</v>
      </c>
      <c r="C113" s="1" t="n">
        <v>45290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38018-2019</t>
        </is>
      </c>
      <c r="B114" s="1" t="n">
        <v>43683</v>
      </c>
      <c r="C114" s="1" t="n">
        <v>45290</v>
      </c>
      <c r="D114" t="inlineStr">
        <is>
          <t>VÄSTERBOTTENS LÄN</t>
        </is>
      </c>
      <c r="E114" t="inlineStr">
        <is>
          <t>BJURHOLM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38022-2019</t>
        </is>
      </c>
      <c r="B115" s="1" t="n">
        <v>43683</v>
      </c>
      <c r="C115" s="1" t="n">
        <v>45290</v>
      </c>
      <c r="D115" t="inlineStr">
        <is>
          <t>VÄSTERBOTTENS LÄN</t>
        </is>
      </c>
      <c r="E115" t="inlineStr">
        <is>
          <t>BJURHOLM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40932-2019</t>
        </is>
      </c>
      <c r="B116" s="1" t="n">
        <v>43693</v>
      </c>
      <c r="C116" s="1" t="n">
        <v>45290</v>
      </c>
      <c r="D116" t="inlineStr">
        <is>
          <t>VÄSTERBOTTENS LÄN</t>
        </is>
      </c>
      <c r="E116" t="inlineStr">
        <is>
          <t>BJURHOLM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41080-2019</t>
        </is>
      </c>
      <c r="B117" s="1" t="n">
        <v>43698</v>
      </c>
      <c r="C117" s="1" t="n">
        <v>45290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41287-2019</t>
        </is>
      </c>
      <c r="B118" s="1" t="n">
        <v>43698</v>
      </c>
      <c r="C118" s="1" t="n">
        <v>45290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42482-2019</t>
        </is>
      </c>
      <c r="B119" s="1" t="n">
        <v>43703</v>
      </c>
      <c r="C119" s="1" t="n">
        <v>45290</v>
      </c>
      <c r="D119" t="inlineStr">
        <is>
          <t>VÄSTERBOTTENS LÄN</t>
        </is>
      </c>
      <c r="E119" t="inlineStr">
        <is>
          <t>BJURHOLM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45134-2019</t>
        </is>
      </c>
      <c r="B120" s="1" t="n">
        <v>43713</v>
      </c>
      <c r="C120" s="1" t="n">
        <v>45290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48427-2019</t>
        </is>
      </c>
      <c r="B121" s="1" t="n">
        <v>43727</v>
      </c>
      <c r="C121" s="1" t="n">
        <v>45290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48513-2019</t>
        </is>
      </c>
      <c r="B122" s="1" t="n">
        <v>43727</v>
      </c>
      <c r="C122" s="1" t="n">
        <v>45290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Holmen skog AB</t>
        </is>
      </c>
      <c r="G122" t="n">
        <v>17.3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48853-2019</t>
        </is>
      </c>
      <c r="B123" s="1" t="n">
        <v>43728</v>
      </c>
      <c r="C123" s="1" t="n">
        <v>45290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Sveaskog</t>
        </is>
      </c>
      <c r="G123" t="n">
        <v>32.9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50124-2019</t>
        </is>
      </c>
      <c r="B124" s="1" t="n">
        <v>43734</v>
      </c>
      <c r="C124" s="1" t="n">
        <v>45290</v>
      </c>
      <c r="D124" t="inlineStr">
        <is>
          <t>VÄSTERBOTTENS LÄN</t>
        </is>
      </c>
      <c r="E124" t="inlineStr">
        <is>
          <t>BJURHOLM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53154-2019</t>
        </is>
      </c>
      <c r="B125" s="1" t="n">
        <v>43747</v>
      </c>
      <c r="C125" s="1" t="n">
        <v>45290</v>
      </c>
      <c r="D125" t="inlineStr">
        <is>
          <t>VÄSTERBOTTENS LÄN</t>
        </is>
      </c>
      <c r="E125" t="inlineStr">
        <is>
          <t>BJURHOLM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53378-2019</t>
        </is>
      </c>
      <c r="B126" s="1" t="n">
        <v>43748</v>
      </c>
      <c r="C126" s="1" t="n">
        <v>45290</v>
      </c>
      <c r="D126" t="inlineStr">
        <is>
          <t>VÄSTERBOTTENS LÄN</t>
        </is>
      </c>
      <c r="E126" t="inlineStr">
        <is>
          <t>BJURHOLM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53828-2019</t>
        </is>
      </c>
      <c r="B127" s="1" t="n">
        <v>43752</v>
      </c>
      <c r="C127" s="1" t="n">
        <v>45290</v>
      </c>
      <c r="D127" t="inlineStr">
        <is>
          <t>VÄSTERBOTTENS LÄN</t>
        </is>
      </c>
      <c r="E127" t="inlineStr">
        <is>
          <t>BJURHOLM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60023-2019</t>
        </is>
      </c>
      <c r="B128" s="1" t="n">
        <v>43777</v>
      </c>
      <c r="C128" s="1" t="n">
        <v>45290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61413-2019</t>
        </is>
      </c>
      <c r="B129" s="1" t="n">
        <v>43780</v>
      </c>
      <c r="C129" s="1" t="n">
        <v>45290</v>
      </c>
      <c r="D129" t="inlineStr">
        <is>
          <t>VÄSTERBOTTENS LÄN</t>
        </is>
      </c>
      <c r="E129" t="inlineStr">
        <is>
          <t>BJURHOLM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62097-2019</t>
        </is>
      </c>
      <c r="B130" s="1" t="n">
        <v>43787</v>
      </c>
      <c r="C130" s="1" t="n">
        <v>45290</v>
      </c>
      <c r="D130" t="inlineStr">
        <is>
          <t>VÄSTERBOTTENS LÄN</t>
        </is>
      </c>
      <c r="E130" t="inlineStr">
        <is>
          <t>BJURHOLM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64146-2019</t>
        </is>
      </c>
      <c r="B131" s="1" t="n">
        <v>43796</v>
      </c>
      <c r="C131" s="1" t="n">
        <v>45290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SCA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64156-2019</t>
        </is>
      </c>
      <c r="B132" s="1" t="n">
        <v>43796</v>
      </c>
      <c r="C132" s="1" t="n">
        <v>45290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64930-2019</t>
        </is>
      </c>
      <c r="B133" s="1" t="n">
        <v>43801</v>
      </c>
      <c r="C133" s="1" t="n">
        <v>45290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67964-2019</t>
        </is>
      </c>
      <c r="B134" s="1" t="n">
        <v>43811</v>
      </c>
      <c r="C134" s="1" t="n">
        <v>45290</v>
      </c>
      <c r="D134" t="inlineStr">
        <is>
          <t>VÄSTERBOTTENS LÄN</t>
        </is>
      </c>
      <c r="E134" t="inlineStr">
        <is>
          <t>BJURHOLM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830-2020</t>
        </is>
      </c>
      <c r="B135" s="1" t="n">
        <v>43839</v>
      </c>
      <c r="C135" s="1" t="n">
        <v>45290</v>
      </c>
      <c r="D135" t="inlineStr">
        <is>
          <t>VÄSTERBOTTENS LÄN</t>
        </is>
      </c>
      <c r="E135" t="inlineStr">
        <is>
          <t>BJURHOLM</t>
        </is>
      </c>
      <c r="G135" t="n">
        <v>12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3076-2020</t>
        </is>
      </c>
      <c r="B136" s="1" t="n">
        <v>43851</v>
      </c>
      <c r="C136" s="1" t="n">
        <v>45290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3924-2020</t>
        </is>
      </c>
      <c r="B137" s="1" t="n">
        <v>43854</v>
      </c>
      <c r="C137" s="1" t="n">
        <v>45290</v>
      </c>
      <c r="D137" t="inlineStr">
        <is>
          <t>VÄSTERBOTTENS LÄN</t>
        </is>
      </c>
      <c r="E137" t="inlineStr">
        <is>
          <t>BJURHOLM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8128-2020</t>
        </is>
      </c>
      <c r="B138" s="1" t="n">
        <v>43873</v>
      </c>
      <c r="C138" s="1" t="n">
        <v>45290</v>
      </c>
      <c r="D138" t="inlineStr">
        <is>
          <t>VÄSTERBOTTENS LÄN</t>
        </is>
      </c>
      <c r="E138" t="inlineStr">
        <is>
          <t>BJURHOLM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8867-2020</t>
        </is>
      </c>
      <c r="B139" s="1" t="n">
        <v>43878</v>
      </c>
      <c r="C139" s="1" t="n">
        <v>45290</v>
      </c>
      <c r="D139" t="inlineStr">
        <is>
          <t>VÄSTERBOTTENS LÄN</t>
        </is>
      </c>
      <c r="E139" t="inlineStr">
        <is>
          <t>BJURHOLM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9266-2020</t>
        </is>
      </c>
      <c r="B140" s="1" t="n">
        <v>43879</v>
      </c>
      <c r="C140" s="1" t="n">
        <v>45290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9265-2020</t>
        </is>
      </c>
      <c r="B141" s="1" t="n">
        <v>43879</v>
      </c>
      <c r="C141" s="1" t="n">
        <v>45290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10388-2020</t>
        </is>
      </c>
      <c r="B142" s="1" t="n">
        <v>43885</v>
      </c>
      <c r="C142" s="1" t="n">
        <v>45290</v>
      </c>
      <c r="D142" t="inlineStr">
        <is>
          <t>VÄSTERBOTTENS LÄN</t>
        </is>
      </c>
      <c r="E142" t="inlineStr">
        <is>
          <t>BJURHOLM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13110-2020</t>
        </is>
      </c>
      <c r="B143" s="1" t="n">
        <v>43901</v>
      </c>
      <c r="C143" s="1" t="n">
        <v>45290</v>
      </c>
      <c r="D143" t="inlineStr">
        <is>
          <t>VÄSTERBOTTENS LÄN</t>
        </is>
      </c>
      <c r="E143" t="inlineStr">
        <is>
          <t>BJURHOLM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14672-2020</t>
        </is>
      </c>
      <c r="B144" s="1" t="n">
        <v>43909</v>
      </c>
      <c r="C144" s="1" t="n">
        <v>45290</v>
      </c>
      <c r="D144" t="inlineStr">
        <is>
          <t>VÄSTERBOTTENS LÄN</t>
        </is>
      </c>
      <c r="E144" t="inlineStr">
        <is>
          <t>BJURHOLM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16193-2020</t>
        </is>
      </c>
      <c r="B145" s="1" t="n">
        <v>43917</v>
      </c>
      <c r="C145" s="1" t="n">
        <v>45290</v>
      </c>
      <c r="D145" t="inlineStr">
        <is>
          <t>VÄSTERBOTTENS LÄN</t>
        </is>
      </c>
      <c r="E145" t="inlineStr">
        <is>
          <t>BJURHOLM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16811-2020</t>
        </is>
      </c>
      <c r="B146" s="1" t="n">
        <v>43920</v>
      </c>
      <c r="C146" s="1" t="n">
        <v>45290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18647-2020</t>
        </is>
      </c>
      <c r="B147" s="1" t="n">
        <v>43929</v>
      </c>
      <c r="C147" s="1" t="n">
        <v>45290</v>
      </c>
      <c r="D147" t="inlineStr">
        <is>
          <t>VÄSTERBOTTENS LÄN</t>
        </is>
      </c>
      <c r="E147" t="inlineStr">
        <is>
          <t>BJURHOLM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19652-2020</t>
        </is>
      </c>
      <c r="B148" s="1" t="n">
        <v>43937</v>
      </c>
      <c r="C148" s="1" t="n">
        <v>45290</v>
      </c>
      <c r="D148" t="inlineStr">
        <is>
          <t>VÄSTERBOTTENS LÄN</t>
        </is>
      </c>
      <c r="E148" t="inlineStr">
        <is>
          <t>BJURHOLM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20403-2020</t>
        </is>
      </c>
      <c r="B149" s="1" t="n">
        <v>43945</v>
      </c>
      <c r="C149" s="1" t="n">
        <v>45290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20851-2020</t>
        </is>
      </c>
      <c r="B150" s="1" t="n">
        <v>43948</v>
      </c>
      <c r="C150" s="1" t="n">
        <v>45290</v>
      </c>
      <c r="D150" t="inlineStr">
        <is>
          <t>VÄSTERBOTTENS LÄN</t>
        </is>
      </c>
      <c r="E150" t="inlineStr">
        <is>
          <t>BJURHOLM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25244-2020</t>
        </is>
      </c>
      <c r="B151" s="1" t="n">
        <v>43980</v>
      </c>
      <c r="C151" s="1" t="n">
        <v>45290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25883-2020</t>
        </is>
      </c>
      <c r="B152" s="1" t="n">
        <v>43984</v>
      </c>
      <c r="C152" s="1" t="n">
        <v>45290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26566-2020</t>
        </is>
      </c>
      <c r="B153" s="1" t="n">
        <v>43987</v>
      </c>
      <c r="C153" s="1" t="n">
        <v>45290</v>
      </c>
      <c r="D153" t="inlineStr">
        <is>
          <t>VÄSTERBOTTENS LÄN</t>
        </is>
      </c>
      <c r="E153" t="inlineStr">
        <is>
          <t>BJURHOLM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26758-2020</t>
        </is>
      </c>
      <c r="B154" s="1" t="n">
        <v>43990</v>
      </c>
      <c r="C154" s="1" t="n">
        <v>45290</v>
      </c>
      <c r="D154" t="inlineStr">
        <is>
          <t>VÄSTERBOTTENS LÄN</t>
        </is>
      </c>
      <c r="E154" t="inlineStr">
        <is>
          <t>BJURHOLM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27824-2020</t>
        </is>
      </c>
      <c r="B155" s="1" t="n">
        <v>43994</v>
      </c>
      <c r="C155" s="1" t="n">
        <v>45290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29132-2020</t>
        </is>
      </c>
      <c r="B156" s="1" t="n">
        <v>44004</v>
      </c>
      <c r="C156" s="1" t="n">
        <v>45290</v>
      </c>
      <c r="D156" t="inlineStr">
        <is>
          <t>VÄSTERBOTTENS LÄN</t>
        </is>
      </c>
      <c r="E156" t="inlineStr">
        <is>
          <t>BJURHOLM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29817-2020</t>
        </is>
      </c>
      <c r="B157" s="1" t="n">
        <v>44005</v>
      </c>
      <c r="C157" s="1" t="n">
        <v>45290</v>
      </c>
      <c r="D157" t="inlineStr">
        <is>
          <t>VÄSTERBOTTENS LÄN</t>
        </is>
      </c>
      <c r="E157" t="inlineStr">
        <is>
          <t>BJURHOLM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29846-2020</t>
        </is>
      </c>
      <c r="B158" s="1" t="n">
        <v>44006</v>
      </c>
      <c r="C158" s="1" t="n">
        <v>45290</v>
      </c>
      <c r="D158" t="inlineStr">
        <is>
          <t>VÄSTERBOTTENS LÄN</t>
        </is>
      </c>
      <c r="E158" t="inlineStr">
        <is>
          <t>BJURHOLM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30418-2020</t>
        </is>
      </c>
      <c r="B159" s="1" t="n">
        <v>44007</v>
      </c>
      <c r="C159" s="1" t="n">
        <v>45290</v>
      </c>
      <c r="D159" t="inlineStr">
        <is>
          <t>VÄSTERBOTTENS LÄN</t>
        </is>
      </c>
      <c r="E159" t="inlineStr">
        <is>
          <t>BJURHOLM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30251-2020</t>
        </is>
      </c>
      <c r="B160" s="1" t="n">
        <v>44007</v>
      </c>
      <c r="C160" s="1" t="n">
        <v>45290</v>
      </c>
      <c r="D160" t="inlineStr">
        <is>
          <t>VÄSTERBOTTENS LÄN</t>
        </is>
      </c>
      <c r="E160" t="inlineStr">
        <is>
          <t>BJURHOLM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33729-2020</t>
        </is>
      </c>
      <c r="B161" s="1" t="n">
        <v>44026</v>
      </c>
      <c r="C161" s="1" t="n">
        <v>45290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37337-2020</t>
        </is>
      </c>
      <c r="B162" s="1" t="n">
        <v>44055</v>
      </c>
      <c r="C162" s="1" t="n">
        <v>45290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40002-2020</t>
        </is>
      </c>
      <c r="B163" s="1" t="n">
        <v>44067</v>
      </c>
      <c r="C163" s="1" t="n">
        <v>45290</v>
      </c>
      <c r="D163" t="inlineStr">
        <is>
          <t>VÄSTERBOTTENS LÄN</t>
        </is>
      </c>
      <c r="E163" t="inlineStr">
        <is>
          <t>BJURHOLM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43068-2020</t>
        </is>
      </c>
      <c r="B164" s="1" t="n">
        <v>44078</v>
      </c>
      <c r="C164" s="1" t="n">
        <v>45290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SCA</t>
        </is>
      </c>
      <c r="G164" t="n">
        <v>17.1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43992-2020</t>
        </is>
      </c>
      <c r="B165" s="1" t="n">
        <v>44081</v>
      </c>
      <c r="C165" s="1" t="n">
        <v>45290</v>
      </c>
      <c r="D165" t="inlineStr">
        <is>
          <t>VÄSTERBOTTENS LÄN</t>
        </is>
      </c>
      <c r="E165" t="inlineStr">
        <is>
          <t>BJURHOLM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43845-2020</t>
        </is>
      </c>
      <c r="B166" s="1" t="n">
        <v>44082</v>
      </c>
      <c r="C166" s="1" t="n">
        <v>45290</v>
      </c>
      <c r="D166" t="inlineStr">
        <is>
          <t>VÄSTERBOTTENS LÄN</t>
        </is>
      </c>
      <c r="E166" t="inlineStr">
        <is>
          <t>BJURHOLM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44791-2020</t>
        </is>
      </c>
      <c r="B167" s="1" t="n">
        <v>44085</v>
      </c>
      <c r="C167" s="1" t="n">
        <v>45290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48481-2020</t>
        </is>
      </c>
      <c r="B168" s="1" t="n">
        <v>44102</v>
      </c>
      <c r="C168" s="1" t="n">
        <v>45290</v>
      </c>
      <c r="D168" t="inlineStr">
        <is>
          <t>VÄSTERBOTTENS LÄN</t>
        </is>
      </c>
      <c r="E168" t="inlineStr">
        <is>
          <t>BJURHOLM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54045-2020</t>
        </is>
      </c>
      <c r="B169" s="1" t="n">
        <v>44123</v>
      </c>
      <c r="C169" s="1" t="n">
        <v>45290</v>
      </c>
      <c r="D169" t="inlineStr">
        <is>
          <t>VÄSTERBOTTENS LÄN</t>
        </is>
      </c>
      <c r="E169" t="inlineStr">
        <is>
          <t>BJURHOLM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60117-2020</t>
        </is>
      </c>
      <c r="B170" s="1" t="n">
        <v>44152</v>
      </c>
      <c r="C170" s="1" t="n">
        <v>45290</v>
      </c>
      <c r="D170" t="inlineStr">
        <is>
          <t>VÄSTERBOTTENS LÄN</t>
        </is>
      </c>
      <c r="E170" t="inlineStr">
        <is>
          <t>BJURHOLM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60114-2020</t>
        </is>
      </c>
      <c r="B171" s="1" t="n">
        <v>44152</v>
      </c>
      <c r="C171" s="1" t="n">
        <v>45290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60111-2020</t>
        </is>
      </c>
      <c r="B172" s="1" t="n">
        <v>44152</v>
      </c>
      <c r="C172" s="1" t="n">
        <v>45290</v>
      </c>
      <c r="D172" t="inlineStr">
        <is>
          <t>VÄSTERBOTTENS LÄN</t>
        </is>
      </c>
      <c r="E172" t="inlineStr">
        <is>
          <t>BJURHOLM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61585-2020</t>
        </is>
      </c>
      <c r="B173" s="1" t="n">
        <v>44154</v>
      </c>
      <c r="C173" s="1" t="n">
        <v>45290</v>
      </c>
      <c r="D173" t="inlineStr">
        <is>
          <t>VÄSTERBOTTENS LÄN</t>
        </is>
      </c>
      <c r="E173" t="inlineStr">
        <is>
          <t>BJURHOLM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61412-2020</t>
        </is>
      </c>
      <c r="B174" s="1" t="n">
        <v>44156</v>
      </c>
      <c r="C174" s="1" t="n">
        <v>45290</v>
      </c>
      <c r="D174" t="inlineStr">
        <is>
          <t>VÄSTERBOTTENS LÄN</t>
        </is>
      </c>
      <c r="E174" t="inlineStr">
        <is>
          <t>BJURHOLM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64537-2020</t>
        </is>
      </c>
      <c r="B175" s="1" t="n">
        <v>44167</v>
      </c>
      <c r="C175" s="1" t="n">
        <v>45290</v>
      </c>
      <c r="D175" t="inlineStr">
        <is>
          <t>VÄSTERBOTTENS LÄN</t>
        </is>
      </c>
      <c r="E175" t="inlineStr">
        <is>
          <t>BJURHOLM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65799-2020</t>
        </is>
      </c>
      <c r="B176" s="1" t="n">
        <v>44172</v>
      </c>
      <c r="C176" s="1" t="n">
        <v>45290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67663-2020</t>
        </is>
      </c>
      <c r="B177" s="1" t="n">
        <v>44180</v>
      </c>
      <c r="C177" s="1" t="n">
        <v>45290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67684-2020</t>
        </is>
      </c>
      <c r="B178" s="1" t="n">
        <v>44182</v>
      </c>
      <c r="C178" s="1" t="n">
        <v>45290</v>
      </c>
      <c r="D178" t="inlineStr">
        <is>
          <t>VÄSTERBOTTENS LÄN</t>
        </is>
      </c>
      <c r="E178" t="inlineStr">
        <is>
          <t>BJURHOLM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69008-2020</t>
        </is>
      </c>
      <c r="B179" s="1" t="n">
        <v>44187</v>
      </c>
      <c r="C179" s="1" t="n">
        <v>45290</v>
      </c>
      <c r="D179" t="inlineStr">
        <is>
          <t>VÄSTERBOTTENS LÄN</t>
        </is>
      </c>
      <c r="E179" t="inlineStr">
        <is>
          <t>BJURHOLM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6323-2021</t>
        </is>
      </c>
      <c r="B180" s="1" t="n">
        <v>44235</v>
      </c>
      <c r="C180" s="1" t="n">
        <v>45290</v>
      </c>
      <c r="D180" t="inlineStr">
        <is>
          <t>VÄSTERBOTTENS LÄN</t>
        </is>
      </c>
      <c r="E180" t="inlineStr">
        <is>
          <t>BJURHOLM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14540-2021</t>
        </is>
      </c>
      <c r="B181" s="1" t="n">
        <v>44279</v>
      </c>
      <c r="C181" s="1" t="n">
        <v>45290</v>
      </c>
      <c r="D181" t="inlineStr">
        <is>
          <t>VÄSTERBOTTENS LÄN</t>
        </is>
      </c>
      <c r="E181" t="inlineStr">
        <is>
          <t>BJURHOLM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17850-2021</t>
        </is>
      </c>
      <c r="B182" s="1" t="n">
        <v>44301</v>
      </c>
      <c r="C182" s="1" t="n">
        <v>45290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19688-2021</t>
        </is>
      </c>
      <c r="B183" s="1" t="n">
        <v>44312</v>
      </c>
      <c r="C183" s="1" t="n">
        <v>45290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20081-2021</t>
        </is>
      </c>
      <c r="B184" s="1" t="n">
        <v>44313</v>
      </c>
      <c r="C184" s="1" t="n">
        <v>45290</v>
      </c>
      <c r="D184" t="inlineStr">
        <is>
          <t>VÄSTERBOTTENS LÄN</t>
        </is>
      </c>
      <c r="E184" t="inlineStr">
        <is>
          <t>BJURHOLM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32035-2021</t>
        </is>
      </c>
      <c r="B185" s="1" t="n">
        <v>44370</v>
      </c>
      <c r="C185" s="1" t="n">
        <v>45290</v>
      </c>
      <c r="D185" t="inlineStr">
        <is>
          <t>VÄSTERBOTTENS LÄN</t>
        </is>
      </c>
      <c r="E185" t="inlineStr">
        <is>
          <t>BJURHOLM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32081-2021</t>
        </is>
      </c>
      <c r="B186" s="1" t="n">
        <v>44370</v>
      </c>
      <c r="C186" s="1" t="n">
        <v>45290</v>
      </c>
      <c r="D186" t="inlineStr">
        <is>
          <t>VÄSTERBOTTENS LÄN</t>
        </is>
      </c>
      <c r="E186" t="inlineStr">
        <is>
          <t>BJURHOLM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32934-2021</t>
        </is>
      </c>
      <c r="B187" s="1" t="n">
        <v>44375</v>
      </c>
      <c r="C187" s="1" t="n">
        <v>45290</v>
      </c>
      <c r="D187" t="inlineStr">
        <is>
          <t>VÄSTERBOTTENS LÄN</t>
        </is>
      </c>
      <c r="E187" t="inlineStr">
        <is>
          <t>BJURHOLM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35848-2021</t>
        </is>
      </c>
      <c r="B188" s="1" t="n">
        <v>44386</v>
      </c>
      <c r="C188" s="1" t="n">
        <v>45290</v>
      </c>
      <c r="D188" t="inlineStr">
        <is>
          <t>VÄSTERBOTTENS LÄN</t>
        </is>
      </c>
      <c r="E188" t="inlineStr">
        <is>
          <t>BJURHOLM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37328-2021</t>
        </is>
      </c>
      <c r="B189" s="1" t="n">
        <v>44397</v>
      </c>
      <c r="C189" s="1" t="n">
        <v>45290</v>
      </c>
      <c r="D189" t="inlineStr">
        <is>
          <t>VÄSTERBOTTENS LÄN</t>
        </is>
      </c>
      <c r="E189" t="inlineStr">
        <is>
          <t>BJURHOLM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37332-2021</t>
        </is>
      </c>
      <c r="B190" s="1" t="n">
        <v>44397</v>
      </c>
      <c r="C190" s="1" t="n">
        <v>45290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39431-2021</t>
        </is>
      </c>
      <c r="B191" s="1" t="n">
        <v>44414</v>
      </c>
      <c r="C191" s="1" t="n">
        <v>45290</v>
      </c>
      <c r="D191" t="inlineStr">
        <is>
          <t>VÄSTERBOTTENS LÄN</t>
        </is>
      </c>
      <c r="E191" t="inlineStr">
        <is>
          <t>BJURHOLM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41503-2021</t>
        </is>
      </c>
      <c r="B192" s="1" t="n">
        <v>44424</v>
      </c>
      <c r="C192" s="1" t="n">
        <v>45290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41505-2021</t>
        </is>
      </c>
      <c r="B193" s="1" t="n">
        <v>44425</v>
      </c>
      <c r="C193" s="1" t="n">
        <v>45290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45553-2021</t>
        </is>
      </c>
      <c r="B194" s="1" t="n">
        <v>44440</v>
      </c>
      <c r="C194" s="1" t="n">
        <v>45290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45844-2021</t>
        </is>
      </c>
      <c r="B195" s="1" t="n">
        <v>44441</v>
      </c>
      <c r="C195" s="1" t="n">
        <v>45290</v>
      </c>
      <c r="D195" t="inlineStr">
        <is>
          <t>VÄSTERBOTTENS LÄN</t>
        </is>
      </c>
      <c r="E195" t="inlineStr">
        <is>
          <t>BJURHOLM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46462-2021</t>
        </is>
      </c>
      <c r="B196" s="1" t="n">
        <v>44442</v>
      </c>
      <c r="C196" s="1" t="n">
        <v>45290</v>
      </c>
      <c r="D196" t="inlineStr">
        <is>
          <t>VÄSTERBOTTENS LÄN</t>
        </is>
      </c>
      <c r="E196" t="inlineStr">
        <is>
          <t>BJURHOLM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48258-2021</t>
        </is>
      </c>
      <c r="B197" s="1" t="n">
        <v>44449</v>
      </c>
      <c r="C197" s="1" t="n">
        <v>45290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51368-2021</t>
        </is>
      </c>
      <c r="B198" s="1" t="n">
        <v>44461</v>
      </c>
      <c r="C198" s="1" t="n">
        <v>45290</v>
      </c>
      <c r="D198" t="inlineStr">
        <is>
          <t>VÄSTERBOTTENS LÄN</t>
        </is>
      </c>
      <c r="E198" t="inlineStr">
        <is>
          <t>BJURHOLM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51361-2021</t>
        </is>
      </c>
      <c r="B199" s="1" t="n">
        <v>44461</v>
      </c>
      <c r="C199" s="1" t="n">
        <v>45290</v>
      </c>
      <c r="D199" t="inlineStr">
        <is>
          <t>VÄSTERBOTTENS LÄN</t>
        </is>
      </c>
      <c r="E199" t="inlineStr">
        <is>
          <t>BJURHOLM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51406-2021</t>
        </is>
      </c>
      <c r="B200" s="1" t="n">
        <v>44461</v>
      </c>
      <c r="C200" s="1" t="n">
        <v>45290</v>
      </c>
      <c r="D200" t="inlineStr">
        <is>
          <t>VÄSTERBOTTENS LÄN</t>
        </is>
      </c>
      <c r="E200" t="inlineStr">
        <is>
          <t>BJURHOLM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51723-2021</t>
        </is>
      </c>
      <c r="B201" s="1" t="n">
        <v>44462</v>
      </c>
      <c r="C201" s="1" t="n">
        <v>45290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Sveaskog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45290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45290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45290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45290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45290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45290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45290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45290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45290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45290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45290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45290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45290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45290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45290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45290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45290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45290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45290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45290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45290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45290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45290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45290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45290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45290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45290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45290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45290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45290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45290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45290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45290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45290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45290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45290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45290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45290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45290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45290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45290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45290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45290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45290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45290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45290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45290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45290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45290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45290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45290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45290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45290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45290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45290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45290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45290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45290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45290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45290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45290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45290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45290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45290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45290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45290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45290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45290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45290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45290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45290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45290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45290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45290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45290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45290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45290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45290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45290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45290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45290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45290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45290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45290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45290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45290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45290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45290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45290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45290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45290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45290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45290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45290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45290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45290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45290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45290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45290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45290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45290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45290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45290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45290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45290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45290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45290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45290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45290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45290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45290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45290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45290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45290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45290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45290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45290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45290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45290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45290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45290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45290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45290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45290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45290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45290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45290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45290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45290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45290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45290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45290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45290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45290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45290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45290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45290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45290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45290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45290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45290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45290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45290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45290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45290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45290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45290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45290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45290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45290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45290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45290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45290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45290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45290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45290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45290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45290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45290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45290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45290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45290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45290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45290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45290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45290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45290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45290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45290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45290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45290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45290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45290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45290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45290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45290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45290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45290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45290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45290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45290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45290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45290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45290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45290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45290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45290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45290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45290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45290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45290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45290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45290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45290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45290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45290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45290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45290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45290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45290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45290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45290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45290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45290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45290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45290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45290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45290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45290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45290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45290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45290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45290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45290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45290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45290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45290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45290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45290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45290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45290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45290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45290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45290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45290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45290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45290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45290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45290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45290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45290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45290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45290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45290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45290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45290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45290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45290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45290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45290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45290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45290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45290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45290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45290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45290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45290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45290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45290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45290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45290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45290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45290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45290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45290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45290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45290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45290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45290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45290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45290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45290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45290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45290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45290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45290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45290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45290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45290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45290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45290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45290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45290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45290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45290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45290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45290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45290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45290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45290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45290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45290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45290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45290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45290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45290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45290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45290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45290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45290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45290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45290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45290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45290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45290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45290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45290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45290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45290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45290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45290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45290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45290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45290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45290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45290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45290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45290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45290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45290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45290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45290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45290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45290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45290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45290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45290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45290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45290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45290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45290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45290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45290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45290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45290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45290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45290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45290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45290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45290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45290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45290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45290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45290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45290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45290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45290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45290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45290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45290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45290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45290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45290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45290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45290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45290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45290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45290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45290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45290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45290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45290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45290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45290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45290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45290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45290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45290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45290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45290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64503-2023</t>
        </is>
      </c>
      <c r="B562" s="1" t="n">
        <v>45280</v>
      </c>
      <c r="C562" s="1" t="n">
        <v>45290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64500-2023</t>
        </is>
      </c>
      <c r="B563" s="1" t="n">
        <v>45280</v>
      </c>
      <c r="C563" s="1" t="n">
        <v>45290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65203-2023</t>
        </is>
      </c>
      <c r="B564" s="1" t="n">
        <v>45289</v>
      </c>
      <c r="C564" s="1" t="n">
        <v>45290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2023-12-30T10:26:58Z</dcterms:created>
  <dcterms:modified xmlns:dcterms="http://purl.org/dc/terms/" xmlns:xsi="http://www.w3.org/2001/XMLSchema-instance" xsi:type="dcterms:W3CDTF">2023-12-30T10:26:58Z</dcterms:modified>
</cp:coreProperties>
</file>