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45915</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45915</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45915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45915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45915</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45915</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45915</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45915</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45915</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45915</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45915</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45915</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45915</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45915</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45915</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45915</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45915</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18046-2025</t>
        </is>
      </c>
      <c r="B26" s="1" t="n">
        <v>45761.4652199074</v>
      </c>
      <c r="C26" s="1" t="n">
        <v>45915</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18951-2023</t>
        </is>
      </c>
      <c r="B27" s="1" t="n">
        <v>45043</v>
      </c>
      <c r="C27" s="1" t="n">
        <v>45915</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38585-2025</t>
        </is>
      </c>
      <c r="B28" s="1" t="n">
        <v>45884.47008101852</v>
      </c>
      <c r="C28" s="1" t="n">
        <v>45915</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45915</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45915</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45915</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45915</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61585-2020</t>
        </is>
      </c>
      <c r="B33" s="1" t="n">
        <v>44154</v>
      </c>
      <c r="C33" s="1" t="n">
        <v>45915</v>
      </c>
      <c r="D33" t="inlineStr">
        <is>
          <t>VÄSTERBOTTENS LÄN</t>
        </is>
      </c>
      <c r="E33" t="inlineStr">
        <is>
          <t>BJURHOLM</t>
        </is>
      </c>
      <c r="G33" t="n">
        <v>1.1</v>
      </c>
      <c r="H33" t="n">
        <v>2</v>
      </c>
      <c r="I33" t="n">
        <v>0</v>
      </c>
      <c r="J33" t="n">
        <v>1</v>
      </c>
      <c r="K33" t="n">
        <v>0</v>
      </c>
      <c r="L33" t="n">
        <v>0</v>
      </c>
      <c r="M33" t="n">
        <v>0</v>
      </c>
      <c r="N33" t="n">
        <v>0</v>
      </c>
      <c r="O33" t="n">
        <v>1</v>
      </c>
      <c r="P33" t="n">
        <v>0</v>
      </c>
      <c r="Q33" t="n">
        <v>2</v>
      </c>
      <c r="R33" s="2" t="inlineStr">
        <is>
          <t>Nordfladdermus
Vattenfladdermus</t>
        </is>
      </c>
      <c r="S33">
        <f>HYPERLINK("https://klasma.github.io/Logging_2403/artfynd/A 61585-2020 artfynd.xlsx", "A 61585-2020")</f>
        <v/>
      </c>
      <c r="T33">
        <f>HYPERLINK("https://klasma.github.io/Logging_2403/kartor/A 61585-2020 karta.png", "A 61585-2020")</f>
        <v/>
      </c>
      <c r="V33">
        <f>HYPERLINK("https://klasma.github.io/Logging_2403/klagomål/A 61585-2020 FSC-klagomål.docx", "A 61585-2020")</f>
        <v/>
      </c>
      <c r="W33">
        <f>HYPERLINK("https://klasma.github.io/Logging_2403/klagomålsmail/A 61585-2020 FSC-klagomål mail.docx", "A 61585-2020")</f>
        <v/>
      </c>
      <c r="X33">
        <f>HYPERLINK("https://klasma.github.io/Logging_2403/tillsyn/A 61585-2020 tillsynsbegäran.docx", "A 61585-2020")</f>
        <v/>
      </c>
      <c r="Y33">
        <f>HYPERLINK("https://klasma.github.io/Logging_2403/tillsynsmail/A 61585-2020 tillsynsbegäran mail.docx", "A 61585-2020")</f>
        <v/>
      </c>
    </row>
    <row r="34" ht="15" customHeight="1">
      <c r="A34" t="inlineStr">
        <is>
          <t>A 27295-2024</t>
        </is>
      </c>
      <c r="B34" s="1" t="n">
        <v>45471.94290509259</v>
      </c>
      <c r="C34" s="1" t="n">
        <v>45915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45915</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45915</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14088-2021</t>
        </is>
      </c>
      <c r="B37" s="1" t="n">
        <v>44277</v>
      </c>
      <c r="C37" s="1" t="n">
        <v>45915</v>
      </c>
      <c r="D37" t="inlineStr">
        <is>
          <t>VÄSTERBOTTENS LÄN</t>
        </is>
      </c>
      <c r="E37" t="inlineStr">
        <is>
          <t>BJURHOLM</t>
        </is>
      </c>
      <c r="F37" t="inlineStr">
        <is>
          <t>SCA</t>
        </is>
      </c>
      <c r="G37" t="n">
        <v>7.6</v>
      </c>
      <c r="H37" t="n">
        <v>0</v>
      </c>
      <c r="I37" t="n">
        <v>0</v>
      </c>
      <c r="J37" t="n">
        <v>1</v>
      </c>
      <c r="K37" t="n">
        <v>0</v>
      </c>
      <c r="L37" t="n">
        <v>0</v>
      </c>
      <c r="M37" t="n">
        <v>0</v>
      </c>
      <c r="N37" t="n">
        <v>0</v>
      </c>
      <c r="O37" t="n">
        <v>1</v>
      </c>
      <c r="P37" t="n">
        <v>0</v>
      </c>
      <c r="Q37" t="n">
        <v>1</v>
      </c>
      <c r="R37" s="2" t="inlineStr">
        <is>
          <t>Lunglav</t>
        </is>
      </c>
      <c r="S37">
        <f>HYPERLINK("https://klasma.github.io/Logging_2403/artfynd/A 14088-2021 artfynd.xlsx", "A 14088-2021")</f>
        <v/>
      </c>
      <c r="T37">
        <f>HYPERLINK("https://klasma.github.io/Logging_2403/kartor/A 14088-2021 karta.png", "A 14088-2021")</f>
        <v/>
      </c>
      <c r="V37">
        <f>HYPERLINK("https://klasma.github.io/Logging_2403/klagomål/A 14088-2021 FSC-klagomål.docx", "A 14088-2021")</f>
        <v/>
      </c>
      <c r="W37">
        <f>HYPERLINK("https://klasma.github.io/Logging_2403/klagomålsmail/A 14088-2021 FSC-klagomål mail.docx", "A 14088-2021")</f>
        <v/>
      </c>
      <c r="X37">
        <f>HYPERLINK("https://klasma.github.io/Logging_2403/tillsyn/A 14088-2021 tillsynsbegäran.docx", "A 14088-2021")</f>
        <v/>
      </c>
      <c r="Y37">
        <f>HYPERLINK("https://klasma.github.io/Logging_2403/tillsynsmail/A 14088-2021 tillsynsbegäran mail.docx", "A 14088-2021")</f>
        <v/>
      </c>
    </row>
    <row r="38" ht="15" customHeight="1">
      <c r="A38" t="inlineStr">
        <is>
          <t>A 14083-2021</t>
        </is>
      </c>
      <c r="B38" s="1" t="n">
        <v>44277</v>
      </c>
      <c r="C38" s="1" t="n">
        <v>45915</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21386-2024</t>
        </is>
      </c>
      <c r="B39" s="1" t="n">
        <v>45440</v>
      </c>
      <c r="C39" s="1" t="n">
        <v>45915</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57865-2021</t>
        </is>
      </c>
      <c r="B40" s="1" t="n">
        <v>44484</v>
      </c>
      <c r="C40" s="1" t="n">
        <v>45915</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57653-2022</t>
        </is>
      </c>
      <c r="B41" s="1" t="n">
        <v>44897.43052083333</v>
      </c>
      <c r="C41" s="1" t="n">
        <v>45915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45915</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45915</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45915</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45915</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45915</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45915</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16145-2022</t>
        </is>
      </c>
      <c r="B48" s="1" t="n">
        <v>44665</v>
      </c>
      <c r="C48" s="1" t="n">
        <v>45915</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14540-2021</t>
        </is>
      </c>
      <c r="B49" s="1" t="n">
        <v>44279</v>
      </c>
      <c r="C49" s="1" t="n">
        <v>45915</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17551-2022</t>
        </is>
      </c>
      <c r="B50" s="1" t="n">
        <v>44679</v>
      </c>
      <c r="C50" s="1" t="n">
        <v>45915</v>
      </c>
      <c r="D50" t="inlineStr">
        <is>
          <t>VÄSTERBOTTENS LÄN</t>
        </is>
      </c>
      <c r="E50" t="inlineStr">
        <is>
          <t>BJURHOLM</t>
        </is>
      </c>
      <c r="G50" t="n">
        <v>6.1</v>
      </c>
      <c r="H50" t="n">
        <v>0</v>
      </c>
      <c r="I50" t="n">
        <v>0</v>
      </c>
      <c r="J50" t="n">
        <v>0</v>
      </c>
      <c r="K50" t="n">
        <v>0</v>
      </c>
      <c r="L50" t="n">
        <v>0</v>
      </c>
      <c r="M50" t="n">
        <v>0</v>
      </c>
      <c r="N50" t="n">
        <v>0</v>
      </c>
      <c r="O50" t="n">
        <v>0</v>
      </c>
      <c r="P50" t="n">
        <v>0</v>
      </c>
      <c r="Q50" t="n">
        <v>0</v>
      </c>
      <c r="R50" s="2" t="inlineStr"/>
    </row>
    <row r="51" ht="15" customHeight="1">
      <c r="A51" t="inlineStr">
        <is>
          <t>A 67751-2021</t>
        </is>
      </c>
      <c r="B51" s="1" t="n">
        <v>44524</v>
      </c>
      <c r="C51" s="1" t="n">
        <v>45915</v>
      </c>
      <c r="D51" t="inlineStr">
        <is>
          <t>VÄSTERBOTTENS LÄN</t>
        </is>
      </c>
      <c r="E51" t="inlineStr">
        <is>
          <t>BJURHOLM</t>
        </is>
      </c>
      <c r="G51" t="n">
        <v>3.3</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45915</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45915</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45915</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45915</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45915</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45915</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45915</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45915</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45915</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45915</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45915</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45915</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45915</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45915</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45915</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45915</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45915</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45915</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45915</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45915</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45915</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45915</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45915</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45915</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48481-2020</t>
        </is>
      </c>
      <c r="B76" s="1" t="n">
        <v>44102</v>
      </c>
      <c r="C76" s="1" t="n">
        <v>45915</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45915</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45915</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45915</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45915</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45915</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67762-2021</t>
        </is>
      </c>
      <c r="B82" s="1" t="n">
        <v>44524</v>
      </c>
      <c r="C82" s="1" t="n">
        <v>45915</v>
      </c>
      <c r="D82" t="inlineStr">
        <is>
          <t>VÄSTERBOTTENS LÄN</t>
        </is>
      </c>
      <c r="E82" t="inlineStr">
        <is>
          <t>BJURHOLM</t>
        </is>
      </c>
      <c r="G82" t="n">
        <v>3.3</v>
      </c>
      <c r="H82" t="n">
        <v>0</v>
      </c>
      <c r="I82" t="n">
        <v>0</v>
      </c>
      <c r="J82" t="n">
        <v>0</v>
      </c>
      <c r="K82" t="n">
        <v>0</v>
      </c>
      <c r="L82" t="n">
        <v>0</v>
      </c>
      <c r="M82" t="n">
        <v>0</v>
      </c>
      <c r="N82" t="n">
        <v>0</v>
      </c>
      <c r="O82" t="n">
        <v>0</v>
      </c>
      <c r="P82" t="n">
        <v>0</v>
      </c>
      <c r="Q82" t="n">
        <v>0</v>
      </c>
      <c r="R82" s="2" t="inlineStr"/>
    </row>
    <row r="83" ht="15" customHeight="1">
      <c r="A83" t="inlineStr">
        <is>
          <t>A 31381-2022</t>
        </is>
      </c>
      <c r="B83" s="1" t="n">
        <v>44774</v>
      </c>
      <c r="C83" s="1" t="n">
        <v>45915</v>
      </c>
      <c r="D83" t="inlineStr">
        <is>
          <t>VÄSTERBOTTENS LÄN</t>
        </is>
      </c>
      <c r="E83" t="inlineStr">
        <is>
          <t>BJURHOLM</t>
        </is>
      </c>
      <c r="G83" t="n">
        <v>4.1</v>
      </c>
      <c r="H83" t="n">
        <v>0</v>
      </c>
      <c r="I83" t="n">
        <v>0</v>
      </c>
      <c r="J83" t="n">
        <v>0</v>
      </c>
      <c r="K83" t="n">
        <v>0</v>
      </c>
      <c r="L83" t="n">
        <v>0</v>
      </c>
      <c r="M83" t="n">
        <v>0</v>
      </c>
      <c r="N83" t="n">
        <v>0</v>
      </c>
      <c r="O83" t="n">
        <v>0</v>
      </c>
      <c r="P83" t="n">
        <v>0</v>
      </c>
      <c r="Q83" t="n">
        <v>0</v>
      </c>
      <c r="R83" s="2" t="inlineStr"/>
    </row>
    <row r="84" ht="15" customHeight="1">
      <c r="A84" t="inlineStr">
        <is>
          <t>A 60117-2020</t>
        </is>
      </c>
      <c r="B84" s="1" t="n">
        <v>44152</v>
      </c>
      <c r="C84" s="1" t="n">
        <v>45915</v>
      </c>
      <c r="D84" t="inlineStr">
        <is>
          <t>VÄSTERBOTTENS LÄN</t>
        </is>
      </c>
      <c r="E84" t="inlineStr">
        <is>
          <t>BJURHOLM</t>
        </is>
      </c>
      <c r="G84" t="n">
        <v>1.3</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45915</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45915</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45915</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45915</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45915</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45915</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45915</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45915</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45915</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45915</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61412-2020</t>
        </is>
      </c>
      <c r="B95" s="1" t="n">
        <v>44156</v>
      </c>
      <c r="C95" s="1" t="n">
        <v>45915</v>
      </c>
      <c r="D95" t="inlineStr">
        <is>
          <t>VÄSTERBOTTENS LÄN</t>
        </is>
      </c>
      <c r="E95" t="inlineStr">
        <is>
          <t>BJURHOLM</t>
        </is>
      </c>
      <c r="G95" t="n">
        <v>2.2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45915</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45915</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57867-2021</t>
        </is>
      </c>
      <c r="B98" s="1" t="n">
        <v>44484.98746527778</v>
      </c>
      <c r="C98" s="1" t="n">
        <v>45915</v>
      </c>
      <c r="D98" t="inlineStr">
        <is>
          <t>VÄSTERBOTTENS LÄN</t>
        </is>
      </c>
      <c r="E98" t="inlineStr">
        <is>
          <t>BJURHOLM</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45915</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45915</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17609-2022</t>
        </is>
      </c>
      <c r="B101" s="1" t="n">
        <v>44680</v>
      </c>
      <c r="C101" s="1" t="n">
        <v>45915</v>
      </c>
      <c r="D101" t="inlineStr">
        <is>
          <t>VÄSTERBOTTENS LÄN</t>
        </is>
      </c>
      <c r="E101" t="inlineStr">
        <is>
          <t>BJURHOLM</t>
        </is>
      </c>
      <c r="G101" t="n">
        <v>10.2</v>
      </c>
      <c r="H101" t="n">
        <v>0</v>
      </c>
      <c r="I101" t="n">
        <v>0</v>
      </c>
      <c r="J101" t="n">
        <v>0</v>
      </c>
      <c r="K101" t="n">
        <v>0</v>
      </c>
      <c r="L101" t="n">
        <v>0</v>
      </c>
      <c r="M101" t="n">
        <v>0</v>
      </c>
      <c r="N101" t="n">
        <v>0</v>
      </c>
      <c r="O101" t="n">
        <v>0</v>
      </c>
      <c r="P101" t="n">
        <v>0</v>
      </c>
      <c r="Q101" t="n">
        <v>0</v>
      </c>
      <c r="R101" s="2" t="inlineStr"/>
    </row>
    <row r="102" ht="15" customHeight="1">
      <c r="A102" t="inlineStr">
        <is>
          <t>A 3058-2025</t>
        </is>
      </c>
      <c r="B102" s="1" t="n">
        <v>45678.61952546296</v>
      </c>
      <c r="C102" s="1" t="n">
        <v>45915</v>
      </c>
      <c r="D102" t="inlineStr">
        <is>
          <t>VÄSTERBOTTENS LÄN</t>
        </is>
      </c>
      <c r="E102" t="inlineStr">
        <is>
          <t>BJURHOLM</t>
        </is>
      </c>
      <c r="F102" t="inlineStr">
        <is>
          <t>Sveaskog</t>
        </is>
      </c>
      <c r="G102" t="n">
        <v>2.4</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45069.37450231481</v>
      </c>
      <c r="C103" s="1" t="n">
        <v>45915</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36021-2022</t>
        </is>
      </c>
      <c r="B104" s="1" t="n">
        <v>44802.65265046297</v>
      </c>
      <c r="C104" s="1" t="n">
        <v>45915</v>
      </c>
      <c r="D104" t="inlineStr">
        <is>
          <t>VÄSTERBOTTENS LÄN</t>
        </is>
      </c>
      <c r="E104" t="inlineStr">
        <is>
          <t>BJURHOLM</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45915</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45915</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45915</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45915</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62088-2022</t>
        </is>
      </c>
      <c r="B109" s="1" t="n">
        <v>44919</v>
      </c>
      <c r="C109" s="1" t="n">
        <v>45915</v>
      </c>
      <c r="D109" t="inlineStr">
        <is>
          <t>VÄSTERBOTTENS LÄN</t>
        </is>
      </c>
      <c r="E109" t="inlineStr">
        <is>
          <t>BJURHOLM</t>
        </is>
      </c>
      <c r="G109" t="n">
        <v>4.8</v>
      </c>
      <c r="H109" t="n">
        <v>0</v>
      </c>
      <c r="I109" t="n">
        <v>0</v>
      </c>
      <c r="J109" t="n">
        <v>0</v>
      </c>
      <c r="K109" t="n">
        <v>0</v>
      </c>
      <c r="L109" t="n">
        <v>0</v>
      </c>
      <c r="M109" t="n">
        <v>0</v>
      </c>
      <c r="N109" t="n">
        <v>0</v>
      </c>
      <c r="O109" t="n">
        <v>0</v>
      </c>
      <c r="P109" t="n">
        <v>0</v>
      </c>
      <c r="Q109" t="n">
        <v>0</v>
      </c>
      <c r="R109" s="2" t="inlineStr"/>
    </row>
    <row r="110" ht="15" customHeight="1">
      <c r="A110" t="inlineStr">
        <is>
          <t>A 39431-2021</t>
        </is>
      </c>
      <c r="B110" s="1" t="n">
        <v>44414.52152777778</v>
      </c>
      <c r="C110" s="1" t="n">
        <v>45915</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16368-2023</t>
        </is>
      </c>
      <c r="B111" s="1" t="n">
        <v>45028.94060185185</v>
      </c>
      <c r="C111" s="1" t="n">
        <v>45915</v>
      </c>
      <c r="D111" t="inlineStr">
        <is>
          <t>VÄSTERBOTTENS LÄN</t>
        </is>
      </c>
      <c r="E111" t="inlineStr">
        <is>
          <t>BJURHOLM</t>
        </is>
      </c>
      <c r="F111" t="inlineStr">
        <is>
          <t>SCA</t>
        </is>
      </c>
      <c r="G111" t="n">
        <v>2.6</v>
      </c>
      <c r="H111" t="n">
        <v>0</v>
      </c>
      <c r="I111" t="n">
        <v>0</v>
      </c>
      <c r="J111" t="n">
        <v>0</v>
      </c>
      <c r="K111" t="n">
        <v>0</v>
      </c>
      <c r="L111" t="n">
        <v>0</v>
      </c>
      <c r="M111" t="n">
        <v>0</v>
      </c>
      <c r="N111" t="n">
        <v>0</v>
      </c>
      <c r="O111" t="n">
        <v>0</v>
      </c>
      <c r="P111" t="n">
        <v>0</v>
      </c>
      <c r="Q111" t="n">
        <v>0</v>
      </c>
      <c r="R111" s="2" t="inlineStr"/>
    </row>
    <row r="112" ht="15" customHeight="1">
      <c r="A112" t="inlineStr">
        <is>
          <t>A 61170-2024</t>
        </is>
      </c>
      <c r="B112" s="1" t="n">
        <v>45645.60092592592</v>
      </c>
      <c r="C112" s="1" t="n">
        <v>45915</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61229-2024</t>
        </is>
      </c>
      <c r="B113" s="1" t="n">
        <v>45645.66908564815</v>
      </c>
      <c r="C113" s="1" t="n">
        <v>45915</v>
      </c>
      <c r="D113" t="inlineStr">
        <is>
          <t>VÄSTERBOTTENS LÄN</t>
        </is>
      </c>
      <c r="E113" t="inlineStr">
        <is>
          <t>BJURHOLM</t>
        </is>
      </c>
      <c r="G113" t="n">
        <v>1.4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45915</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61815-2024</t>
        </is>
      </c>
      <c r="B115" s="1" t="n">
        <v>45649</v>
      </c>
      <c r="C115" s="1" t="n">
        <v>45915</v>
      </c>
      <c r="D115" t="inlineStr">
        <is>
          <t>VÄSTERBOTTENS LÄN</t>
        </is>
      </c>
      <c r="E115" t="inlineStr">
        <is>
          <t>BJURHOLM</t>
        </is>
      </c>
      <c r="G115" t="n">
        <v>1.9</v>
      </c>
      <c r="H115" t="n">
        <v>0</v>
      </c>
      <c r="I115" t="n">
        <v>0</v>
      </c>
      <c r="J115" t="n">
        <v>0</v>
      </c>
      <c r="K115" t="n">
        <v>0</v>
      </c>
      <c r="L115" t="n">
        <v>0</v>
      </c>
      <c r="M115" t="n">
        <v>0</v>
      </c>
      <c r="N115" t="n">
        <v>0</v>
      </c>
      <c r="O115" t="n">
        <v>0</v>
      </c>
      <c r="P115" t="n">
        <v>0</v>
      </c>
      <c r="Q115" t="n">
        <v>0</v>
      </c>
      <c r="R115" s="2" t="inlineStr"/>
    </row>
    <row r="116" ht="15" customHeight="1">
      <c r="A116" t="inlineStr">
        <is>
          <t>A 53899-2024</t>
        </is>
      </c>
      <c r="B116" s="1" t="n">
        <v>45615.7033912037</v>
      </c>
      <c r="C116" s="1" t="n">
        <v>45915</v>
      </c>
      <c r="D116" t="inlineStr">
        <is>
          <t>VÄSTERBOTTENS LÄN</t>
        </is>
      </c>
      <c r="E116" t="inlineStr">
        <is>
          <t>BJURHOLM</t>
        </is>
      </c>
      <c r="G116" t="n">
        <v>1.2</v>
      </c>
      <c r="H116" t="n">
        <v>0</v>
      </c>
      <c r="I116" t="n">
        <v>0</v>
      </c>
      <c r="J116" t="n">
        <v>0</v>
      </c>
      <c r="K116" t="n">
        <v>0</v>
      </c>
      <c r="L116" t="n">
        <v>0</v>
      </c>
      <c r="M116" t="n">
        <v>0</v>
      </c>
      <c r="N116" t="n">
        <v>0</v>
      </c>
      <c r="O116" t="n">
        <v>0</v>
      </c>
      <c r="P116" t="n">
        <v>0</v>
      </c>
      <c r="Q116" t="n">
        <v>0</v>
      </c>
      <c r="R116" s="2" t="inlineStr"/>
    </row>
    <row r="117" ht="15" customHeight="1">
      <c r="A117" t="inlineStr">
        <is>
          <t>A 14414-2024</t>
        </is>
      </c>
      <c r="B117" s="1" t="n">
        <v>45393</v>
      </c>
      <c r="C117" s="1" t="n">
        <v>45915</v>
      </c>
      <c r="D117" t="inlineStr">
        <is>
          <t>VÄSTERBOTTENS LÄN</t>
        </is>
      </c>
      <c r="E117" t="inlineStr">
        <is>
          <t>BJURHOLM</t>
        </is>
      </c>
      <c r="G117" t="n">
        <v>7.1</v>
      </c>
      <c r="H117" t="n">
        <v>0</v>
      </c>
      <c r="I117" t="n">
        <v>0</v>
      </c>
      <c r="J117" t="n">
        <v>0</v>
      </c>
      <c r="K117" t="n">
        <v>0</v>
      </c>
      <c r="L117" t="n">
        <v>0</v>
      </c>
      <c r="M117" t="n">
        <v>0</v>
      </c>
      <c r="N117" t="n">
        <v>0</v>
      </c>
      <c r="O117" t="n">
        <v>0</v>
      </c>
      <c r="P117" t="n">
        <v>0</v>
      </c>
      <c r="Q117" t="n">
        <v>0</v>
      </c>
      <c r="R117" s="2" t="inlineStr"/>
    </row>
    <row r="118" ht="15" customHeight="1">
      <c r="A118" t="inlineStr">
        <is>
          <t>A 14438-2024</t>
        </is>
      </c>
      <c r="B118" s="1" t="n">
        <v>45394</v>
      </c>
      <c r="C118" s="1" t="n">
        <v>45915</v>
      </c>
      <c r="D118" t="inlineStr">
        <is>
          <t>VÄSTERBOTTENS LÄN</t>
        </is>
      </c>
      <c r="E118" t="inlineStr">
        <is>
          <t>BJURHOLM</t>
        </is>
      </c>
      <c r="G118" t="n">
        <v>5</v>
      </c>
      <c r="H118" t="n">
        <v>0</v>
      </c>
      <c r="I118" t="n">
        <v>0</v>
      </c>
      <c r="J118" t="n">
        <v>0</v>
      </c>
      <c r="K118" t="n">
        <v>0</v>
      </c>
      <c r="L118" t="n">
        <v>0</v>
      </c>
      <c r="M118" t="n">
        <v>0</v>
      </c>
      <c r="N118" t="n">
        <v>0</v>
      </c>
      <c r="O118" t="n">
        <v>0</v>
      </c>
      <c r="P118" t="n">
        <v>0</v>
      </c>
      <c r="Q118" t="n">
        <v>0</v>
      </c>
      <c r="R118" s="2" t="inlineStr"/>
    </row>
    <row r="119" ht="15" customHeight="1">
      <c r="A119" t="inlineStr">
        <is>
          <t>A 14443-2024</t>
        </is>
      </c>
      <c r="B119" s="1" t="n">
        <v>45394</v>
      </c>
      <c r="C119" s="1" t="n">
        <v>45915</v>
      </c>
      <c r="D119" t="inlineStr">
        <is>
          <t>VÄSTERBOTTENS LÄN</t>
        </is>
      </c>
      <c r="E119" t="inlineStr">
        <is>
          <t>BJURHOLM</t>
        </is>
      </c>
      <c r="G119" t="n">
        <v>4.1</v>
      </c>
      <c r="H119" t="n">
        <v>0</v>
      </c>
      <c r="I119" t="n">
        <v>0</v>
      </c>
      <c r="J119" t="n">
        <v>0</v>
      </c>
      <c r="K119" t="n">
        <v>0</v>
      </c>
      <c r="L119" t="n">
        <v>0</v>
      </c>
      <c r="M119" t="n">
        <v>0</v>
      </c>
      <c r="N119" t="n">
        <v>0</v>
      </c>
      <c r="O119" t="n">
        <v>0</v>
      </c>
      <c r="P119" t="n">
        <v>0</v>
      </c>
      <c r="Q119" t="n">
        <v>0</v>
      </c>
      <c r="R119" s="2" t="inlineStr"/>
    </row>
    <row r="120" ht="15" customHeight="1">
      <c r="A120" t="inlineStr">
        <is>
          <t>A 23184-2024</t>
        </is>
      </c>
      <c r="B120" s="1" t="n">
        <v>45450.94480324074</v>
      </c>
      <c r="C120" s="1" t="n">
        <v>45915</v>
      </c>
      <c r="D120" t="inlineStr">
        <is>
          <t>VÄSTERBOTTENS LÄN</t>
        </is>
      </c>
      <c r="E120" t="inlineStr">
        <is>
          <t>BJURHOLM</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45915</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45915</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52550-2024</t>
        </is>
      </c>
      <c r="B123" s="1" t="n">
        <v>45609.64046296296</v>
      </c>
      <c r="C123" s="1" t="n">
        <v>45915</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55542-2022</t>
        </is>
      </c>
      <c r="B124" s="1" t="n">
        <v>44887</v>
      </c>
      <c r="C124" s="1" t="n">
        <v>45915</v>
      </c>
      <c r="D124" t="inlineStr">
        <is>
          <t>VÄSTERBOTTENS LÄN</t>
        </is>
      </c>
      <c r="E124" t="inlineStr">
        <is>
          <t>BJURHOLM</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16327-2024</t>
        </is>
      </c>
      <c r="B125" s="1" t="n">
        <v>45407.51649305555</v>
      </c>
      <c r="C125" s="1" t="n">
        <v>45915</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17196-2025</t>
        </is>
      </c>
      <c r="B126" s="1" t="n">
        <v>45756.4102199074</v>
      </c>
      <c r="C126" s="1" t="n">
        <v>45915</v>
      </c>
      <c r="D126" t="inlineStr">
        <is>
          <t>VÄSTERBOTTENS LÄN</t>
        </is>
      </c>
      <c r="E126" t="inlineStr">
        <is>
          <t>BJURHOLM</t>
        </is>
      </c>
      <c r="G126" t="n">
        <v>10.3</v>
      </c>
      <c r="H126" t="n">
        <v>0</v>
      </c>
      <c r="I126" t="n">
        <v>0</v>
      </c>
      <c r="J126" t="n">
        <v>0</v>
      </c>
      <c r="K126" t="n">
        <v>0</v>
      </c>
      <c r="L126" t="n">
        <v>0</v>
      </c>
      <c r="M126" t="n">
        <v>0</v>
      </c>
      <c r="N126" t="n">
        <v>0</v>
      </c>
      <c r="O126" t="n">
        <v>0</v>
      </c>
      <c r="P126" t="n">
        <v>0</v>
      </c>
      <c r="Q126" t="n">
        <v>0</v>
      </c>
      <c r="R126" s="2" t="inlineStr"/>
    </row>
    <row r="127" ht="15" customHeight="1">
      <c r="A127" t="inlineStr">
        <is>
          <t>A 31738-2023</t>
        </is>
      </c>
      <c r="B127" s="1" t="n">
        <v>45117.95247685185</v>
      </c>
      <c r="C127" s="1" t="n">
        <v>45915</v>
      </c>
      <c r="D127" t="inlineStr">
        <is>
          <t>VÄSTERBOTTENS LÄN</t>
        </is>
      </c>
      <c r="E127" t="inlineStr">
        <is>
          <t>BJURHOLM</t>
        </is>
      </c>
      <c r="F127" t="inlineStr">
        <is>
          <t>SCA</t>
        </is>
      </c>
      <c r="G127" t="n">
        <v>4.8</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45915</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50441-2024</t>
        </is>
      </c>
      <c r="B129" s="1" t="n">
        <v>45601.41592592592</v>
      </c>
      <c r="C129" s="1" t="n">
        <v>45915</v>
      </c>
      <c r="D129" t="inlineStr">
        <is>
          <t>VÄSTERBOTTENS LÄN</t>
        </is>
      </c>
      <c r="E129" t="inlineStr">
        <is>
          <t>BJURHOLM</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45915</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32989-2022</t>
        </is>
      </c>
      <c r="B131" s="1" t="n">
        <v>44784.94172453704</v>
      </c>
      <c r="C131" s="1" t="n">
        <v>45915</v>
      </c>
      <c r="D131" t="inlineStr">
        <is>
          <t>VÄSTERBOTTENS LÄN</t>
        </is>
      </c>
      <c r="E131" t="inlineStr">
        <is>
          <t>BJURHOLM</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31205-2023</t>
        </is>
      </c>
      <c r="B132" s="1" t="n">
        <v>45113</v>
      </c>
      <c r="C132" s="1" t="n">
        <v>45915</v>
      </c>
      <c r="D132" t="inlineStr">
        <is>
          <t>VÄSTERBOTTENS LÄN</t>
        </is>
      </c>
      <c r="E132" t="inlineStr">
        <is>
          <t>BJURHOLM</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45915</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35829-2023</t>
        </is>
      </c>
      <c r="B134" s="1" t="n">
        <v>45148.47032407407</v>
      </c>
      <c r="C134" s="1" t="n">
        <v>45915</v>
      </c>
      <c r="D134" t="inlineStr">
        <is>
          <t>VÄSTERBOTTENS LÄN</t>
        </is>
      </c>
      <c r="E134" t="inlineStr">
        <is>
          <t>BJURHOLM</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35835-2023</t>
        </is>
      </c>
      <c r="B135" s="1" t="n">
        <v>45148</v>
      </c>
      <c r="C135" s="1" t="n">
        <v>45915</v>
      </c>
      <c r="D135" t="inlineStr">
        <is>
          <t>VÄSTERBOTTENS LÄN</t>
        </is>
      </c>
      <c r="E135" t="inlineStr">
        <is>
          <t>BJURHOLM</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14407-2024</t>
        </is>
      </c>
      <c r="B136" s="1" t="n">
        <v>45394</v>
      </c>
      <c r="C136" s="1" t="n">
        <v>45915</v>
      </c>
      <c r="D136" t="inlineStr">
        <is>
          <t>VÄSTERBOTTENS LÄN</t>
        </is>
      </c>
      <c r="E136" t="inlineStr">
        <is>
          <t>BJURHOLM</t>
        </is>
      </c>
      <c r="G136" t="n">
        <v>4.9</v>
      </c>
      <c r="H136" t="n">
        <v>0</v>
      </c>
      <c r="I136" t="n">
        <v>0</v>
      </c>
      <c r="J136" t="n">
        <v>0</v>
      </c>
      <c r="K136" t="n">
        <v>0</v>
      </c>
      <c r="L136" t="n">
        <v>0</v>
      </c>
      <c r="M136" t="n">
        <v>0</v>
      </c>
      <c r="N136" t="n">
        <v>0</v>
      </c>
      <c r="O136" t="n">
        <v>0</v>
      </c>
      <c r="P136" t="n">
        <v>0</v>
      </c>
      <c r="Q136" t="n">
        <v>0</v>
      </c>
      <c r="R136" s="2" t="inlineStr"/>
    </row>
    <row r="137" ht="15" customHeight="1">
      <c r="A137" t="inlineStr">
        <is>
          <t>A 21887-2025</t>
        </is>
      </c>
      <c r="B137" s="1" t="n">
        <v>45784.42898148148</v>
      </c>
      <c r="C137" s="1" t="n">
        <v>45915</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74152-2021</t>
        </is>
      </c>
      <c r="B138" s="1" t="n">
        <v>44557</v>
      </c>
      <c r="C138" s="1" t="n">
        <v>45915</v>
      </c>
      <c r="D138" t="inlineStr">
        <is>
          <t>VÄSTERBOTTENS LÄN</t>
        </is>
      </c>
      <c r="E138" t="inlineStr">
        <is>
          <t>BJURHOLM</t>
        </is>
      </c>
      <c r="G138" t="n">
        <v>1.4</v>
      </c>
      <c r="H138" t="n">
        <v>0</v>
      </c>
      <c r="I138" t="n">
        <v>0</v>
      </c>
      <c r="J138" t="n">
        <v>0</v>
      </c>
      <c r="K138" t="n">
        <v>0</v>
      </c>
      <c r="L138" t="n">
        <v>0</v>
      </c>
      <c r="M138" t="n">
        <v>0</v>
      </c>
      <c r="N138" t="n">
        <v>0</v>
      </c>
      <c r="O138" t="n">
        <v>0</v>
      </c>
      <c r="P138" t="n">
        <v>0</v>
      </c>
      <c r="Q138" t="n">
        <v>0</v>
      </c>
      <c r="R138" s="2" t="inlineStr"/>
    </row>
    <row r="139" ht="15" customHeight="1">
      <c r="A139" t="inlineStr">
        <is>
          <t>A 32502-2024</t>
        </is>
      </c>
      <c r="B139" s="1" t="n">
        <v>45513</v>
      </c>
      <c r="C139" s="1" t="n">
        <v>45915</v>
      </c>
      <c r="D139" t="inlineStr">
        <is>
          <t>VÄSTERBOTTENS LÄN</t>
        </is>
      </c>
      <c r="E139" t="inlineStr">
        <is>
          <t>BJURHOLM</t>
        </is>
      </c>
      <c r="G139" t="n">
        <v>1.5</v>
      </c>
      <c r="H139" t="n">
        <v>0</v>
      </c>
      <c r="I139" t="n">
        <v>0</v>
      </c>
      <c r="J139" t="n">
        <v>0</v>
      </c>
      <c r="K139" t="n">
        <v>0</v>
      </c>
      <c r="L139" t="n">
        <v>0</v>
      </c>
      <c r="M139" t="n">
        <v>0</v>
      </c>
      <c r="N139" t="n">
        <v>0</v>
      </c>
      <c r="O139" t="n">
        <v>0</v>
      </c>
      <c r="P139" t="n">
        <v>0</v>
      </c>
      <c r="Q139" t="n">
        <v>0</v>
      </c>
      <c r="R139" s="2" t="inlineStr"/>
    </row>
    <row r="140" ht="15" customHeight="1">
      <c r="A140" t="inlineStr">
        <is>
          <t>A 22096-2025</t>
        </is>
      </c>
      <c r="B140" s="1" t="n">
        <v>45785.46922453704</v>
      </c>
      <c r="C140" s="1" t="n">
        <v>45915</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26459-2024</t>
        </is>
      </c>
      <c r="B141" s="1" t="n">
        <v>45469</v>
      </c>
      <c r="C141" s="1" t="n">
        <v>45915</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22265-2025</t>
        </is>
      </c>
      <c r="B142" s="1" t="n">
        <v>45785.84648148148</v>
      </c>
      <c r="C142" s="1" t="n">
        <v>45915</v>
      </c>
      <c r="D142" t="inlineStr">
        <is>
          <t>VÄSTERBOTTENS LÄN</t>
        </is>
      </c>
      <c r="E142" t="inlineStr">
        <is>
          <t>BJURHOLM</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50726-2024</t>
        </is>
      </c>
      <c r="B143" s="1" t="n">
        <v>45602.3874537037</v>
      </c>
      <c r="C143" s="1" t="n">
        <v>45915</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50728-2024</t>
        </is>
      </c>
      <c r="B144" s="1" t="n">
        <v>45602.38762731481</v>
      </c>
      <c r="C144" s="1" t="n">
        <v>45915</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45915</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45915</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45915</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45915</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45915</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8644-2023</t>
        </is>
      </c>
      <c r="B150" s="1" t="n">
        <v>44977</v>
      </c>
      <c r="C150" s="1" t="n">
        <v>45915</v>
      </c>
      <c r="D150" t="inlineStr">
        <is>
          <t>VÄSTERBOTTENS LÄN</t>
        </is>
      </c>
      <c r="E150" t="inlineStr">
        <is>
          <t>BJURHOLM</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22266-2025</t>
        </is>
      </c>
      <c r="B151" s="1" t="n">
        <v>45785.84664351852</v>
      </c>
      <c r="C151" s="1" t="n">
        <v>45915</v>
      </c>
      <c r="D151" t="inlineStr">
        <is>
          <t>VÄSTERBOTTENS LÄN</t>
        </is>
      </c>
      <c r="E151" t="inlineStr">
        <is>
          <t>BJURHOLM</t>
        </is>
      </c>
      <c r="F151" t="inlineStr">
        <is>
          <t>SCA</t>
        </is>
      </c>
      <c r="G151" t="n">
        <v>2.7</v>
      </c>
      <c r="H151" t="n">
        <v>0</v>
      </c>
      <c r="I151" t="n">
        <v>0</v>
      </c>
      <c r="J151" t="n">
        <v>0</v>
      </c>
      <c r="K151" t="n">
        <v>0</v>
      </c>
      <c r="L151" t="n">
        <v>0</v>
      </c>
      <c r="M151" t="n">
        <v>0</v>
      </c>
      <c r="N151" t="n">
        <v>0</v>
      </c>
      <c r="O151" t="n">
        <v>0</v>
      </c>
      <c r="P151" t="n">
        <v>0</v>
      </c>
      <c r="Q151" t="n">
        <v>0</v>
      </c>
      <c r="R151" s="2" t="inlineStr"/>
    </row>
    <row r="152" ht="15" customHeight="1">
      <c r="A152" t="inlineStr">
        <is>
          <t>A 42402-2024</t>
        </is>
      </c>
      <c r="B152" s="1" t="n">
        <v>45565.34449074074</v>
      </c>
      <c r="C152" s="1" t="n">
        <v>45915</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9926-2022</t>
        </is>
      </c>
      <c r="B153" s="1" t="n">
        <v>44620</v>
      </c>
      <c r="C153" s="1" t="n">
        <v>45915</v>
      </c>
      <c r="D153" t="inlineStr">
        <is>
          <t>VÄSTERBOTTENS LÄN</t>
        </is>
      </c>
      <c r="E153" t="inlineStr">
        <is>
          <t>BJURHOLM</t>
        </is>
      </c>
      <c r="G153" t="n">
        <v>0.8</v>
      </c>
      <c r="H153" t="n">
        <v>0</v>
      </c>
      <c r="I153" t="n">
        <v>0</v>
      </c>
      <c r="J153" t="n">
        <v>0</v>
      </c>
      <c r="K153" t="n">
        <v>0</v>
      </c>
      <c r="L153" t="n">
        <v>0</v>
      </c>
      <c r="M153" t="n">
        <v>0</v>
      </c>
      <c r="N153" t="n">
        <v>0</v>
      </c>
      <c r="O153" t="n">
        <v>0</v>
      </c>
      <c r="P153" t="n">
        <v>0</v>
      </c>
      <c r="Q153" t="n">
        <v>0</v>
      </c>
      <c r="R153" s="2" t="inlineStr"/>
    </row>
    <row r="154" ht="15" customHeight="1">
      <c r="A154" t="inlineStr">
        <is>
          <t>A 9927-2022</t>
        </is>
      </c>
      <c r="B154" s="1" t="n">
        <v>44620</v>
      </c>
      <c r="C154" s="1" t="n">
        <v>45915</v>
      </c>
      <c r="D154" t="inlineStr">
        <is>
          <t>VÄSTERBOTTENS LÄN</t>
        </is>
      </c>
      <c r="E154" t="inlineStr">
        <is>
          <t>BJURHOLM</t>
        </is>
      </c>
      <c r="G154" t="n">
        <v>1.2</v>
      </c>
      <c r="H154" t="n">
        <v>0</v>
      </c>
      <c r="I154" t="n">
        <v>0</v>
      </c>
      <c r="J154" t="n">
        <v>0</v>
      </c>
      <c r="K154" t="n">
        <v>0</v>
      </c>
      <c r="L154" t="n">
        <v>0</v>
      </c>
      <c r="M154" t="n">
        <v>0</v>
      </c>
      <c r="N154" t="n">
        <v>0</v>
      </c>
      <c r="O154" t="n">
        <v>0</v>
      </c>
      <c r="P154" t="n">
        <v>0</v>
      </c>
      <c r="Q154" t="n">
        <v>0</v>
      </c>
      <c r="R154" s="2" t="inlineStr"/>
    </row>
    <row r="155" ht="15" customHeight="1">
      <c r="A155" t="inlineStr">
        <is>
          <t>A 22095-2025</t>
        </is>
      </c>
      <c r="B155" s="1" t="n">
        <v>45785.46921296296</v>
      </c>
      <c r="C155" s="1" t="n">
        <v>45915</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67775-2021</t>
        </is>
      </c>
      <c r="B156" s="1" t="n">
        <v>44524</v>
      </c>
      <c r="C156" s="1" t="n">
        <v>45915</v>
      </c>
      <c r="D156" t="inlineStr">
        <is>
          <t>VÄSTERBOTTENS LÄN</t>
        </is>
      </c>
      <c r="E156" t="inlineStr">
        <is>
          <t>BJURHOLM</t>
        </is>
      </c>
      <c r="G156" t="n">
        <v>5.2</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45446.6784837963</v>
      </c>
      <c r="C157" s="1" t="n">
        <v>45915</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23074-2025</t>
        </is>
      </c>
      <c r="B158" s="1" t="n">
        <v>45790</v>
      </c>
      <c r="C158" s="1" t="n">
        <v>45915</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50762-2024</t>
        </is>
      </c>
      <c r="B159" s="1" t="n">
        <v>45602.4377662037</v>
      </c>
      <c r="C159" s="1" t="n">
        <v>45915</v>
      </c>
      <c r="D159" t="inlineStr">
        <is>
          <t>VÄSTERBOTTENS LÄN</t>
        </is>
      </c>
      <c r="E159" t="inlineStr">
        <is>
          <t>BJURHOLM</t>
        </is>
      </c>
      <c r="G159" t="n">
        <v>4.5</v>
      </c>
      <c r="H159" t="n">
        <v>0</v>
      </c>
      <c r="I159" t="n">
        <v>0</v>
      </c>
      <c r="J159" t="n">
        <v>0</v>
      </c>
      <c r="K159" t="n">
        <v>0</v>
      </c>
      <c r="L159" t="n">
        <v>0</v>
      </c>
      <c r="M159" t="n">
        <v>0</v>
      </c>
      <c r="N159" t="n">
        <v>0</v>
      </c>
      <c r="O159" t="n">
        <v>0</v>
      </c>
      <c r="P159" t="n">
        <v>0</v>
      </c>
      <c r="Q159" t="n">
        <v>0</v>
      </c>
      <c r="R159" s="2" t="inlineStr"/>
    </row>
    <row r="160" ht="15" customHeight="1">
      <c r="A160" t="inlineStr">
        <is>
          <t>A 50773-2024</t>
        </is>
      </c>
      <c r="B160" s="1" t="n">
        <v>45602.44862268519</v>
      </c>
      <c r="C160" s="1" t="n">
        <v>45915</v>
      </c>
      <c r="D160" t="inlineStr">
        <is>
          <t>VÄSTERBOTTENS LÄN</t>
        </is>
      </c>
      <c r="E160" t="inlineStr">
        <is>
          <t>BJURHOLM</t>
        </is>
      </c>
      <c r="G160" t="n">
        <v>0.8</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45915</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45915</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46435-2024</t>
        </is>
      </c>
      <c r="B163" s="1" t="n">
        <v>45582.47464120371</v>
      </c>
      <c r="C163" s="1" t="n">
        <v>45915</v>
      </c>
      <c r="D163" t="inlineStr">
        <is>
          <t>VÄSTERBOTTENS LÄN</t>
        </is>
      </c>
      <c r="E163" t="inlineStr">
        <is>
          <t>BJURHOLM</t>
        </is>
      </c>
      <c r="G163" t="n">
        <v>1</v>
      </c>
      <c r="H163" t="n">
        <v>0</v>
      </c>
      <c r="I163" t="n">
        <v>0</v>
      </c>
      <c r="J163" t="n">
        <v>0</v>
      </c>
      <c r="K163" t="n">
        <v>0</v>
      </c>
      <c r="L163" t="n">
        <v>0</v>
      </c>
      <c r="M163" t="n">
        <v>0</v>
      </c>
      <c r="N163" t="n">
        <v>0</v>
      </c>
      <c r="O163" t="n">
        <v>0</v>
      </c>
      <c r="P163" t="n">
        <v>0</v>
      </c>
      <c r="Q163" t="n">
        <v>0</v>
      </c>
      <c r="R163" s="2" t="inlineStr"/>
    </row>
    <row r="164" ht="15" customHeight="1">
      <c r="A164" t="inlineStr">
        <is>
          <t>A 34784-2023</t>
        </is>
      </c>
      <c r="B164" s="1" t="n">
        <v>45141</v>
      </c>
      <c r="C164" s="1" t="n">
        <v>45915</v>
      </c>
      <c r="D164" t="inlineStr">
        <is>
          <t>VÄSTERBOTTENS LÄN</t>
        </is>
      </c>
      <c r="E164" t="inlineStr">
        <is>
          <t>BJURHOLM</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32436-2024</t>
        </is>
      </c>
      <c r="B165" s="1" t="n">
        <v>45512</v>
      </c>
      <c r="C165" s="1" t="n">
        <v>45915</v>
      </c>
      <c r="D165" t="inlineStr">
        <is>
          <t>VÄSTERBOTTENS LÄN</t>
        </is>
      </c>
      <c r="E165" t="inlineStr">
        <is>
          <t>BJURHOLM</t>
        </is>
      </c>
      <c r="G165" t="n">
        <v>2.8</v>
      </c>
      <c r="H165" t="n">
        <v>0</v>
      </c>
      <c r="I165" t="n">
        <v>0</v>
      </c>
      <c r="J165" t="n">
        <v>0</v>
      </c>
      <c r="K165" t="n">
        <v>0</v>
      </c>
      <c r="L165" t="n">
        <v>0</v>
      </c>
      <c r="M165" t="n">
        <v>0</v>
      </c>
      <c r="N165" t="n">
        <v>0</v>
      </c>
      <c r="O165" t="n">
        <v>0</v>
      </c>
      <c r="P165" t="n">
        <v>0</v>
      </c>
      <c r="Q165" t="n">
        <v>0</v>
      </c>
      <c r="R165" s="2" t="inlineStr"/>
    </row>
    <row r="166" ht="15" customHeight="1">
      <c r="A166" t="inlineStr">
        <is>
          <t>A 17867-2025</t>
        </is>
      </c>
      <c r="B166" s="1" t="n">
        <v>45758.63064814815</v>
      </c>
      <c r="C166" s="1" t="n">
        <v>45915</v>
      </c>
      <c r="D166" t="inlineStr">
        <is>
          <t>VÄSTERBOTTENS LÄN</t>
        </is>
      </c>
      <c r="E166" t="inlineStr">
        <is>
          <t>BJURHOLM</t>
        </is>
      </c>
      <c r="G166" t="n">
        <v>4.6</v>
      </c>
      <c r="H166" t="n">
        <v>0</v>
      </c>
      <c r="I166" t="n">
        <v>0</v>
      </c>
      <c r="J166" t="n">
        <v>0</v>
      </c>
      <c r="K166" t="n">
        <v>0</v>
      </c>
      <c r="L166" t="n">
        <v>0</v>
      </c>
      <c r="M166" t="n">
        <v>0</v>
      </c>
      <c r="N166" t="n">
        <v>0</v>
      </c>
      <c r="O166" t="n">
        <v>0</v>
      </c>
      <c r="P166" t="n">
        <v>0</v>
      </c>
      <c r="Q166" t="n">
        <v>0</v>
      </c>
      <c r="R166" s="2" t="inlineStr"/>
    </row>
    <row r="167" ht="15" customHeight="1">
      <c r="A167" t="inlineStr">
        <is>
          <t>A 17740-2024</t>
        </is>
      </c>
      <c r="B167" s="1" t="n">
        <v>45418</v>
      </c>
      <c r="C167" s="1" t="n">
        <v>45915</v>
      </c>
      <c r="D167" t="inlineStr">
        <is>
          <t>VÄSTERBOTTENS LÄN</t>
        </is>
      </c>
      <c r="E167" t="inlineStr">
        <is>
          <t>BJURHOLM</t>
        </is>
      </c>
      <c r="F167" t="inlineStr">
        <is>
          <t>Holmen skog AB</t>
        </is>
      </c>
      <c r="G167" t="n">
        <v>3.1</v>
      </c>
      <c r="H167" t="n">
        <v>0</v>
      </c>
      <c r="I167" t="n">
        <v>0</v>
      </c>
      <c r="J167" t="n">
        <v>0</v>
      </c>
      <c r="K167" t="n">
        <v>0</v>
      </c>
      <c r="L167" t="n">
        <v>0</v>
      </c>
      <c r="M167" t="n">
        <v>0</v>
      </c>
      <c r="N167" t="n">
        <v>0</v>
      </c>
      <c r="O167" t="n">
        <v>0</v>
      </c>
      <c r="P167" t="n">
        <v>0</v>
      </c>
      <c r="Q167" t="n">
        <v>0</v>
      </c>
      <c r="R167" s="2" t="inlineStr"/>
    </row>
    <row r="168" ht="15" customHeight="1">
      <c r="A168" t="inlineStr">
        <is>
          <t>A 8499-2024</t>
        </is>
      </c>
      <c r="B168" s="1" t="n">
        <v>45351</v>
      </c>
      <c r="C168" s="1" t="n">
        <v>45915</v>
      </c>
      <c r="D168" t="inlineStr">
        <is>
          <t>VÄSTERBOTTENS LÄN</t>
        </is>
      </c>
      <c r="E168" t="inlineStr">
        <is>
          <t>BJURHOLM</t>
        </is>
      </c>
      <c r="G168" t="n">
        <v>0.2</v>
      </c>
      <c r="H168" t="n">
        <v>0</v>
      </c>
      <c r="I168" t="n">
        <v>0</v>
      </c>
      <c r="J168" t="n">
        <v>0</v>
      </c>
      <c r="K168" t="n">
        <v>0</v>
      </c>
      <c r="L168" t="n">
        <v>0</v>
      </c>
      <c r="M168" t="n">
        <v>0</v>
      </c>
      <c r="N168" t="n">
        <v>0</v>
      </c>
      <c r="O168" t="n">
        <v>0</v>
      </c>
      <c r="P168" t="n">
        <v>0</v>
      </c>
      <c r="Q168" t="n">
        <v>0</v>
      </c>
      <c r="R168" s="2" t="inlineStr"/>
    </row>
    <row r="169" ht="15" customHeight="1">
      <c r="A169" t="inlineStr">
        <is>
          <t>A 60224-2024</t>
        </is>
      </c>
      <c r="B169" s="1" t="n">
        <v>45642.70561342593</v>
      </c>
      <c r="C169" s="1" t="n">
        <v>45915</v>
      </c>
      <c r="D169" t="inlineStr">
        <is>
          <t>VÄSTERBOTTENS LÄN</t>
        </is>
      </c>
      <c r="E169" t="inlineStr">
        <is>
          <t>BJURHOLM</t>
        </is>
      </c>
      <c r="F169" t="inlineStr">
        <is>
          <t>Sveaskog</t>
        </is>
      </c>
      <c r="G169" t="n">
        <v>9.4</v>
      </c>
      <c r="H169" t="n">
        <v>0</v>
      </c>
      <c r="I169" t="n">
        <v>0</v>
      </c>
      <c r="J169" t="n">
        <v>0</v>
      </c>
      <c r="K169" t="n">
        <v>0</v>
      </c>
      <c r="L169" t="n">
        <v>0</v>
      </c>
      <c r="M169" t="n">
        <v>0</v>
      </c>
      <c r="N169" t="n">
        <v>0</v>
      </c>
      <c r="O169" t="n">
        <v>0</v>
      </c>
      <c r="P169" t="n">
        <v>0</v>
      </c>
      <c r="Q169" t="n">
        <v>0</v>
      </c>
      <c r="R169" s="2" t="inlineStr"/>
    </row>
    <row r="170" ht="15" customHeight="1">
      <c r="A170" t="inlineStr">
        <is>
          <t>A 36978-2024</t>
        </is>
      </c>
      <c r="B170" s="1" t="n">
        <v>45539</v>
      </c>
      <c r="C170" s="1" t="n">
        <v>45915</v>
      </c>
      <c r="D170" t="inlineStr">
        <is>
          <t>VÄSTERBOTTENS LÄN</t>
        </is>
      </c>
      <c r="E170" t="inlineStr">
        <is>
          <t>BJURHOLM</t>
        </is>
      </c>
      <c r="G170" t="n">
        <v>0.4</v>
      </c>
      <c r="H170" t="n">
        <v>0</v>
      </c>
      <c r="I170" t="n">
        <v>0</v>
      </c>
      <c r="J170" t="n">
        <v>0</v>
      </c>
      <c r="K170" t="n">
        <v>0</v>
      </c>
      <c r="L170" t="n">
        <v>0</v>
      </c>
      <c r="M170" t="n">
        <v>0</v>
      </c>
      <c r="N170" t="n">
        <v>0</v>
      </c>
      <c r="O170" t="n">
        <v>0</v>
      </c>
      <c r="P170" t="n">
        <v>0</v>
      </c>
      <c r="Q170" t="n">
        <v>0</v>
      </c>
      <c r="R170" s="2" t="inlineStr"/>
    </row>
    <row r="171" ht="15" customHeight="1">
      <c r="A171" t="inlineStr">
        <is>
          <t>A 29641-2024</t>
        </is>
      </c>
      <c r="B171" s="1" t="n">
        <v>45484.71327546296</v>
      </c>
      <c r="C171" s="1" t="n">
        <v>45915</v>
      </c>
      <c r="D171" t="inlineStr">
        <is>
          <t>VÄSTERBOTTENS LÄN</t>
        </is>
      </c>
      <c r="E171" t="inlineStr">
        <is>
          <t>BJURHOLM</t>
        </is>
      </c>
      <c r="G171" t="n">
        <v>0.7</v>
      </c>
      <c r="H171" t="n">
        <v>0</v>
      </c>
      <c r="I171" t="n">
        <v>0</v>
      </c>
      <c r="J171" t="n">
        <v>0</v>
      </c>
      <c r="K171" t="n">
        <v>0</v>
      </c>
      <c r="L171" t="n">
        <v>0</v>
      </c>
      <c r="M171" t="n">
        <v>0</v>
      </c>
      <c r="N171" t="n">
        <v>0</v>
      </c>
      <c r="O171" t="n">
        <v>0</v>
      </c>
      <c r="P171" t="n">
        <v>0</v>
      </c>
      <c r="Q171" t="n">
        <v>0</v>
      </c>
      <c r="R171" s="2" t="inlineStr"/>
    </row>
    <row r="172" ht="15" customHeight="1">
      <c r="A172" t="inlineStr">
        <is>
          <t>A 22502-2024</t>
        </is>
      </c>
      <c r="B172" s="1" t="n">
        <v>45447</v>
      </c>
      <c r="C172" s="1" t="n">
        <v>45915</v>
      </c>
      <c r="D172" t="inlineStr">
        <is>
          <t>VÄSTERBOTTENS LÄN</t>
        </is>
      </c>
      <c r="E172" t="inlineStr">
        <is>
          <t>BJURHOLM</t>
        </is>
      </c>
      <c r="F172" t="inlineStr">
        <is>
          <t>Holmen skog AB</t>
        </is>
      </c>
      <c r="G172" t="n">
        <v>2.5</v>
      </c>
      <c r="H172" t="n">
        <v>0</v>
      </c>
      <c r="I172" t="n">
        <v>0</v>
      </c>
      <c r="J172" t="n">
        <v>0</v>
      </c>
      <c r="K172" t="n">
        <v>0</v>
      </c>
      <c r="L172" t="n">
        <v>0</v>
      </c>
      <c r="M172" t="n">
        <v>0</v>
      </c>
      <c r="N172" t="n">
        <v>0</v>
      </c>
      <c r="O172" t="n">
        <v>0</v>
      </c>
      <c r="P172" t="n">
        <v>0</v>
      </c>
      <c r="Q172" t="n">
        <v>0</v>
      </c>
      <c r="R172" s="2" t="inlineStr"/>
    </row>
    <row r="173" ht="15" customHeight="1">
      <c r="A173" t="inlineStr">
        <is>
          <t>A 31575-2024</t>
        </is>
      </c>
      <c r="B173" s="1" t="n">
        <v>45506</v>
      </c>
      <c r="C173" s="1" t="n">
        <v>45915</v>
      </c>
      <c r="D173" t="inlineStr">
        <is>
          <t>VÄSTERBOTTENS LÄN</t>
        </is>
      </c>
      <c r="E173" t="inlineStr">
        <is>
          <t>BJURHOLM</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43043-2024</t>
        </is>
      </c>
      <c r="B174" s="1" t="n">
        <v>45567</v>
      </c>
      <c r="C174" s="1" t="n">
        <v>45915</v>
      </c>
      <c r="D174" t="inlineStr">
        <is>
          <t>VÄSTERBOTTENS LÄN</t>
        </is>
      </c>
      <c r="E174" t="inlineStr">
        <is>
          <t>BJURHOLM</t>
        </is>
      </c>
      <c r="G174" t="n">
        <v>1.1</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45915</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27953-2024</t>
        </is>
      </c>
      <c r="B176" s="1" t="n">
        <v>45476</v>
      </c>
      <c r="C176" s="1" t="n">
        <v>45915</v>
      </c>
      <c r="D176" t="inlineStr">
        <is>
          <t>VÄSTERBOTTENS LÄN</t>
        </is>
      </c>
      <c r="E176" t="inlineStr">
        <is>
          <t>BJURHOLM</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20949-2023</t>
        </is>
      </c>
      <c r="B177" s="1" t="n">
        <v>45056</v>
      </c>
      <c r="C177" s="1" t="n">
        <v>45915</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59553-2024</t>
        </is>
      </c>
      <c r="B178" s="1" t="n">
        <v>45638.63533564815</v>
      </c>
      <c r="C178" s="1" t="n">
        <v>45915</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40577-2024</t>
        </is>
      </c>
      <c r="B179" s="1" t="n">
        <v>45555</v>
      </c>
      <c r="C179" s="1" t="n">
        <v>45915</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39101-2024</t>
        </is>
      </c>
      <c r="B180" s="1" t="n">
        <v>45548.56578703703</v>
      </c>
      <c r="C180" s="1" t="n">
        <v>45915</v>
      </c>
      <c r="D180" t="inlineStr">
        <is>
          <t>VÄSTERBOTTENS LÄN</t>
        </is>
      </c>
      <c r="E180" t="inlineStr">
        <is>
          <t>BJURHOLM</t>
        </is>
      </c>
      <c r="G180" t="n">
        <v>5.1</v>
      </c>
      <c r="H180" t="n">
        <v>0</v>
      </c>
      <c r="I180" t="n">
        <v>0</v>
      </c>
      <c r="J180" t="n">
        <v>0</v>
      </c>
      <c r="K180" t="n">
        <v>0</v>
      </c>
      <c r="L180" t="n">
        <v>0</v>
      </c>
      <c r="M180" t="n">
        <v>0</v>
      </c>
      <c r="N180" t="n">
        <v>0</v>
      </c>
      <c r="O180" t="n">
        <v>0</v>
      </c>
      <c r="P180" t="n">
        <v>0</v>
      </c>
      <c r="Q180" t="n">
        <v>0</v>
      </c>
      <c r="R180" s="2" t="inlineStr"/>
    </row>
    <row r="181" ht="15" customHeight="1">
      <c r="A181" t="inlineStr">
        <is>
          <t>A 44629-2023</t>
        </is>
      </c>
      <c r="B181" s="1" t="n">
        <v>45189</v>
      </c>
      <c r="C181" s="1" t="n">
        <v>45915</v>
      </c>
      <c r="D181" t="inlineStr">
        <is>
          <t>VÄSTERBOTTENS LÄN</t>
        </is>
      </c>
      <c r="E181" t="inlineStr">
        <is>
          <t>BJURHOLM</t>
        </is>
      </c>
      <c r="G181" t="n">
        <v>15.6</v>
      </c>
      <c r="H181" t="n">
        <v>0</v>
      </c>
      <c r="I181" t="n">
        <v>0</v>
      </c>
      <c r="J181" t="n">
        <v>0</v>
      </c>
      <c r="K181" t="n">
        <v>0</v>
      </c>
      <c r="L181" t="n">
        <v>0</v>
      </c>
      <c r="M181" t="n">
        <v>0</v>
      </c>
      <c r="N181" t="n">
        <v>0</v>
      </c>
      <c r="O181" t="n">
        <v>0</v>
      </c>
      <c r="P181" t="n">
        <v>0</v>
      </c>
      <c r="Q181" t="n">
        <v>0</v>
      </c>
      <c r="R181" s="2" t="inlineStr"/>
    </row>
    <row r="182" ht="15" customHeight="1">
      <c r="A182" t="inlineStr">
        <is>
          <t>A 53261-2024</t>
        </is>
      </c>
      <c r="B182" s="1" t="n">
        <v>45614.34428240741</v>
      </c>
      <c r="C182" s="1" t="n">
        <v>45915</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20777-2024</t>
        </is>
      </c>
      <c r="B183" s="1" t="n">
        <v>45436</v>
      </c>
      <c r="C183" s="1" t="n">
        <v>45915</v>
      </c>
      <c r="D183" t="inlineStr">
        <is>
          <t>VÄSTERBOTTENS LÄN</t>
        </is>
      </c>
      <c r="E183" t="inlineStr">
        <is>
          <t>BJURHOLM</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20779-2024</t>
        </is>
      </c>
      <c r="B184" s="1" t="n">
        <v>45436.94708333333</v>
      </c>
      <c r="C184" s="1" t="n">
        <v>45915</v>
      </c>
      <c r="D184" t="inlineStr">
        <is>
          <t>VÄSTERBOTTENS LÄN</t>
        </is>
      </c>
      <c r="E184" t="inlineStr">
        <is>
          <t>BJURHOLM</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23181-2024</t>
        </is>
      </c>
      <c r="B185" s="1" t="n">
        <v>45450</v>
      </c>
      <c r="C185" s="1" t="n">
        <v>45915</v>
      </c>
      <c r="D185" t="inlineStr">
        <is>
          <t>VÄSTERBOTTENS LÄN</t>
        </is>
      </c>
      <c r="E185" t="inlineStr">
        <is>
          <t>BJURHOLM</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27297-2024</t>
        </is>
      </c>
      <c r="B186" s="1" t="n">
        <v>45471.9431712963</v>
      </c>
      <c r="C186" s="1" t="n">
        <v>45915</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57562-2024</t>
        </is>
      </c>
      <c r="B187" s="1" t="n">
        <v>45630</v>
      </c>
      <c r="C187" s="1" t="n">
        <v>45915</v>
      </c>
      <c r="D187" t="inlineStr">
        <is>
          <t>VÄSTERBOTTENS LÄN</t>
        </is>
      </c>
      <c r="E187" t="inlineStr">
        <is>
          <t>BJURHOLM</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54151-2024</t>
        </is>
      </c>
      <c r="B188" s="1" t="n">
        <v>45616</v>
      </c>
      <c r="C188" s="1" t="n">
        <v>45915</v>
      </c>
      <c r="D188" t="inlineStr">
        <is>
          <t>VÄSTERBOTTENS LÄN</t>
        </is>
      </c>
      <c r="E188" t="inlineStr">
        <is>
          <t>BJURHOLM</t>
        </is>
      </c>
      <c r="G188" t="n">
        <v>4.8</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45915</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50680-2024</t>
        </is>
      </c>
      <c r="B190" s="1" t="n">
        <v>45602</v>
      </c>
      <c r="C190" s="1" t="n">
        <v>45915</v>
      </c>
      <c r="D190" t="inlineStr">
        <is>
          <t>VÄSTERBOTTENS LÄN</t>
        </is>
      </c>
      <c r="E190" t="inlineStr">
        <is>
          <t>BJURHOLM</t>
        </is>
      </c>
      <c r="F190" t="inlineStr">
        <is>
          <t>Holmen skog AB</t>
        </is>
      </c>
      <c r="G190" t="n">
        <v>4.8</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45915</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44812-2023</t>
        </is>
      </c>
      <c r="B192" s="1" t="n">
        <v>45190.50340277778</v>
      </c>
      <c r="C192" s="1" t="n">
        <v>45915</v>
      </c>
      <c r="D192" t="inlineStr">
        <is>
          <t>VÄSTERBOTTENS LÄN</t>
        </is>
      </c>
      <c r="E192" t="inlineStr">
        <is>
          <t>BJURHOLM</t>
        </is>
      </c>
      <c r="G192" t="n">
        <v>1.3</v>
      </c>
      <c r="H192" t="n">
        <v>0</v>
      </c>
      <c r="I192" t="n">
        <v>0</v>
      </c>
      <c r="J192" t="n">
        <v>0</v>
      </c>
      <c r="K192" t="n">
        <v>0</v>
      </c>
      <c r="L192" t="n">
        <v>0</v>
      </c>
      <c r="M192" t="n">
        <v>0</v>
      </c>
      <c r="N192" t="n">
        <v>0</v>
      </c>
      <c r="O192" t="n">
        <v>0</v>
      </c>
      <c r="P192" t="n">
        <v>0</v>
      </c>
      <c r="Q192" t="n">
        <v>0</v>
      </c>
      <c r="R192" s="2" t="inlineStr"/>
    </row>
    <row r="193" ht="15" customHeight="1">
      <c r="A193" t="inlineStr">
        <is>
          <t>A 60692-2022</t>
        </is>
      </c>
      <c r="B193" s="1" t="n">
        <v>44911.94085648148</v>
      </c>
      <c r="C193" s="1" t="n">
        <v>45915</v>
      </c>
      <c r="D193" t="inlineStr">
        <is>
          <t>VÄSTERBOTTENS LÄN</t>
        </is>
      </c>
      <c r="E193" t="inlineStr">
        <is>
          <t>BJURHOLM</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19573-2024</t>
        </is>
      </c>
      <c r="B194" s="1" t="n">
        <v>45429</v>
      </c>
      <c r="C194" s="1" t="n">
        <v>45915</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61597-2024</t>
        </is>
      </c>
      <c r="B195" s="1" t="n">
        <v>45646</v>
      </c>
      <c r="C195" s="1" t="n">
        <v>45915</v>
      </c>
      <c r="D195" t="inlineStr">
        <is>
          <t>VÄSTERBOTTENS LÄN</t>
        </is>
      </c>
      <c r="E195" t="inlineStr">
        <is>
          <t>BJURHOLM</t>
        </is>
      </c>
      <c r="G195" t="n">
        <v>2.3</v>
      </c>
      <c r="H195" t="n">
        <v>0</v>
      </c>
      <c r="I195" t="n">
        <v>0</v>
      </c>
      <c r="J195" t="n">
        <v>0</v>
      </c>
      <c r="K195" t="n">
        <v>0</v>
      </c>
      <c r="L195" t="n">
        <v>0</v>
      </c>
      <c r="M195" t="n">
        <v>0</v>
      </c>
      <c r="N195" t="n">
        <v>0</v>
      </c>
      <c r="O195" t="n">
        <v>0</v>
      </c>
      <c r="P195" t="n">
        <v>0</v>
      </c>
      <c r="Q195" t="n">
        <v>0</v>
      </c>
      <c r="R195" s="2" t="inlineStr"/>
    </row>
    <row r="196" ht="15" customHeight="1">
      <c r="A196" t="inlineStr">
        <is>
          <t>A 58489-2023</t>
        </is>
      </c>
      <c r="B196" s="1" t="n">
        <v>45251.33342592593</v>
      </c>
      <c r="C196" s="1" t="n">
        <v>45915</v>
      </c>
      <c r="D196" t="inlineStr">
        <is>
          <t>VÄSTERBOTTENS LÄN</t>
        </is>
      </c>
      <c r="E196" t="inlineStr">
        <is>
          <t>BJURHOLM</t>
        </is>
      </c>
      <c r="G196" t="n">
        <v>3.1</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45915</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36484-2024</t>
        </is>
      </c>
      <c r="B198" s="1" t="n">
        <v>45537</v>
      </c>
      <c r="C198" s="1" t="n">
        <v>45915</v>
      </c>
      <c r="D198" t="inlineStr">
        <is>
          <t>VÄSTERBOTTENS LÄN</t>
        </is>
      </c>
      <c r="E198" t="inlineStr">
        <is>
          <t>BJURHOLM</t>
        </is>
      </c>
      <c r="G198" t="n">
        <v>11.2</v>
      </c>
      <c r="H198" t="n">
        <v>0</v>
      </c>
      <c r="I198" t="n">
        <v>0</v>
      </c>
      <c r="J198" t="n">
        <v>0</v>
      </c>
      <c r="K198" t="n">
        <v>0</v>
      </c>
      <c r="L198" t="n">
        <v>0</v>
      </c>
      <c r="M198" t="n">
        <v>0</v>
      </c>
      <c r="N198" t="n">
        <v>0</v>
      </c>
      <c r="O198" t="n">
        <v>0</v>
      </c>
      <c r="P198" t="n">
        <v>0</v>
      </c>
      <c r="Q198" t="n">
        <v>0</v>
      </c>
      <c r="R198" s="2" t="inlineStr"/>
    </row>
    <row r="199" ht="15" customHeight="1">
      <c r="A199" t="inlineStr">
        <is>
          <t>A 7312-2024</t>
        </is>
      </c>
      <c r="B199" s="1" t="n">
        <v>45345.34260416667</v>
      </c>
      <c r="C199" s="1" t="n">
        <v>45915</v>
      </c>
      <c r="D199" t="inlineStr">
        <is>
          <t>VÄSTERBOTTENS LÄN</t>
        </is>
      </c>
      <c r="E199" t="inlineStr">
        <is>
          <t>BJURHOLM</t>
        </is>
      </c>
      <c r="G199" t="n">
        <v>4.4</v>
      </c>
      <c r="H199" t="n">
        <v>0</v>
      </c>
      <c r="I199" t="n">
        <v>0</v>
      </c>
      <c r="J199" t="n">
        <v>0</v>
      </c>
      <c r="K199" t="n">
        <v>0</v>
      </c>
      <c r="L199" t="n">
        <v>0</v>
      </c>
      <c r="M199" t="n">
        <v>0</v>
      </c>
      <c r="N199" t="n">
        <v>0</v>
      </c>
      <c r="O199" t="n">
        <v>0</v>
      </c>
      <c r="P199" t="n">
        <v>0</v>
      </c>
      <c r="Q199" t="n">
        <v>0</v>
      </c>
      <c r="R199" s="2" t="inlineStr"/>
    </row>
    <row r="200" ht="15" customHeight="1">
      <c r="A200" t="inlineStr">
        <is>
          <t>A 52535-2024</t>
        </is>
      </c>
      <c r="B200" s="1" t="n">
        <v>45609.61846064815</v>
      </c>
      <c r="C200" s="1" t="n">
        <v>45915</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52671-2024</t>
        </is>
      </c>
      <c r="B201" s="1" t="n">
        <v>45610.38056712963</v>
      </c>
      <c r="C201" s="1" t="n">
        <v>45915</v>
      </c>
      <c r="D201" t="inlineStr">
        <is>
          <t>VÄSTERBOTTENS LÄN</t>
        </is>
      </c>
      <c r="E201" t="inlineStr">
        <is>
          <t>BJURHOLM</t>
        </is>
      </c>
      <c r="F201" t="inlineStr">
        <is>
          <t>Holmen skog AB</t>
        </is>
      </c>
      <c r="G201" t="n">
        <v>4.4</v>
      </c>
      <c r="H201" t="n">
        <v>0</v>
      </c>
      <c r="I201" t="n">
        <v>0</v>
      </c>
      <c r="J201" t="n">
        <v>0</v>
      </c>
      <c r="K201" t="n">
        <v>0</v>
      </c>
      <c r="L201" t="n">
        <v>0</v>
      </c>
      <c r="M201" t="n">
        <v>0</v>
      </c>
      <c r="N201" t="n">
        <v>0</v>
      </c>
      <c r="O201" t="n">
        <v>0</v>
      </c>
      <c r="P201" t="n">
        <v>0</v>
      </c>
      <c r="Q201" t="n">
        <v>0</v>
      </c>
      <c r="R201" s="2" t="inlineStr"/>
    </row>
    <row r="202" ht="15" customHeight="1">
      <c r="A202" t="inlineStr">
        <is>
          <t>A 47591-2024</t>
        </is>
      </c>
      <c r="B202" s="1" t="n">
        <v>45587.83815972223</v>
      </c>
      <c r="C202" s="1" t="n">
        <v>45915</v>
      </c>
      <c r="D202" t="inlineStr">
        <is>
          <t>VÄSTERBOTTENS LÄN</t>
        </is>
      </c>
      <c r="E202" t="inlineStr">
        <is>
          <t>BJURHOLM</t>
        </is>
      </c>
      <c r="G202" t="n">
        <v>5.4</v>
      </c>
      <c r="H202" t="n">
        <v>0</v>
      </c>
      <c r="I202" t="n">
        <v>0</v>
      </c>
      <c r="J202" t="n">
        <v>0</v>
      </c>
      <c r="K202" t="n">
        <v>0</v>
      </c>
      <c r="L202" t="n">
        <v>0</v>
      </c>
      <c r="M202" t="n">
        <v>0</v>
      </c>
      <c r="N202" t="n">
        <v>0</v>
      </c>
      <c r="O202" t="n">
        <v>0</v>
      </c>
      <c r="P202" t="n">
        <v>0</v>
      </c>
      <c r="Q202" t="n">
        <v>0</v>
      </c>
      <c r="R202" s="2" t="inlineStr"/>
    </row>
    <row r="203" ht="15" customHeight="1">
      <c r="A203" t="inlineStr">
        <is>
          <t>A 25944-2023</t>
        </is>
      </c>
      <c r="B203" s="1" t="n">
        <v>45090.70563657407</v>
      </c>
      <c r="C203" s="1" t="n">
        <v>45915</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7723-2024</t>
        </is>
      </c>
      <c r="B204" s="1" t="n">
        <v>45348</v>
      </c>
      <c r="C204" s="1" t="n">
        <v>45915</v>
      </c>
      <c r="D204" t="inlineStr">
        <is>
          <t>VÄSTERBOTTENS LÄN</t>
        </is>
      </c>
      <c r="E204" t="inlineStr">
        <is>
          <t>BJURHOLM</t>
        </is>
      </c>
      <c r="G204" t="n">
        <v>2.6</v>
      </c>
      <c r="H204" t="n">
        <v>0</v>
      </c>
      <c r="I204" t="n">
        <v>0</v>
      </c>
      <c r="J204" t="n">
        <v>0</v>
      </c>
      <c r="K204" t="n">
        <v>0</v>
      </c>
      <c r="L204" t="n">
        <v>0</v>
      </c>
      <c r="M204" t="n">
        <v>0</v>
      </c>
      <c r="N204" t="n">
        <v>0</v>
      </c>
      <c r="O204" t="n">
        <v>0</v>
      </c>
      <c r="P204" t="n">
        <v>0</v>
      </c>
      <c r="Q204" t="n">
        <v>0</v>
      </c>
      <c r="R204" s="2" t="inlineStr"/>
    </row>
    <row r="205" ht="15" customHeight="1">
      <c r="A205" t="inlineStr">
        <is>
          <t>A 62581-2022</t>
        </is>
      </c>
      <c r="B205" s="1" t="n">
        <v>44924</v>
      </c>
      <c r="C205" s="1" t="n">
        <v>45915</v>
      </c>
      <c r="D205" t="inlineStr">
        <is>
          <t>VÄSTERBOTTENS LÄN</t>
        </is>
      </c>
      <c r="E205" t="inlineStr">
        <is>
          <t>BJURHOLM</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19578-2024</t>
        </is>
      </c>
      <c r="B206" s="1" t="n">
        <v>45429.92396990741</v>
      </c>
      <c r="C206" s="1" t="n">
        <v>45915</v>
      </c>
      <c r="D206" t="inlineStr">
        <is>
          <t>VÄSTERBOTTENS LÄN</t>
        </is>
      </c>
      <c r="E206" t="inlineStr">
        <is>
          <t>BJURHOLM</t>
        </is>
      </c>
      <c r="G206" t="n">
        <v>0.8</v>
      </c>
      <c r="H206" t="n">
        <v>0</v>
      </c>
      <c r="I206" t="n">
        <v>0</v>
      </c>
      <c r="J206" t="n">
        <v>0</v>
      </c>
      <c r="K206" t="n">
        <v>0</v>
      </c>
      <c r="L206" t="n">
        <v>0</v>
      </c>
      <c r="M206" t="n">
        <v>0</v>
      </c>
      <c r="N206" t="n">
        <v>0</v>
      </c>
      <c r="O206" t="n">
        <v>0</v>
      </c>
      <c r="P206" t="n">
        <v>0</v>
      </c>
      <c r="Q206" t="n">
        <v>0</v>
      </c>
      <c r="R206" s="2" t="inlineStr"/>
    </row>
    <row r="207" ht="15" customHeight="1">
      <c r="A207" t="inlineStr">
        <is>
          <t>A 46614-2023</t>
        </is>
      </c>
      <c r="B207" s="1" t="n">
        <v>45198.40074074074</v>
      </c>
      <c r="C207" s="1" t="n">
        <v>45915</v>
      </c>
      <c r="D207" t="inlineStr">
        <is>
          <t>VÄSTERBOTTENS LÄN</t>
        </is>
      </c>
      <c r="E207" t="inlineStr">
        <is>
          <t>BJURHOLM</t>
        </is>
      </c>
      <c r="F207" t="inlineStr">
        <is>
          <t>Holmen skog AB</t>
        </is>
      </c>
      <c r="G207" t="n">
        <v>1.1</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45915</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43317-2024</t>
        </is>
      </c>
      <c r="B209" s="1" t="n">
        <v>45568</v>
      </c>
      <c r="C209" s="1" t="n">
        <v>45915</v>
      </c>
      <c r="D209" t="inlineStr">
        <is>
          <t>VÄSTERBOTTENS LÄN</t>
        </is>
      </c>
      <c r="E209" t="inlineStr">
        <is>
          <t>BJURHOLM</t>
        </is>
      </c>
      <c r="G209" t="n">
        <v>4.5</v>
      </c>
      <c r="H209" t="n">
        <v>0</v>
      </c>
      <c r="I209" t="n">
        <v>0</v>
      </c>
      <c r="J209" t="n">
        <v>0</v>
      </c>
      <c r="K209" t="n">
        <v>0</v>
      </c>
      <c r="L209" t="n">
        <v>0</v>
      </c>
      <c r="M209" t="n">
        <v>0</v>
      </c>
      <c r="N209" t="n">
        <v>0</v>
      </c>
      <c r="O209" t="n">
        <v>0</v>
      </c>
      <c r="P209" t="n">
        <v>0</v>
      </c>
      <c r="Q209" t="n">
        <v>0</v>
      </c>
      <c r="R209" s="2" t="inlineStr"/>
    </row>
    <row r="210" ht="15" customHeight="1">
      <c r="A210" t="inlineStr">
        <is>
          <t>A 44777-2023</t>
        </is>
      </c>
      <c r="B210" s="1" t="n">
        <v>45190</v>
      </c>
      <c r="C210" s="1" t="n">
        <v>45915</v>
      </c>
      <c r="D210" t="inlineStr">
        <is>
          <t>VÄSTERBOTTENS LÄN</t>
        </is>
      </c>
      <c r="E210" t="inlineStr">
        <is>
          <t>BJURHOLM</t>
        </is>
      </c>
      <c r="F210" t="inlineStr">
        <is>
          <t>Holmen skog AB</t>
        </is>
      </c>
      <c r="G210" t="n">
        <v>10.7</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45915</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27597-2025</t>
        </is>
      </c>
      <c r="B212" s="1" t="n">
        <v>45813.52341435185</v>
      </c>
      <c r="C212" s="1" t="n">
        <v>45915</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27612-2025</t>
        </is>
      </c>
      <c r="B213" s="1" t="n">
        <v>45813.53979166667</v>
      </c>
      <c r="C213" s="1" t="n">
        <v>45915</v>
      </c>
      <c r="D213" t="inlineStr">
        <is>
          <t>VÄSTERBOTTENS LÄN</t>
        </is>
      </c>
      <c r="E213" t="inlineStr">
        <is>
          <t>BJURHOLM</t>
        </is>
      </c>
      <c r="G213" t="n">
        <v>3.9</v>
      </c>
      <c r="H213" t="n">
        <v>0</v>
      </c>
      <c r="I213" t="n">
        <v>0</v>
      </c>
      <c r="J213" t="n">
        <v>0</v>
      </c>
      <c r="K213" t="n">
        <v>0</v>
      </c>
      <c r="L213" t="n">
        <v>0</v>
      </c>
      <c r="M213" t="n">
        <v>0</v>
      </c>
      <c r="N213" t="n">
        <v>0</v>
      </c>
      <c r="O213" t="n">
        <v>0</v>
      </c>
      <c r="P213" t="n">
        <v>0</v>
      </c>
      <c r="Q213" t="n">
        <v>0</v>
      </c>
      <c r="R213" s="2" t="inlineStr"/>
    </row>
    <row r="214" ht="15" customHeight="1">
      <c r="A214" t="inlineStr">
        <is>
          <t>A 29006-2023</t>
        </is>
      </c>
      <c r="B214" s="1" t="n">
        <v>45104.65298611111</v>
      </c>
      <c r="C214" s="1" t="n">
        <v>45915</v>
      </c>
      <c r="D214" t="inlineStr">
        <is>
          <t>VÄSTERBOTTENS LÄN</t>
        </is>
      </c>
      <c r="E214" t="inlineStr">
        <is>
          <t>BJURHOLM</t>
        </is>
      </c>
      <c r="F214" t="inlineStr">
        <is>
          <t>Holmen skog AB</t>
        </is>
      </c>
      <c r="G214" t="n">
        <v>17.2</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45915</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44880-2023</t>
        </is>
      </c>
      <c r="B216" s="1" t="n">
        <v>45190.60920138889</v>
      </c>
      <c r="C216" s="1" t="n">
        <v>45915</v>
      </c>
      <c r="D216" t="inlineStr">
        <is>
          <t>VÄSTERBOTTENS LÄN</t>
        </is>
      </c>
      <c r="E216" t="inlineStr">
        <is>
          <t>BJURHOLM</t>
        </is>
      </c>
      <c r="F216" t="inlineStr">
        <is>
          <t>Holmen skog AB</t>
        </is>
      </c>
      <c r="G216" t="n">
        <v>10.5</v>
      </c>
      <c r="H216" t="n">
        <v>0</v>
      </c>
      <c r="I216" t="n">
        <v>0</v>
      </c>
      <c r="J216" t="n">
        <v>0</v>
      </c>
      <c r="K216" t="n">
        <v>0</v>
      </c>
      <c r="L216" t="n">
        <v>0</v>
      </c>
      <c r="M216" t="n">
        <v>0</v>
      </c>
      <c r="N216" t="n">
        <v>0</v>
      </c>
      <c r="O216" t="n">
        <v>0</v>
      </c>
      <c r="P216" t="n">
        <v>0</v>
      </c>
      <c r="Q216" t="n">
        <v>0</v>
      </c>
      <c r="R216" s="2" t="inlineStr"/>
    </row>
    <row r="217" ht="15" customHeight="1">
      <c r="A217" t="inlineStr">
        <is>
          <t>A 10527-2025</t>
        </is>
      </c>
      <c r="B217" s="1" t="n">
        <v>45721.445625</v>
      </c>
      <c r="C217" s="1" t="n">
        <v>45915</v>
      </c>
      <c r="D217" t="inlineStr">
        <is>
          <t>VÄSTERBOTTENS LÄN</t>
        </is>
      </c>
      <c r="E217" t="inlineStr">
        <is>
          <t>BJURHOLM</t>
        </is>
      </c>
      <c r="G217" t="n">
        <v>1.9</v>
      </c>
      <c r="H217" t="n">
        <v>0</v>
      </c>
      <c r="I217" t="n">
        <v>0</v>
      </c>
      <c r="J217" t="n">
        <v>0</v>
      </c>
      <c r="K217" t="n">
        <v>0</v>
      </c>
      <c r="L217" t="n">
        <v>0</v>
      </c>
      <c r="M217" t="n">
        <v>0</v>
      </c>
      <c r="N217" t="n">
        <v>0</v>
      </c>
      <c r="O217" t="n">
        <v>0</v>
      </c>
      <c r="P217" t="n">
        <v>0</v>
      </c>
      <c r="Q217" t="n">
        <v>0</v>
      </c>
      <c r="R217" s="2" t="inlineStr"/>
    </row>
    <row r="218" ht="15" customHeight="1">
      <c r="A218" t="inlineStr">
        <is>
          <t>A 60606-2023</t>
        </is>
      </c>
      <c r="B218" s="1" t="n">
        <v>45260.34408564815</v>
      </c>
      <c r="C218" s="1" t="n">
        <v>45915</v>
      </c>
      <c r="D218" t="inlineStr">
        <is>
          <t>VÄSTERBOTTENS LÄN</t>
        </is>
      </c>
      <c r="E218" t="inlineStr">
        <is>
          <t>BJURHOLM</t>
        </is>
      </c>
      <c r="G218" t="n">
        <v>7.5</v>
      </c>
      <c r="H218" t="n">
        <v>0</v>
      </c>
      <c r="I218" t="n">
        <v>0</v>
      </c>
      <c r="J218" t="n">
        <v>0</v>
      </c>
      <c r="K218" t="n">
        <v>0</v>
      </c>
      <c r="L218" t="n">
        <v>0</v>
      </c>
      <c r="M218" t="n">
        <v>0</v>
      </c>
      <c r="N218" t="n">
        <v>0</v>
      </c>
      <c r="O218" t="n">
        <v>0</v>
      </c>
      <c r="P218" t="n">
        <v>0</v>
      </c>
      <c r="Q218" t="n">
        <v>0</v>
      </c>
      <c r="R218" s="2" t="inlineStr"/>
    </row>
    <row r="219" ht="15" customHeight="1">
      <c r="A219" t="inlineStr">
        <is>
          <t>A 46743-2023</t>
        </is>
      </c>
      <c r="B219" s="1" t="n">
        <v>45195</v>
      </c>
      <c r="C219" s="1" t="n">
        <v>45915</v>
      </c>
      <c r="D219" t="inlineStr">
        <is>
          <t>VÄSTERBOTTENS LÄN</t>
        </is>
      </c>
      <c r="E219" t="inlineStr">
        <is>
          <t>BJURHOLM</t>
        </is>
      </c>
      <c r="G219" t="n">
        <v>12.9</v>
      </c>
      <c r="H219" t="n">
        <v>0</v>
      </c>
      <c r="I219" t="n">
        <v>0</v>
      </c>
      <c r="J219" t="n">
        <v>0</v>
      </c>
      <c r="K219" t="n">
        <v>0</v>
      </c>
      <c r="L219" t="n">
        <v>0</v>
      </c>
      <c r="M219" t="n">
        <v>0</v>
      </c>
      <c r="N219" t="n">
        <v>0</v>
      </c>
      <c r="O219" t="n">
        <v>0</v>
      </c>
      <c r="P219" t="n">
        <v>0</v>
      </c>
      <c r="Q219" t="n">
        <v>0</v>
      </c>
      <c r="R219" s="2" t="inlineStr"/>
    </row>
    <row r="220" ht="15" customHeight="1">
      <c r="A220" t="inlineStr">
        <is>
          <t>A 5582-2025</t>
        </is>
      </c>
      <c r="B220" s="1" t="n">
        <v>45693.55229166667</v>
      </c>
      <c r="C220" s="1" t="n">
        <v>45915</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28022-2025</t>
        </is>
      </c>
      <c r="B221" s="1" t="n">
        <v>45817.61836805556</v>
      </c>
      <c r="C221" s="1" t="n">
        <v>45915</v>
      </c>
      <c r="D221" t="inlineStr">
        <is>
          <t>VÄSTERBOTTENS LÄN</t>
        </is>
      </c>
      <c r="E221" t="inlineStr">
        <is>
          <t>BJURHOLM</t>
        </is>
      </c>
      <c r="F221" t="inlineStr">
        <is>
          <t>Holmen skog AB</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28032-2025</t>
        </is>
      </c>
      <c r="B222" s="1" t="n">
        <v>45817.63113425926</v>
      </c>
      <c r="C222" s="1" t="n">
        <v>45915</v>
      </c>
      <c r="D222" t="inlineStr">
        <is>
          <t>VÄSTERBOTTENS LÄN</t>
        </is>
      </c>
      <c r="E222" t="inlineStr">
        <is>
          <t>BJURHOLM</t>
        </is>
      </c>
      <c r="F222" t="inlineStr">
        <is>
          <t>Holmen skog AB</t>
        </is>
      </c>
      <c r="G222" t="n">
        <v>4.7</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45915</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56-2025</t>
        </is>
      </c>
      <c r="B224" s="1" t="n">
        <v>45659.39510416667</v>
      </c>
      <c r="C224" s="1" t="n">
        <v>45915</v>
      </c>
      <c r="D224" t="inlineStr">
        <is>
          <t>VÄSTERBOTTENS LÄN</t>
        </is>
      </c>
      <c r="E224" t="inlineStr">
        <is>
          <t>BJURHOLM</t>
        </is>
      </c>
      <c r="G224" t="n">
        <v>1.4</v>
      </c>
      <c r="H224" t="n">
        <v>0</v>
      </c>
      <c r="I224" t="n">
        <v>0</v>
      </c>
      <c r="J224" t="n">
        <v>0</v>
      </c>
      <c r="K224" t="n">
        <v>0</v>
      </c>
      <c r="L224" t="n">
        <v>0</v>
      </c>
      <c r="M224" t="n">
        <v>0</v>
      </c>
      <c r="N224" t="n">
        <v>0</v>
      </c>
      <c r="O224" t="n">
        <v>0</v>
      </c>
      <c r="P224" t="n">
        <v>0</v>
      </c>
      <c r="Q224" t="n">
        <v>0</v>
      </c>
      <c r="R224" s="2" t="inlineStr"/>
    </row>
    <row r="225" ht="15" customHeight="1">
      <c r="A225" t="inlineStr">
        <is>
          <t>A 15054-2024</t>
        </is>
      </c>
      <c r="B225" s="1" t="n">
        <v>45399</v>
      </c>
      <c r="C225" s="1" t="n">
        <v>45915</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42557-2023</t>
        </is>
      </c>
      <c r="B226" s="1" t="n">
        <v>45181.38291666667</v>
      </c>
      <c r="C226" s="1" t="n">
        <v>45915</v>
      </c>
      <c r="D226" t="inlineStr">
        <is>
          <t>VÄSTERBOTTENS LÄN</t>
        </is>
      </c>
      <c r="E226" t="inlineStr">
        <is>
          <t>BJURHOLM</t>
        </is>
      </c>
      <c r="F226" t="inlineStr">
        <is>
          <t>Holmen skog AB</t>
        </is>
      </c>
      <c r="G226" t="n">
        <v>1.9</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45915</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35249-2023</t>
        </is>
      </c>
      <c r="B228" s="1" t="n">
        <v>45145.92299768519</v>
      </c>
      <c r="C228" s="1" t="n">
        <v>45915</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35251-2023</t>
        </is>
      </c>
      <c r="B229" s="1" t="n">
        <v>45145.92325231482</v>
      </c>
      <c r="C229" s="1" t="n">
        <v>45915</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52451-2023</t>
        </is>
      </c>
      <c r="B230" s="1" t="n">
        <v>45225</v>
      </c>
      <c r="C230" s="1" t="n">
        <v>45915</v>
      </c>
      <c r="D230" t="inlineStr">
        <is>
          <t>VÄSTERBOTTENS LÄN</t>
        </is>
      </c>
      <c r="E230" t="inlineStr">
        <is>
          <t>BJURHOLM</t>
        </is>
      </c>
      <c r="F230" t="inlineStr">
        <is>
          <t>Sveaskog</t>
        </is>
      </c>
      <c r="G230" t="n">
        <v>37.6</v>
      </c>
      <c r="H230" t="n">
        <v>0</v>
      </c>
      <c r="I230" t="n">
        <v>0</v>
      </c>
      <c r="J230" t="n">
        <v>0</v>
      </c>
      <c r="K230" t="n">
        <v>0</v>
      </c>
      <c r="L230" t="n">
        <v>0</v>
      </c>
      <c r="M230" t="n">
        <v>0</v>
      </c>
      <c r="N230" t="n">
        <v>0</v>
      </c>
      <c r="O230" t="n">
        <v>0</v>
      </c>
      <c r="P230" t="n">
        <v>0</v>
      </c>
      <c r="Q230" t="n">
        <v>0</v>
      </c>
      <c r="R230" s="2" t="inlineStr"/>
    </row>
    <row r="231" ht="15" customHeight="1">
      <c r="A231" t="inlineStr">
        <is>
          <t>A 3497-2025</t>
        </is>
      </c>
      <c r="B231" s="1" t="n">
        <v>45680.56597222222</v>
      </c>
      <c r="C231" s="1" t="n">
        <v>45915</v>
      </c>
      <c r="D231" t="inlineStr">
        <is>
          <t>VÄSTERBOTTENS LÄN</t>
        </is>
      </c>
      <c r="E231" t="inlineStr">
        <is>
          <t>BJURHOLM</t>
        </is>
      </c>
      <c r="G231" t="n">
        <v>0.9</v>
      </c>
      <c r="H231" t="n">
        <v>0</v>
      </c>
      <c r="I231" t="n">
        <v>0</v>
      </c>
      <c r="J231" t="n">
        <v>0</v>
      </c>
      <c r="K231" t="n">
        <v>0</v>
      </c>
      <c r="L231" t="n">
        <v>0</v>
      </c>
      <c r="M231" t="n">
        <v>0</v>
      </c>
      <c r="N231" t="n">
        <v>0</v>
      </c>
      <c r="O231" t="n">
        <v>0</v>
      </c>
      <c r="P231" t="n">
        <v>0</v>
      </c>
      <c r="Q231" t="n">
        <v>0</v>
      </c>
      <c r="R231" s="2" t="inlineStr"/>
    </row>
    <row r="232" ht="15" customHeight="1">
      <c r="A232" t="inlineStr">
        <is>
          <t>A 44274-2023</t>
        </is>
      </c>
      <c r="B232" s="1" t="n">
        <v>45188.61318287037</v>
      </c>
      <c r="C232" s="1" t="n">
        <v>45915</v>
      </c>
      <c r="D232" t="inlineStr">
        <is>
          <t>VÄSTERBOTTENS LÄN</t>
        </is>
      </c>
      <c r="E232" t="inlineStr">
        <is>
          <t>BJURHOLM</t>
        </is>
      </c>
      <c r="F232" t="inlineStr">
        <is>
          <t>Holmen skog AB</t>
        </is>
      </c>
      <c r="G232" t="n">
        <v>6.6</v>
      </c>
      <c r="H232" t="n">
        <v>0</v>
      </c>
      <c r="I232" t="n">
        <v>0</v>
      </c>
      <c r="J232" t="n">
        <v>0</v>
      </c>
      <c r="K232" t="n">
        <v>0</v>
      </c>
      <c r="L232" t="n">
        <v>0</v>
      </c>
      <c r="M232" t="n">
        <v>0</v>
      </c>
      <c r="N232" t="n">
        <v>0</v>
      </c>
      <c r="O232" t="n">
        <v>0</v>
      </c>
      <c r="P232" t="n">
        <v>0</v>
      </c>
      <c r="Q232" t="n">
        <v>0</v>
      </c>
      <c r="R232" s="2" t="inlineStr"/>
    </row>
    <row r="233" ht="15" customHeight="1">
      <c r="A233" t="inlineStr">
        <is>
          <t>A 20836-2022</t>
        </is>
      </c>
      <c r="B233" s="1" t="n">
        <v>44701</v>
      </c>
      <c r="C233" s="1" t="n">
        <v>45915</v>
      </c>
      <c r="D233" t="inlineStr">
        <is>
          <t>VÄSTERBOTTENS LÄN</t>
        </is>
      </c>
      <c r="E233" t="inlineStr">
        <is>
          <t>BJURHOLM</t>
        </is>
      </c>
      <c r="G233" t="n">
        <v>2.8</v>
      </c>
      <c r="H233" t="n">
        <v>0</v>
      </c>
      <c r="I233" t="n">
        <v>0</v>
      </c>
      <c r="J233" t="n">
        <v>0</v>
      </c>
      <c r="K233" t="n">
        <v>0</v>
      </c>
      <c r="L233" t="n">
        <v>0</v>
      </c>
      <c r="M233" t="n">
        <v>0</v>
      </c>
      <c r="N233" t="n">
        <v>0</v>
      </c>
      <c r="O233" t="n">
        <v>0</v>
      </c>
      <c r="P233" t="n">
        <v>0</v>
      </c>
      <c r="Q233" t="n">
        <v>0</v>
      </c>
      <c r="R233" s="2" t="inlineStr"/>
    </row>
    <row r="234" ht="15" customHeight="1">
      <c r="A234" t="inlineStr">
        <is>
          <t>A 29301-2025</t>
        </is>
      </c>
      <c r="B234" s="1" t="n">
        <v>45824.45652777778</v>
      </c>
      <c r="C234" s="1" t="n">
        <v>45915</v>
      </c>
      <c r="D234" t="inlineStr">
        <is>
          <t>VÄSTERBOTTENS LÄN</t>
        </is>
      </c>
      <c r="E234" t="inlineStr">
        <is>
          <t>BJURHOLM</t>
        </is>
      </c>
      <c r="G234" t="n">
        <v>2.3</v>
      </c>
      <c r="H234" t="n">
        <v>0</v>
      </c>
      <c r="I234" t="n">
        <v>0</v>
      </c>
      <c r="J234" t="n">
        <v>0</v>
      </c>
      <c r="K234" t="n">
        <v>0</v>
      </c>
      <c r="L234" t="n">
        <v>0</v>
      </c>
      <c r="M234" t="n">
        <v>0</v>
      </c>
      <c r="N234" t="n">
        <v>0</v>
      </c>
      <c r="O234" t="n">
        <v>0</v>
      </c>
      <c r="P234" t="n">
        <v>0</v>
      </c>
      <c r="Q234" t="n">
        <v>0</v>
      </c>
      <c r="R234" s="2" t="inlineStr"/>
    </row>
    <row r="235" ht="15" customHeight="1">
      <c r="A235" t="inlineStr">
        <is>
          <t>A 60111-2020</t>
        </is>
      </c>
      <c r="B235" s="1" t="n">
        <v>44152</v>
      </c>
      <c r="C235" s="1" t="n">
        <v>45915</v>
      </c>
      <c r="D235" t="inlineStr">
        <is>
          <t>VÄSTERBOTTENS LÄN</t>
        </is>
      </c>
      <c r="E235" t="inlineStr">
        <is>
          <t>BJURHOLM</t>
        </is>
      </c>
      <c r="G235" t="n">
        <v>4.9</v>
      </c>
      <c r="H235" t="n">
        <v>0</v>
      </c>
      <c r="I235" t="n">
        <v>0</v>
      </c>
      <c r="J235" t="n">
        <v>0</v>
      </c>
      <c r="K235" t="n">
        <v>0</v>
      </c>
      <c r="L235" t="n">
        <v>0</v>
      </c>
      <c r="M235" t="n">
        <v>0</v>
      </c>
      <c r="N235" t="n">
        <v>0</v>
      </c>
      <c r="O235" t="n">
        <v>0</v>
      </c>
      <c r="P235" t="n">
        <v>0</v>
      </c>
      <c r="Q235" t="n">
        <v>0</v>
      </c>
      <c r="R235" s="2" t="inlineStr"/>
    </row>
    <row r="236" ht="15" customHeight="1">
      <c r="A236" t="inlineStr">
        <is>
          <t>A 61044-2022</t>
        </is>
      </c>
      <c r="B236" s="1" t="n">
        <v>44914.97001157407</v>
      </c>
      <c r="C236" s="1" t="n">
        <v>45915</v>
      </c>
      <c r="D236" t="inlineStr">
        <is>
          <t>VÄSTERBOTTENS LÄN</t>
        </is>
      </c>
      <c r="E236" t="inlineStr">
        <is>
          <t>BJURHOLM</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45915</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45915</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29712-2025</t>
        </is>
      </c>
      <c r="B239" s="1" t="n">
        <v>45825.56524305556</v>
      </c>
      <c r="C239" s="1" t="n">
        <v>45915</v>
      </c>
      <c r="D239" t="inlineStr">
        <is>
          <t>VÄSTERBOTTENS LÄN</t>
        </is>
      </c>
      <c r="E239" t="inlineStr">
        <is>
          <t>BJURHOLM</t>
        </is>
      </c>
      <c r="G239" t="n">
        <v>1.8</v>
      </c>
      <c r="H239" t="n">
        <v>0</v>
      </c>
      <c r="I239" t="n">
        <v>0</v>
      </c>
      <c r="J239" t="n">
        <v>0</v>
      </c>
      <c r="K239" t="n">
        <v>0</v>
      </c>
      <c r="L239" t="n">
        <v>0</v>
      </c>
      <c r="M239" t="n">
        <v>0</v>
      </c>
      <c r="N239" t="n">
        <v>0</v>
      </c>
      <c r="O239" t="n">
        <v>0</v>
      </c>
      <c r="P239" t="n">
        <v>0</v>
      </c>
      <c r="Q239" t="n">
        <v>0</v>
      </c>
      <c r="R239" s="2" t="inlineStr"/>
    </row>
    <row r="240" ht="15" customHeight="1">
      <c r="A240" t="inlineStr">
        <is>
          <t>A 15214-2025</t>
        </is>
      </c>
      <c r="B240" s="1" t="n">
        <v>45744.57880787037</v>
      </c>
      <c r="C240" s="1" t="n">
        <v>45915</v>
      </c>
      <c r="D240" t="inlineStr">
        <is>
          <t>VÄSTERBOTTENS LÄN</t>
        </is>
      </c>
      <c r="E240" t="inlineStr">
        <is>
          <t>BJURHOLM</t>
        </is>
      </c>
      <c r="G240" t="n">
        <v>3.3</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45915</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47592-2024</t>
        </is>
      </c>
      <c r="B242" s="1" t="n">
        <v>45587.8405324074</v>
      </c>
      <c r="C242" s="1" t="n">
        <v>45915</v>
      </c>
      <c r="D242" t="inlineStr">
        <is>
          <t>VÄSTERBOTTENS LÄN</t>
        </is>
      </c>
      <c r="E242" t="inlineStr">
        <is>
          <t>BJURHOLM</t>
        </is>
      </c>
      <c r="G242" t="n">
        <v>2</v>
      </c>
      <c r="H242" t="n">
        <v>0</v>
      </c>
      <c r="I242" t="n">
        <v>0</v>
      </c>
      <c r="J242" t="n">
        <v>0</v>
      </c>
      <c r="K242" t="n">
        <v>0</v>
      </c>
      <c r="L242" t="n">
        <v>0</v>
      </c>
      <c r="M242" t="n">
        <v>0</v>
      </c>
      <c r="N242" t="n">
        <v>0</v>
      </c>
      <c r="O242" t="n">
        <v>0</v>
      </c>
      <c r="P242" t="n">
        <v>0</v>
      </c>
      <c r="Q242" t="n">
        <v>0</v>
      </c>
      <c r="R242" s="2" t="inlineStr"/>
      <c r="U242">
        <f>HYPERLINK("https://klasma.github.io/Logging_2403/knärot/A 47592-2024 karta knärot.png", "A 47592-2024")</f>
        <v/>
      </c>
      <c r="V242">
        <f>HYPERLINK("https://klasma.github.io/Logging_2403/klagomål/A 47592-2024 FSC-klagomål.docx", "A 47592-2024")</f>
        <v/>
      </c>
      <c r="W242">
        <f>HYPERLINK("https://klasma.github.io/Logging_2403/klagomålsmail/A 47592-2024 FSC-klagomål mail.docx", "A 47592-2024")</f>
        <v/>
      </c>
      <c r="X242">
        <f>HYPERLINK("https://klasma.github.io/Logging_2403/tillsyn/A 47592-2024 tillsynsbegäran.docx", "A 47592-2024")</f>
        <v/>
      </c>
      <c r="Y242">
        <f>HYPERLINK("https://klasma.github.io/Logging_2403/tillsynsmail/A 47592-2024 tillsynsbegäran mail.docx", "A 47592-2024")</f>
        <v/>
      </c>
    </row>
    <row r="243" ht="15" customHeight="1">
      <c r="A243" t="inlineStr">
        <is>
          <t>A 47593-2024</t>
        </is>
      </c>
      <c r="B243" s="1" t="n">
        <v>45587.84275462963</v>
      </c>
      <c r="C243" s="1" t="n">
        <v>45915</v>
      </c>
      <c r="D243" t="inlineStr">
        <is>
          <t>VÄSTERBOTTENS LÄN</t>
        </is>
      </c>
      <c r="E243" t="inlineStr">
        <is>
          <t>BJURHOLM</t>
        </is>
      </c>
      <c r="G243" t="n">
        <v>12.3</v>
      </c>
      <c r="H243" t="n">
        <v>0</v>
      </c>
      <c r="I243" t="n">
        <v>0</v>
      </c>
      <c r="J243" t="n">
        <v>0</v>
      </c>
      <c r="K243" t="n">
        <v>0</v>
      </c>
      <c r="L243" t="n">
        <v>0</v>
      </c>
      <c r="M243" t="n">
        <v>0</v>
      </c>
      <c r="N243" t="n">
        <v>0</v>
      </c>
      <c r="O243" t="n">
        <v>0</v>
      </c>
      <c r="P243" t="n">
        <v>0</v>
      </c>
      <c r="Q243" t="n">
        <v>0</v>
      </c>
      <c r="R243" s="2" t="inlineStr"/>
    </row>
    <row r="244" ht="15" customHeight="1">
      <c r="A244" t="inlineStr">
        <is>
          <t>A 47594-2024</t>
        </is>
      </c>
      <c r="B244" s="1" t="n">
        <v>45587.848125</v>
      </c>
      <c r="C244" s="1" t="n">
        <v>45915</v>
      </c>
      <c r="D244" t="inlineStr">
        <is>
          <t>VÄSTERBOTTENS LÄN</t>
        </is>
      </c>
      <c r="E244" t="inlineStr">
        <is>
          <t>BJURHOLM</t>
        </is>
      </c>
      <c r="G244" t="n">
        <v>5</v>
      </c>
      <c r="H244" t="n">
        <v>0</v>
      </c>
      <c r="I244" t="n">
        <v>0</v>
      </c>
      <c r="J244" t="n">
        <v>0</v>
      </c>
      <c r="K244" t="n">
        <v>0</v>
      </c>
      <c r="L244" t="n">
        <v>0</v>
      </c>
      <c r="M244" t="n">
        <v>0</v>
      </c>
      <c r="N244" t="n">
        <v>0</v>
      </c>
      <c r="O244" t="n">
        <v>0</v>
      </c>
      <c r="P244" t="n">
        <v>0</v>
      </c>
      <c r="Q244" t="n">
        <v>0</v>
      </c>
      <c r="R244" s="2" t="inlineStr"/>
    </row>
    <row r="245" ht="15" customHeight="1">
      <c r="A245" t="inlineStr">
        <is>
          <t>A 43321-2024</t>
        </is>
      </c>
      <c r="B245" s="1" t="n">
        <v>45568</v>
      </c>
      <c r="C245" s="1" t="n">
        <v>45915</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45915</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23974-2022</t>
        </is>
      </c>
      <c r="B247" s="1" t="n">
        <v>44722</v>
      </c>
      <c r="C247" s="1" t="n">
        <v>45915</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1875-2024</t>
        </is>
      </c>
      <c r="B248" s="1" t="n">
        <v>45307.92592592593</v>
      </c>
      <c r="C248" s="1" t="n">
        <v>45915</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29867-2022</t>
        </is>
      </c>
      <c r="B249" s="1" t="n">
        <v>44756</v>
      </c>
      <c r="C249" s="1" t="n">
        <v>45915</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30672-2025</t>
        </is>
      </c>
      <c r="B250" s="1" t="n">
        <v>45831.51869212963</v>
      </c>
      <c r="C250" s="1" t="n">
        <v>45915</v>
      </c>
      <c r="D250" t="inlineStr">
        <is>
          <t>VÄSTERBOTTENS LÄN</t>
        </is>
      </c>
      <c r="E250" t="inlineStr">
        <is>
          <t>BJURHOLM</t>
        </is>
      </c>
      <c r="F250" t="inlineStr">
        <is>
          <t>Sveaskog</t>
        </is>
      </c>
      <c r="G250" t="n">
        <v>20.4</v>
      </c>
      <c r="H250" t="n">
        <v>0</v>
      </c>
      <c r="I250" t="n">
        <v>0</v>
      </c>
      <c r="J250" t="n">
        <v>0</v>
      </c>
      <c r="K250" t="n">
        <v>0</v>
      </c>
      <c r="L250" t="n">
        <v>0</v>
      </c>
      <c r="M250" t="n">
        <v>0</v>
      </c>
      <c r="N250" t="n">
        <v>0</v>
      </c>
      <c r="O250" t="n">
        <v>0</v>
      </c>
      <c r="P250" t="n">
        <v>0</v>
      </c>
      <c r="Q250" t="n">
        <v>0</v>
      </c>
      <c r="R250" s="2" t="inlineStr"/>
    </row>
    <row r="251" ht="15" customHeight="1">
      <c r="A251" t="inlineStr">
        <is>
          <t>A 30675-2025</t>
        </is>
      </c>
      <c r="B251" s="1" t="n">
        <v>45831.52111111111</v>
      </c>
      <c r="C251" s="1" t="n">
        <v>45915</v>
      </c>
      <c r="D251" t="inlineStr">
        <is>
          <t>VÄSTERBOTTENS LÄN</t>
        </is>
      </c>
      <c r="E251" t="inlineStr">
        <is>
          <t>BJURHOLM</t>
        </is>
      </c>
      <c r="F251" t="inlineStr">
        <is>
          <t>Sveaskog</t>
        </is>
      </c>
      <c r="G251" t="n">
        <v>18.7</v>
      </c>
      <c r="H251" t="n">
        <v>0</v>
      </c>
      <c r="I251" t="n">
        <v>0</v>
      </c>
      <c r="J251" t="n">
        <v>0</v>
      </c>
      <c r="K251" t="n">
        <v>0</v>
      </c>
      <c r="L251" t="n">
        <v>0</v>
      </c>
      <c r="M251" t="n">
        <v>0</v>
      </c>
      <c r="N251" t="n">
        <v>0</v>
      </c>
      <c r="O251" t="n">
        <v>0</v>
      </c>
      <c r="P251" t="n">
        <v>0</v>
      </c>
      <c r="Q251" t="n">
        <v>0</v>
      </c>
      <c r="R251" s="2" t="inlineStr"/>
    </row>
    <row r="252" ht="15" customHeight="1">
      <c r="A252" t="inlineStr">
        <is>
          <t>A 31116-2025</t>
        </is>
      </c>
      <c r="B252" s="1" t="n">
        <v>45832.61597222222</v>
      </c>
      <c r="C252" s="1" t="n">
        <v>45915</v>
      </c>
      <c r="D252" t="inlineStr">
        <is>
          <t>VÄSTERBOTTENS LÄN</t>
        </is>
      </c>
      <c r="E252" t="inlineStr">
        <is>
          <t>BJURHOLM</t>
        </is>
      </c>
      <c r="G252" t="n">
        <v>33.5</v>
      </c>
      <c r="H252" t="n">
        <v>0</v>
      </c>
      <c r="I252" t="n">
        <v>0</v>
      </c>
      <c r="J252" t="n">
        <v>0</v>
      </c>
      <c r="K252" t="n">
        <v>0</v>
      </c>
      <c r="L252" t="n">
        <v>0</v>
      </c>
      <c r="M252" t="n">
        <v>0</v>
      </c>
      <c r="N252" t="n">
        <v>0</v>
      </c>
      <c r="O252" t="n">
        <v>0</v>
      </c>
      <c r="P252" t="n">
        <v>0</v>
      </c>
      <c r="Q252" t="n">
        <v>0</v>
      </c>
      <c r="R252" s="2" t="inlineStr"/>
    </row>
    <row r="253" ht="15" customHeight="1">
      <c r="A253" t="inlineStr">
        <is>
          <t>A 17237-2025</t>
        </is>
      </c>
      <c r="B253" s="1" t="n">
        <v>45756.47723379629</v>
      </c>
      <c r="C253" s="1" t="n">
        <v>45915</v>
      </c>
      <c r="D253" t="inlineStr">
        <is>
          <t>VÄSTERBOTTENS LÄN</t>
        </is>
      </c>
      <c r="E253" t="inlineStr">
        <is>
          <t>BJURHOLM</t>
        </is>
      </c>
      <c r="G253" t="n">
        <v>5.9</v>
      </c>
      <c r="H253" t="n">
        <v>0</v>
      </c>
      <c r="I253" t="n">
        <v>0</v>
      </c>
      <c r="J253" t="n">
        <v>0</v>
      </c>
      <c r="K253" t="n">
        <v>0</v>
      </c>
      <c r="L253" t="n">
        <v>0</v>
      </c>
      <c r="M253" t="n">
        <v>0</v>
      </c>
      <c r="N253" t="n">
        <v>0</v>
      </c>
      <c r="O253" t="n">
        <v>0</v>
      </c>
      <c r="P253" t="n">
        <v>0</v>
      </c>
      <c r="Q253" t="n">
        <v>0</v>
      </c>
      <c r="R253" s="2" t="inlineStr"/>
    </row>
    <row r="254" ht="15" customHeight="1">
      <c r="A254" t="inlineStr">
        <is>
          <t>A 10954-2025</t>
        </is>
      </c>
      <c r="B254" s="1" t="n">
        <v>45723.36034722222</v>
      </c>
      <c r="C254" s="1" t="n">
        <v>45915</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57886-2023</t>
        </is>
      </c>
      <c r="B255" s="1" t="n">
        <v>45247.47538194444</v>
      </c>
      <c r="C255" s="1" t="n">
        <v>45915</v>
      </c>
      <c r="D255" t="inlineStr">
        <is>
          <t>VÄSTERBOTTENS LÄN</t>
        </is>
      </c>
      <c r="E255" t="inlineStr">
        <is>
          <t>BJURHOLM</t>
        </is>
      </c>
      <c r="G255" t="n">
        <v>0.3</v>
      </c>
      <c r="H255" t="n">
        <v>0</v>
      </c>
      <c r="I255" t="n">
        <v>0</v>
      </c>
      <c r="J255" t="n">
        <v>0</v>
      </c>
      <c r="K255" t="n">
        <v>0</v>
      </c>
      <c r="L255" t="n">
        <v>0</v>
      </c>
      <c r="M255" t="n">
        <v>0</v>
      </c>
      <c r="N255" t="n">
        <v>0</v>
      </c>
      <c r="O255" t="n">
        <v>0</v>
      </c>
      <c r="P255" t="n">
        <v>0</v>
      </c>
      <c r="Q255" t="n">
        <v>0</v>
      </c>
      <c r="R255" s="2" t="inlineStr"/>
    </row>
    <row r="256" ht="15" customHeight="1">
      <c r="A256" t="inlineStr">
        <is>
          <t>A 56315-2023</t>
        </is>
      </c>
      <c r="B256" s="1" t="n">
        <v>45236</v>
      </c>
      <c r="C256" s="1" t="n">
        <v>45915</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45875.67760416667</v>
      </c>
      <c r="C257" s="1" t="n">
        <v>45915</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31637-2025</t>
        </is>
      </c>
      <c r="B258" s="1" t="n">
        <v>45834.33939814815</v>
      </c>
      <c r="C258" s="1" t="n">
        <v>45915</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44187-2023</t>
        </is>
      </c>
      <c r="B259" s="1" t="n">
        <v>45183</v>
      </c>
      <c r="C259" s="1" t="n">
        <v>45915</v>
      </c>
      <c r="D259" t="inlineStr">
        <is>
          <t>VÄSTERBOTTENS LÄN</t>
        </is>
      </c>
      <c r="E259" t="inlineStr">
        <is>
          <t>BJURHOLM</t>
        </is>
      </c>
      <c r="G259" t="n">
        <v>1.1</v>
      </c>
      <c r="H259" t="n">
        <v>0</v>
      </c>
      <c r="I259" t="n">
        <v>0</v>
      </c>
      <c r="J259" t="n">
        <v>0</v>
      </c>
      <c r="K259" t="n">
        <v>0</v>
      </c>
      <c r="L259" t="n">
        <v>0</v>
      </c>
      <c r="M259" t="n">
        <v>0</v>
      </c>
      <c r="N259" t="n">
        <v>0</v>
      </c>
      <c r="O259" t="n">
        <v>0</v>
      </c>
      <c r="P259" t="n">
        <v>0</v>
      </c>
      <c r="Q259" t="n">
        <v>0</v>
      </c>
      <c r="R259" s="2" t="inlineStr"/>
    </row>
    <row r="260" ht="15" customHeight="1">
      <c r="A260" t="inlineStr">
        <is>
          <t>A 9688-2024</t>
        </is>
      </c>
      <c r="B260" s="1" t="n">
        <v>45362</v>
      </c>
      <c r="C260" s="1" t="n">
        <v>45915</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13828-2025</t>
        </is>
      </c>
      <c r="B261" s="1" t="n">
        <v>45737.54446759259</v>
      </c>
      <c r="C261" s="1" t="n">
        <v>45915</v>
      </c>
      <c r="D261" t="inlineStr">
        <is>
          <t>VÄSTERBOTTENS LÄN</t>
        </is>
      </c>
      <c r="E261" t="inlineStr">
        <is>
          <t>BJURHOLM</t>
        </is>
      </c>
      <c r="G261" t="n">
        <v>1.3</v>
      </c>
      <c r="H261" t="n">
        <v>0</v>
      </c>
      <c r="I261" t="n">
        <v>0</v>
      </c>
      <c r="J261" t="n">
        <v>0</v>
      </c>
      <c r="K261" t="n">
        <v>0</v>
      </c>
      <c r="L261" t="n">
        <v>0</v>
      </c>
      <c r="M261" t="n">
        <v>0</v>
      </c>
      <c r="N261" t="n">
        <v>0</v>
      </c>
      <c r="O261" t="n">
        <v>0</v>
      </c>
      <c r="P261" t="n">
        <v>0</v>
      </c>
      <c r="Q261" t="n">
        <v>0</v>
      </c>
      <c r="R261" s="2" t="inlineStr"/>
    </row>
    <row r="262" ht="15" customHeight="1">
      <c r="A262" t="inlineStr">
        <is>
          <t>A 43992-2023</t>
        </is>
      </c>
      <c r="B262" s="1" t="n">
        <v>45187</v>
      </c>
      <c r="C262" s="1" t="n">
        <v>45915</v>
      </c>
      <c r="D262" t="inlineStr">
        <is>
          <t>VÄSTERBOTTENS LÄN</t>
        </is>
      </c>
      <c r="E262" t="inlineStr">
        <is>
          <t>BJURHOLM</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16792-2022</t>
        </is>
      </c>
      <c r="B263" s="1" t="n">
        <v>44673</v>
      </c>
      <c r="C263" s="1" t="n">
        <v>45915</v>
      </c>
      <c r="D263" t="inlineStr">
        <is>
          <t>VÄSTERBOTTENS LÄN</t>
        </is>
      </c>
      <c r="E263" t="inlineStr">
        <is>
          <t>BJURHOLM</t>
        </is>
      </c>
      <c r="G263" t="n">
        <v>3.1</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45915</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45915</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37756-2025</t>
        </is>
      </c>
      <c r="B266" s="1" t="n">
        <v>45880.67780092593</v>
      </c>
      <c r="C266" s="1" t="n">
        <v>45915</v>
      </c>
      <c r="D266" t="inlineStr">
        <is>
          <t>VÄSTERBOTTENS LÄN</t>
        </is>
      </c>
      <c r="E266" t="inlineStr">
        <is>
          <t>BJURHOLM</t>
        </is>
      </c>
      <c r="F266" t="inlineStr">
        <is>
          <t>SCA</t>
        </is>
      </c>
      <c r="G266" t="n">
        <v>4.6</v>
      </c>
      <c r="H266" t="n">
        <v>0</v>
      </c>
      <c r="I266" t="n">
        <v>0</v>
      </c>
      <c r="J266" t="n">
        <v>0</v>
      </c>
      <c r="K266" t="n">
        <v>0</v>
      </c>
      <c r="L266" t="n">
        <v>0</v>
      </c>
      <c r="M266" t="n">
        <v>0</v>
      </c>
      <c r="N266" t="n">
        <v>0</v>
      </c>
      <c r="O266" t="n">
        <v>0</v>
      </c>
      <c r="P266" t="n">
        <v>0</v>
      </c>
      <c r="Q266" t="n">
        <v>0</v>
      </c>
      <c r="R266" s="2" t="inlineStr"/>
    </row>
    <row r="267" ht="15" customHeight="1">
      <c r="A267" t="inlineStr">
        <is>
          <t>A 12197-2023</t>
        </is>
      </c>
      <c r="B267" s="1" t="n">
        <v>44998</v>
      </c>
      <c r="C267" s="1" t="n">
        <v>45915</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32584-2025</t>
        </is>
      </c>
      <c r="B268" s="1" t="n">
        <v>45838.59995370371</v>
      </c>
      <c r="C268" s="1" t="n">
        <v>45915</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37046-2025</t>
        </is>
      </c>
      <c r="B269" s="1" t="n">
        <v>45875.34476851852</v>
      </c>
      <c r="C269" s="1" t="n">
        <v>45915</v>
      </c>
      <c r="D269" t="inlineStr">
        <is>
          <t>VÄSTERBOTTENS LÄN</t>
        </is>
      </c>
      <c r="E269" t="inlineStr">
        <is>
          <t>BJURHOLM</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17060-2025</t>
        </is>
      </c>
      <c r="B270" s="1" t="n">
        <v>45755.60756944444</v>
      </c>
      <c r="C270" s="1" t="n">
        <v>45915</v>
      </c>
      <c r="D270" t="inlineStr">
        <is>
          <t>VÄSTERBOTTENS LÄN</t>
        </is>
      </c>
      <c r="E270" t="inlineStr">
        <is>
          <t>BJURHOLM</t>
        </is>
      </c>
      <c r="G270" t="n">
        <v>7.7</v>
      </c>
      <c r="H270" t="n">
        <v>0</v>
      </c>
      <c r="I270" t="n">
        <v>0</v>
      </c>
      <c r="J270" t="n">
        <v>0</v>
      </c>
      <c r="K270" t="n">
        <v>0</v>
      </c>
      <c r="L270" t="n">
        <v>0</v>
      </c>
      <c r="M270" t="n">
        <v>0</v>
      </c>
      <c r="N270" t="n">
        <v>0</v>
      </c>
      <c r="O270" t="n">
        <v>0</v>
      </c>
      <c r="P270" t="n">
        <v>0</v>
      </c>
      <c r="Q270" t="n">
        <v>0</v>
      </c>
      <c r="R270" s="2" t="inlineStr"/>
    </row>
    <row r="271" ht="15" customHeight="1">
      <c r="A271" t="inlineStr">
        <is>
          <t>A 36809-2025</t>
        </is>
      </c>
      <c r="B271" s="1" t="n">
        <v>45873.71912037037</v>
      </c>
      <c r="C271" s="1" t="n">
        <v>45915</v>
      </c>
      <c r="D271" t="inlineStr">
        <is>
          <t>VÄSTERBOTTENS LÄN</t>
        </is>
      </c>
      <c r="E271" t="inlineStr">
        <is>
          <t>BJURHOLM</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36901-2025</t>
        </is>
      </c>
      <c r="B272" s="1" t="n">
        <v>45874.48631944445</v>
      </c>
      <c r="C272" s="1" t="n">
        <v>45915</v>
      </c>
      <c r="D272" t="inlineStr">
        <is>
          <t>VÄSTERBOTTENS LÄN</t>
        </is>
      </c>
      <c r="E272" t="inlineStr">
        <is>
          <t>BJURHOLM</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32311-2025</t>
        </is>
      </c>
      <c r="B273" s="1" t="n">
        <v>45835.8281712963</v>
      </c>
      <c r="C273" s="1" t="n">
        <v>45915</v>
      </c>
      <c r="D273" t="inlineStr">
        <is>
          <t>VÄSTERBOTTENS LÄN</t>
        </is>
      </c>
      <c r="E273" t="inlineStr">
        <is>
          <t>BJURHOLM</t>
        </is>
      </c>
      <c r="F273" t="inlineStr">
        <is>
          <t>Holmen skog AB</t>
        </is>
      </c>
      <c r="G273" t="n">
        <v>8.1</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45915</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34712-2023</t>
        </is>
      </c>
      <c r="B275" s="1" t="n">
        <v>45139</v>
      </c>
      <c r="C275" s="1" t="n">
        <v>45915</v>
      </c>
      <c r="D275" t="inlineStr">
        <is>
          <t>VÄSTERBOTTENS LÄN</t>
        </is>
      </c>
      <c r="E275" t="inlineStr">
        <is>
          <t>BJURHOLM</t>
        </is>
      </c>
      <c r="G275" t="n">
        <v>1.7</v>
      </c>
      <c r="H275" t="n">
        <v>0</v>
      </c>
      <c r="I275" t="n">
        <v>0</v>
      </c>
      <c r="J275" t="n">
        <v>0</v>
      </c>
      <c r="K275" t="n">
        <v>0</v>
      </c>
      <c r="L275" t="n">
        <v>0</v>
      </c>
      <c r="M275" t="n">
        <v>0</v>
      </c>
      <c r="N275" t="n">
        <v>0</v>
      </c>
      <c r="O275" t="n">
        <v>0</v>
      </c>
      <c r="P275" t="n">
        <v>0</v>
      </c>
      <c r="Q275" t="n">
        <v>0</v>
      </c>
      <c r="R275" s="2" t="inlineStr"/>
    </row>
    <row r="276" ht="15" customHeight="1">
      <c r="A276" t="inlineStr">
        <is>
          <t>A 80-2024</t>
        </is>
      </c>
      <c r="B276" s="1" t="n">
        <v>45293</v>
      </c>
      <c r="C276" s="1" t="n">
        <v>45915</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32131-2025</t>
        </is>
      </c>
      <c r="B277" s="1" t="n">
        <v>45835.50796296296</v>
      </c>
      <c r="C277" s="1" t="n">
        <v>45915</v>
      </c>
      <c r="D277" t="inlineStr">
        <is>
          <t>VÄSTERBOTTENS LÄN</t>
        </is>
      </c>
      <c r="E277" t="inlineStr">
        <is>
          <t>BJURHOLM</t>
        </is>
      </c>
      <c r="G277" t="n">
        <v>2.5</v>
      </c>
      <c r="H277" t="n">
        <v>0</v>
      </c>
      <c r="I277" t="n">
        <v>0</v>
      </c>
      <c r="J277" t="n">
        <v>0</v>
      </c>
      <c r="K277" t="n">
        <v>0</v>
      </c>
      <c r="L277" t="n">
        <v>0</v>
      </c>
      <c r="M277" t="n">
        <v>0</v>
      </c>
      <c r="N277" t="n">
        <v>0</v>
      </c>
      <c r="O277" t="n">
        <v>0</v>
      </c>
      <c r="P277" t="n">
        <v>0</v>
      </c>
      <c r="Q277" t="n">
        <v>0</v>
      </c>
      <c r="R277" s="2" t="inlineStr"/>
    </row>
    <row r="278" ht="15" customHeight="1">
      <c r="A278" t="inlineStr">
        <is>
          <t>A 60659-2023</t>
        </is>
      </c>
      <c r="B278" s="1" t="n">
        <v>45259</v>
      </c>
      <c r="C278" s="1" t="n">
        <v>45915</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56151-2024</t>
        </is>
      </c>
      <c r="B279" s="1" t="n">
        <v>45623</v>
      </c>
      <c r="C279" s="1" t="n">
        <v>45915</v>
      </c>
      <c r="D279" t="inlineStr">
        <is>
          <t>VÄSTERBOTTENS LÄN</t>
        </is>
      </c>
      <c r="E279" t="inlineStr">
        <is>
          <t>BJURHOLM</t>
        </is>
      </c>
      <c r="G279" t="n">
        <v>2.4</v>
      </c>
      <c r="H279" t="n">
        <v>0</v>
      </c>
      <c r="I279" t="n">
        <v>0</v>
      </c>
      <c r="J279" t="n">
        <v>0</v>
      </c>
      <c r="K279" t="n">
        <v>0</v>
      </c>
      <c r="L279" t="n">
        <v>0</v>
      </c>
      <c r="M279" t="n">
        <v>0</v>
      </c>
      <c r="N279" t="n">
        <v>0</v>
      </c>
      <c r="O279" t="n">
        <v>0</v>
      </c>
      <c r="P279" t="n">
        <v>0</v>
      </c>
      <c r="Q279" t="n">
        <v>0</v>
      </c>
      <c r="R279" s="2" t="inlineStr"/>
    </row>
    <row r="280" ht="15" customHeight="1">
      <c r="A280" t="inlineStr">
        <is>
          <t>A 32314-2025</t>
        </is>
      </c>
      <c r="B280" s="1" t="n">
        <v>45835.87006944444</v>
      </c>
      <c r="C280" s="1" t="n">
        <v>45915</v>
      </c>
      <c r="D280" t="inlineStr">
        <is>
          <t>VÄSTERBOTTENS LÄN</t>
        </is>
      </c>
      <c r="E280" t="inlineStr">
        <is>
          <t>BJURHOLM</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56114-2024</t>
        </is>
      </c>
      <c r="B281" s="1" t="n">
        <v>45623</v>
      </c>
      <c r="C281" s="1" t="n">
        <v>45915</v>
      </c>
      <c r="D281" t="inlineStr">
        <is>
          <t>VÄSTERBOTTENS LÄN</t>
        </is>
      </c>
      <c r="E281" t="inlineStr">
        <is>
          <t>BJURHOLM</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53374-2024</t>
        </is>
      </c>
      <c r="B282" s="1" t="n">
        <v>45614</v>
      </c>
      <c r="C282" s="1" t="n">
        <v>45915</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23183-2024</t>
        </is>
      </c>
      <c r="B283" s="1" t="n">
        <v>45450.94471064815</v>
      </c>
      <c r="C283" s="1" t="n">
        <v>45915</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23206-2024</t>
        </is>
      </c>
      <c r="B284" s="1" t="n">
        <v>45451</v>
      </c>
      <c r="C284" s="1" t="n">
        <v>45915</v>
      </c>
      <c r="D284" t="inlineStr">
        <is>
          <t>VÄSTERBOTTENS LÄN</t>
        </is>
      </c>
      <c r="E284" t="inlineStr">
        <is>
          <t>BJURHOLM</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20594-2023</t>
        </is>
      </c>
      <c r="B285" s="1" t="n">
        <v>45057.9408912037</v>
      </c>
      <c r="C285" s="1" t="n">
        <v>45915</v>
      </c>
      <c r="D285" t="inlineStr">
        <is>
          <t>VÄSTERBOTTENS LÄN</t>
        </is>
      </c>
      <c r="E285" t="inlineStr">
        <is>
          <t>BJURHOLM</t>
        </is>
      </c>
      <c r="F285" t="inlineStr">
        <is>
          <t>SCA</t>
        </is>
      </c>
      <c r="G285" t="n">
        <v>6</v>
      </c>
      <c r="H285" t="n">
        <v>0</v>
      </c>
      <c r="I285" t="n">
        <v>0</v>
      </c>
      <c r="J285" t="n">
        <v>0</v>
      </c>
      <c r="K285" t="n">
        <v>0</v>
      </c>
      <c r="L285" t="n">
        <v>0</v>
      </c>
      <c r="M285" t="n">
        <v>0</v>
      </c>
      <c r="N285" t="n">
        <v>0</v>
      </c>
      <c r="O285" t="n">
        <v>0</v>
      </c>
      <c r="P285" t="n">
        <v>0</v>
      </c>
      <c r="Q285" t="n">
        <v>0</v>
      </c>
      <c r="R285" s="2" t="inlineStr"/>
    </row>
    <row r="286" ht="15" customHeight="1">
      <c r="A286" t="inlineStr">
        <is>
          <t>A 23325-2023</t>
        </is>
      </c>
      <c r="B286" s="1" t="n">
        <v>45076</v>
      </c>
      <c r="C286" s="1" t="n">
        <v>45915</v>
      </c>
      <c r="D286" t="inlineStr">
        <is>
          <t>VÄSTERBOTTENS LÄN</t>
        </is>
      </c>
      <c r="E286" t="inlineStr">
        <is>
          <t>BJURHOLM</t>
        </is>
      </c>
      <c r="G286" t="n">
        <v>3.3</v>
      </c>
      <c r="H286" t="n">
        <v>0</v>
      </c>
      <c r="I286" t="n">
        <v>0</v>
      </c>
      <c r="J286" t="n">
        <v>0</v>
      </c>
      <c r="K286" t="n">
        <v>0</v>
      </c>
      <c r="L286" t="n">
        <v>0</v>
      </c>
      <c r="M286" t="n">
        <v>0</v>
      </c>
      <c r="N286" t="n">
        <v>0</v>
      </c>
      <c r="O286" t="n">
        <v>0</v>
      </c>
      <c r="P286" t="n">
        <v>0</v>
      </c>
      <c r="Q286" t="n">
        <v>0</v>
      </c>
      <c r="R286" s="2" t="inlineStr"/>
    </row>
    <row r="287" ht="15" customHeight="1">
      <c r="A287" t="inlineStr">
        <is>
          <t>A 53127-2024</t>
        </is>
      </c>
      <c r="B287" s="1" t="n">
        <v>45611</v>
      </c>
      <c r="C287" s="1" t="n">
        <v>45915</v>
      </c>
      <c r="D287" t="inlineStr">
        <is>
          <t>VÄSTERBOTTENS LÄN</t>
        </is>
      </c>
      <c r="E287" t="inlineStr">
        <is>
          <t>BJURHOLM</t>
        </is>
      </c>
      <c r="G287" t="n">
        <v>2.9</v>
      </c>
      <c r="H287" t="n">
        <v>0</v>
      </c>
      <c r="I287" t="n">
        <v>0</v>
      </c>
      <c r="J287" t="n">
        <v>0</v>
      </c>
      <c r="K287" t="n">
        <v>0</v>
      </c>
      <c r="L287" t="n">
        <v>0</v>
      </c>
      <c r="M287" t="n">
        <v>0</v>
      </c>
      <c r="N287" t="n">
        <v>0</v>
      </c>
      <c r="O287" t="n">
        <v>0</v>
      </c>
      <c r="P287" t="n">
        <v>0</v>
      </c>
      <c r="Q287" t="n">
        <v>0</v>
      </c>
      <c r="R287" s="2" t="inlineStr"/>
    </row>
    <row r="288" ht="15" customHeight="1">
      <c r="A288" t="inlineStr">
        <is>
          <t>A 20778-2024</t>
        </is>
      </c>
      <c r="B288" s="1" t="n">
        <v>45436.94701388889</v>
      </c>
      <c r="C288" s="1" t="n">
        <v>45915</v>
      </c>
      <c r="D288" t="inlineStr">
        <is>
          <t>VÄSTERBOTTENS LÄN</t>
        </is>
      </c>
      <c r="E288" t="inlineStr">
        <is>
          <t>BJURHOLM</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45915</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59181-2023</t>
        </is>
      </c>
      <c r="B290" s="1" t="n">
        <v>45251</v>
      </c>
      <c r="C290" s="1" t="n">
        <v>45915</v>
      </c>
      <c r="D290" t="inlineStr">
        <is>
          <t>VÄSTERBOTTENS LÄN</t>
        </is>
      </c>
      <c r="E290" t="inlineStr">
        <is>
          <t>BJURHOLM</t>
        </is>
      </c>
      <c r="G290" t="n">
        <v>3.7</v>
      </c>
      <c r="H290" t="n">
        <v>0</v>
      </c>
      <c r="I290" t="n">
        <v>0</v>
      </c>
      <c r="J290" t="n">
        <v>0</v>
      </c>
      <c r="K290" t="n">
        <v>0</v>
      </c>
      <c r="L290" t="n">
        <v>0</v>
      </c>
      <c r="M290" t="n">
        <v>0</v>
      </c>
      <c r="N290" t="n">
        <v>0</v>
      </c>
      <c r="O290" t="n">
        <v>0</v>
      </c>
      <c r="P290" t="n">
        <v>0</v>
      </c>
      <c r="Q290" t="n">
        <v>0</v>
      </c>
      <c r="R290" s="2" t="inlineStr"/>
    </row>
    <row r="291" ht="15" customHeight="1">
      <c r="A291" t="inlineStr">
        <is>
          <t>A 38006-2025</t>
        </is>
      </c>
      <c r="B291" s="1" t="n">
        <v>45882.28542824074</v>
      </c>
      <c r="C291" s="1" t="n">
        <v>45915</v>
      </c>
      <c r="D291" t="inlineStr">
        <is>
          <t>VÄSTERBOTTENS LÄN</t>
        </is>
      </c>
      <c r="E291" t="inlineStr">
        <is>
          <t>BJURHOLM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46498-2024</t>
        </is>
      </c>
      <c r="B292" s="1" t="n">
        <v>45582</v>
      </c>
      <c r="C292" s="1" t="n">
        <v>45915</v>
      </c>
      <c r="D292" t="inlineStr">
        <is>
          <t>VÄSTERBOTTENS LÄN</t>
        </is>
      </c>
      <c r="E292" t="inlineStr">
        <is>
          <t>BJURHOLM</t>
        </is>
      </c>
      <c r="G292" t="n">
        <v>3.7</v>
      </c>
      <c r="H292" t="n">
        <v>0</v>
      </c>
      <c r="I292" t="n">
        <v>0</v>
      </c>
      <c r="J292" t="n">
        <v>0</v>
      </c>
      <c r="K292" t="n">
        <v>0</v>
      </c>
      <c r="L292" t="n">
        <v>0</v>
      </c>
      <c r="M292" t="n">
        <v>0</v>
      </c>
      <c r="N292" t="n">
        <v>0</v>
      </c>
      <c r="O292" t="n">
        <v>0</v>
      </c>
      <c r="P292" t="n">
        <v>0</v>
      </c>
      <c r="Q292" t="n">
        <v>0</v>
      </c>
      <c r="R292" s="2" t="inlineStr"/>
    </row>
    <row r="293" ht="15" customHeight="1">
      <c r="A293" t="inlineStr">
        <is>
          <t>A 3181-2025</t>
        </is>
      </c>
      <c r="B293" s="1" t="n">
        <v>45679.39748842592</v>
      </c>
      <c r="C293" s="1" t="n">
        <v>45915</v>
      </c>
      <c r="D293" t="inlineStr">
        <is>
          <t>VÄSTERBOTTENS LÄN</t>
        </is>
      </c>
      <c r="E293" t="inlineStr">
        <is>
          <t>BJURHOLM</t>
        </is>
      </c>
      <c r="G293" t="n">
        <v>2.7</v>
      </c>
      <c r="H293" t="n">
        <v>0</v>
      </c>
      <c r="I293" t="n">
        <v>0</v>
      </c>
      <c r="J293" t="n">
        <v>0</v>
      </c>
      <c r="K293" t="n">
        <v>0</v>
      </c>
      <c r="L293" t="n">
        <v>0</v>
      </c>
      <c r="M293" t="n">
        <v>0</v>
      </c>
      <c r="N293" t="n">
        <v>0</v>
      </c>
      <c r="O293" t="n">
        <v>0</v>
      </c>
      <c r="P293" t="n">
        <v>0</v>
      </c>
      <c r="Q293" t="n">
        <v>0</v>
      </c>
      <c r="R293" s="2" t="inlineStr"/>
    </row>
    <row r="294" ht="15" customHeight="1">
      <c r="A294" t="inlineStr">
        <is>
          <t>A 38906-2024</t>
        </is>
      </c>
      <c r="B294" s="1" t="n">
        <v>45547</v>
      </c>
      <c r="C294" s="1" t="n">
        <v>45915</v>
      </c>
      <c r="D294" t="inlineStr">
        <is>
          <t>VÄSTERBOTTENS LÄN</t>
        </is>
      </c>
      <c r="E294" t="inlineStr">
        <is>
          <t>BJURHOLM</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55512-2023</t>
        </is>
      </c>
      <c r="B295" s="1" t="n">
        <v>45232</v>
      </c>
      <c r="C295" s="1" t="n">
        <v>45915</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50238-2024</t>
        </is>
      </c>
      <c r="B296" s="1" t="n">
        <v>45600.55559027778</v>
      </c>
      <c r="C296" s="1" t="n">
        <v>45915</v>
      </c>
      <c r="D296" t="inlineStr">
        <is>
          <t>VÄSTERBOTTENS LÄN</t>
        </is>
      </c>
      <c r="E296" t="inlineStr">
        <is>
          <t>BJURHOLM</t>
        </is>
      </c>
      <c r="F296" t="inlineStr">
        <is>
          <t>Holmen skog AB</t>
        </is>
      </c>
      <c r="G296" t="n">
        <v>5.7</v>
      </c>
      <c r="H296" t="n">
        <v>0</v>
      </c>
      <c r="I296" t="n">
        <v>0</v>
      </c>
      <c r="J296" t="n">
        <v>0</v>
      </c>
      <c r="K296" t="n">
        <v>0</v>
      </c>
      <c r="L296" t="n">
        <v>0</v>
      </c>
      <c r="M296" t="n">
        <v>0</v>
      </c>
      <c r="N296" t="n">
        <v>0</v>
      </c>
      <c r="O296" t="n">
        <v>0</v>
      </c>
      <c r="P296" t="n">
        <v>0</v>
      </c>
      <c r="Q296" t="n">
        <v>0</v>
      </c>
      <c r="R296" s="2" t="inlineStr"/>
    </row>
    <row r="297" ht="15" customHeight="1">
      <c r="A297" t="inlineStr">
        <is>
          <t>A 33395-2023</t>
        </is>
      </c>
      <c r="B297" s="1" t="n">
        <v>45128.62215277777</v>
      </c>
      <c r="C297" s="1" t="n">
        <v>45915</v>
      </c>
      <c r="D297" t="inlineStr">
        <is>
          <t>VÄSTERBOTTENS LÄN</t>
        </is>
      </c>
      <c r="E297" t="inlineStr">
        <is>
          <t>BJURHOLM</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57609-2024</t>
        </is>
      </c>
      <c r="B298" s="1" t="n">
        <v>45630</v>
      </c>
      <c r="C298" s="1" t="n">
        <v>45915</v>
      </c>
      <c r="D298" t="inlineStr">
        <is>
          <t>VÄSTERBOTTENS LÄN</t>
        </is>
      </c>
      <c r="E298" t="inlineStr">
        <is>
          <t>BJURHOLM</t>
        </is>
      </c>
      <c r="F298" t="inlineStr">
        <is>
          <t>Sveaskog</t>
        </is>
      </c>
      <c r="G298" t="n">
        <v>3.7</v>
      </c>
      <c r="H298" t="n">
        <v>0</v>
      </c>
      <c r="I298" t="n">
        <v>0</v>
      </c>
      <c r="J298" t="n">
        <v>0</v>
      </c>
      <c r="K298" t="n">
        <v>0</v>
      </c>
      <c r="L298" t="n">
        <v>0</v>
      </c>
      <c r="M298" t="n">
        <v>0</v>
      </c>
      <c r="N298" t="n">
        <v>0</v>
      </c>
      <c r="O298" t="n">
        <v>0</v>
      </c>
      <c r="P298" t="n">
        <v>0</v>
      </c>
      <c r="Q298" t="n">
        <v>0</v>
      </c>
      <c r="R298" s="2" t="inlineStr"/>
    </row>
    <row r="299" ht="15" customHeight="1">
      <c r="A299" t="inlineStr">
        <is>
          <t>A 36480-2024</t>
        </is>
      </c>
      <c r="B299" s="1" t="n">
        <v>45537</v>
      </c>
      <c r="C299" s="1" t="n">
        <v>45915</v>
      </c>
      <c r="D299" t="inlineStr">
        <is>
          <t>VÄSTERBOTTENS LÄN</t>
        </is>
      </c>
      <c r="E299" t="inlineStr">
        <is>
          <t>BJURHOLM</t>
        </is>
      </c>
      <c r="G299" t="n">
        <v>3.5</v>
      </c>
      <c r="H299" t="n">
        <v>0</v>
      </c>
      <c r="I299" t="n">
        <v>0</v>
      </c>
      <c r="J299" t="n">
        <v>0</v>
      </c>
      <c r="K299" t="n">
        <v>0</v>
      </c>
      <c r="L299" t="n">
        <v>0</v>
      </c>
      <c r="M299" t="n">
        <v>0</v>
      </c>
      <c r="N299" t="n">
        <v>0</v>
      </c>
      <c r="O299" t="n">
        <v>0</v>
      </c>
      <c r="P299" t="n">
        <v>0</v>
      </c>
      <c r="Q299" t="n">
        <v>0</v>
      </c>
      <c r="R299" s="2" t="inlineStr"/>
    </row>
    <row r="300" ht="15" customHeight="1">
      <c r="A300" t="inlineStr">
        <is>
          <t>A 7683-2024</t>
        </is>
      </c>
      <c r="B300" s="1" t="n">
        <v>45348</v>
      </c>
      <c r="C300" s="1" t="n">
        <v>45915</v>
      </c>
      <c r="D300" t="inlineStr">
        <is>
          <t>VÄSTERBOTTENS LÄN</t>
        </is>
      </c>
      <c r="E300" t="inlineStr">
        <is>
          <t>BJURHOLM</t>
        </is>
      </c>
      <c r="G300" t="n">
        <v>11.5</v>
      </c>
      <c r="H300" t="n">
        <v>0</v>
      </c>
      <c r="I300" t="n">
        <v>0</v>
      </c>
      <c r="J300" t="n">
        <v>0</v>
      </c>
      <c r="K300" t="n">
        <v>0</v>
      </c>
      <c r="L300" t="n">
        <v>0</v>
      </c>
      <c r="M300" t="n">
        <v>0</v>
      </c>
      <c r="N300" t="n">
        <v>0</v>
      </c>
      <c r="O300" t="n">
        <v>0</v>
      </c>
      <c r="P300" t="n">
        <v>0</v>
      </c>
      <c r="Q300" t="n">
        <v>0</v>
      </c>
      <c r="R300" s="2" t="inlineStr"/>
    </row>
    <row r="301" ht="15" customHeight="1">
      <c r="A301" t="inlineStr">
        <is>
          <t>A 7728-2024</t>
        </is>
      </c>
      <c r="B301" s="1" t="n">
        <v>45348</v>
      </c>
      <c r="C301" s="1" t="n">
        <v>45915</v>
      </c>
      <c r="D301" t="inlineStr">
        <is>
          <t>VÄSTERBOTTENS LÄN</t>
        </is>
      </c>
      <c r="E301" t="inlineStr">
        <is>
          <t>BJURHOLM</t>
        </is>
      </c>
      <c r="G301" t="n">
        <v>3.5</v>
      </c>
      <c r="H301" t="n">
        <v>0</v>
      </c>
      <c r="I301" t="n">
        <v>0</v>
      </c>
      <c r="J301" t="n">
        <v>0</v>
      </c>
      <c r="K301" t="n">
        <v>0</v>
      </c>
      <c r="L301" t="n">
        <v>0</v>
      </c>
      <c r="M301" t="n">
        <v>0</v>
      </c>
      <c r="N301" t="n">
        <v>0</v>
      </c>
      <c r="O301" t="n">
        <v>0</v>
      </c>
      <c r="P301" t="n">
        <v>0</v>
      </c>
      <c r="Q301" t="n">
        <v>0</v>
      </c>
      <c r="R301" s="2" t="inlineStr"/>
    </row>
    <row r="302" ht="15" customHeight="1">
      <c r="A302" t="inlineStr">
        <is>
          <t>A 7418-2024</t>
        </is>
      </c>
      <c r="B302" s="1" t="n">
        <v>45345</v>
      </c>
      <c r="C302" s="1" t="n">
        <v>45915</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36594-2024</t>
        </is>
      </c>
      <c r="B303" s="1" t="n">
        <v>45537</v>
      </c>
      <c r="C303" s="1" t="n">
        <v>45915</v>
      </c>
      <c r="D303" t="inlineStr">
        <is>
          <t>VÄSTERBOTTENS LÄN</t>
        </is>
      </c>
      <c r="E303" t="inlineStr">
        <is>
          <t>BJURHOLM</t>
        </is>
      </c>
      <c r="G303" t="n">
        <v>17.7</v>
      </c>
      <c r="H303" t="n">
        <v>0</v>
      </c>
      <c r="I303" t="n">
        <v>0</v>
      </c>
      <c r="J303" t="n">
        <v>0</v>
      </c>
      <c r="K303" t="n">
        <v>0</v>
      </c>
      <c r="L303" t="n">
        <v>0</v>
      </c>
      <c r="M303" t="n">
        <v>0</v>
      </c>
      <c r="N303" t="n">
        <v>0</v>
      </c>
      <c r="O303" t="n">
        <v>0</v>
      </c>
      <c r="P303" t="n">
        <v>0</v>
      </c>
      <c r="Q303" t="n">
        <v>0</v>
      </c>
      <c r="R303" s="2" t="inlineStr"/>
    </row>
    <row r="304" ht="15" customHeight="1">
      <c r="A304" t="inlineStr">
        <is>
          <t>A 5541-2025</t>
        </is>
      </c>
      <c r="B304" s="1" t="n">
        <v>45693.45158564814</v>
      </c>
      <c r="C304" s="1" t="n">
        <v>45915</v>
      </c>
      <c r="D304" t="inlineStr">
        <is>
          <t>VÄSTERBOTTENS LÄN</t>
        </is>
      </c>
      <c r="E304" t="inlineStr">
        <is>
          <t>BJURHOLM</t>
        </is>
      </c>
      <c r="G304" t="n">
        <v>3.7</v>
      </c>
      <c r="H304" t="n">
        <v>0</v>
      </c>
      <c r="I304" t="n">
        <v>0</v>
      </c>
      <c r="J304" t="n">
        <v>0</v>
      </c>
      <c r="K304" t="n">
        <v>0</v>
      </c>
      <c r="L304" t="n">
        <v>0</v>
      </c>
      <c r="M304" t="n">
        <v>0</v>
      </c>
      <c r="N304" t="n">
        <v>0</v>
      </c>
      <c r="O304" t="n">
        <v>0</v>
      </c>
      <c r="P304" t="n">
        <v>0</v>
      </c>
      <c r="Q304" t="n">
        <v>0</v>
      </c>
      <c r="R304" s="2" t="inlineStr"/>
    </row>
    <row r="305" ht="15" customHeight="1">
      <c r="A305" t="inlineStr">
        <is>
          <t>A 38177-2025</t>
        </is>
      </c>
      <c r="B305" s="1" t="n">
        <v>45882.63927083334</v>
      </c>
      <c r="C305" s="1" t="n">
        <v>45915</v>
      </c>
      <c r="D305" t="inlineStr">
        <is>
          <t>VÄSTERBOTTENS LÄN</t>
        </is>
      </c>
      <c r="E305" t="inlineStr">
        <is>
          <t>BJURHOLM</t>
        </is>
      </c>
      <c r="G305" t="n">
        <v>14.2</v>
      </c>
      <c r="H305" t="n">
        <v>0</v>
      </c>
      <c r="I305" t="n">
        <v>0</v>
      </c>
      <c r="J305" t="n">
        <v>0</v>
      </c>
      <c r="K305" t="n">
        <v>0</v>
      </c>
      <c r="L305" t="n">
        <v>0</v>
      </c>
      <c r="M305" t="n">
        <v>0</v>
      </c>
      <c r="N305" t="n">
        <v>0</v>
      </c>
      <c r="O305" t="n">
        <v>0</v>
      </c>
      <c r="P305" t="n">
        <v>0</v>
      </c>
      <c r="Q305" t="n">
        <v>0</v>
      </c>
      <c r="R305" s="2" t="inlineStr"/>
    </row>
    <row r="306" ht="15" customHeight="1">
      <c r="A306" t="inlineStr">
        <is>
          <t>A 34714-2023</t>
        </is>
      </c>
      <c r="B306" s="1" t="n">
        <v>45141.32886574074</v>
      </c>
      <c r="C306" s="1" t="n">
        <v>45915</v>
      </c>
      <c r="D306" t="inlineStr">
        <is>
          <t>VÄSTERBOTTENS LÄN</t>
        </is>
      </c>
      <c r="E306" t="inlineStr">
        <is>
          <t>BJURHOLM</t>
        </is>
      </c>
      <c r="F306" t="inlineStr">
        <is>
          <t>Holmen skog AB</t>
        </is>
      </c>
      <c r="G306" t="n">
        <v>3</v>
      </c>
      <c r="H306" t="n">
        <v>0</v>
      </c>
      <c r="I306" t="n">
        <v>0</v>
      </c>
      <c r="J306" t="n">
        <v>0</v>
      </c>
      <c r="K306" t="n">
        <v>0</v>
      </c>
      <c r="L306" t="n">
        <v>0</v>
      </c>
      <c r="M306" t="n">
        <v>0</v>
      </c>
      <c r="N306" t="n">
        <v>0</v>
      </c>
      <c r="O306" t="n">
        <v>0</v>
      </c>
      <c r="P306" t="n">
        <v>0</v>
      </c>
      <c r="Q306" t="n">
        <v>0</v>
      </c>
      <c r="R306" s="2" t="inlineStr"/>
    </row>
    <row r="307" ht="15" customHeight="1">
      <c r="A307" t="inlineStr">
        <is>
          <t>A 11437-2025</t>
        </is>
      </c>
      <c r="B307" s="1" t="n">
        <v>45726.61538194444</v>
      </c>
      <c r="C307" s="1" t="n">
        <v>45915</v>
      </c>
      <c r="D307" t="inlineStr">
        <is>
          <t>VÄSTERBOTTENS LÄN</t>
        </is>
      </c>
      <c r="E307" t="inlineStr">
        <is>
          <t>BJURHOLM</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22852-2023</t>
        </is>
      </c>
      <c r="B308" s="1" t="n">
        <v>45072.47021990741</v>
      </c>
      <c r="C308" s="1" t="n">
        <v>45915</v>
      </c>
      <c r="D308" t="inlineStr">
        <is>
          <t>VÄSTERBOTTENS LÄN</t>
        </is>
      </c>
      <c r="E308" t="inlineStr">
        <is>
          <t>BJURHOLM</t>
        </is>
      </c>
      <c r="G308" t="n">
        <v>0.2</v>
      </c>
      <c r="H308" t="n">
        <v>0</v>
      </c>
      <c r="I308" t="n">
        <v>0</v>
      </c>
      <c r="J308" t="n">
        <v>0</v>
      </c>
      <c r="K308" t="n">
        <v>0</v>
      </c>
      <c r="L308" t="n">
        <v>0</v>
      </c>
      <c r="M308" t="n">
        <v>0</v>
      </c>
      <c r="N308" t="n">
        <v>0</v>
      </c>
      <c r="O308" t="n">
        <v>0</v>
      </c>
      <c r="P308" t="n">
        <v>0</v>
      </c>
      <c r="Q308" t="n">
        <v>0</v>
      </c>
      <c r="R308" s="2" t="inlineStr"/>
    </row>
    <row r="309" ht="15" customHeight="1">
      <c r="A309" t="inlineStr">
        <is>
          <t>A 37940-2025</t>
        </is>
      </c>
      <c r="B309" s="1" t="n">
        <v>45880</v>
      </c>
      <c r="C309" s="1" t="n">
        <v>45915</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45915</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37926-2025</t>
        </is>
      </c>
      <c r="B311" s="1" t="n">
        <v>45880</v>
      </c>
      <c r="C311" s="1" t="n">
        <v>45915</v>
      </c>
      <c r="D311" t="inlineStr">
        <is>
          <t>VÄSTERBOTTENS LÄN</t>
        </is>
      </c>
      <c r="E311" t="inlineStr">
        <is>
          <t>BJURHOLM</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56819-2020</t>
        </is>
      </c>
      <c r="B312" s="1" t="n">
        <v>44138</v>
      </c>
      <c r="C312" s="1" t="n">
        <v>45915</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33711-2023</t>
        </is>
      </c>
      <c r="B313" s="1" t="n">
        <v>45132</v>
      </c>
      <c r="C313" s="1" t="n">
        <v>45915</v>
      </c>
      <c r="D313" t="inlineStr">
        <is>
          <t>VÄSTERBOTTENS LÄN</t>
        </is>
      </c>
      <c r="E313" t="inlineStr">
        <is>
          <t>BJURHOLM</t>
        </is>
      </c>
      <c r="F313" t="inlineStr">
        <is>
          <t>SCA</t>
        </is>
      </c>
      <c r="G313" t="n">
        <v>70.09999999999999</v>
      </c>
      <c r="H313" t="n">
        <v>0</v>
      </c>
      <c r="I313" t="n">
        <v>0</v>
      </c>
      <c r="J313" t="n">
        <v>0</v>
      </c>
      <c r="K313" t="n">
        <v>0</v>
      </c>
      <c r="L313" t="n">
        <v>0</v>
      </c>
      <c r="M313" t="n">
        <v>0</v>
      </c>
      <c r="N313" t="n">
        <v>0</v>
      </c>
      <c r="O313" t="n">
        <v>0</v>
      </c>
      <c r="P313" t="n">
        <v>0</v>
      </c>
      <c r="Q313" t="n">
        <v>0</v>
      </c>
      <c r="R313" s="2" t="inlineStr"/>
    </row>
    <row r="314" ht="15" customHeight="1">
      <c r="A314" t="inlineStr">
        <is>
          <t>A 38120-2025</t>
        </is>
      </c>
      <c r="B314" s="1" t="n">
        <v>45882.55125</v>
      </c>
      <c r="C314" s="1" t="n">
        <v>45915</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38146-2025</t>
        </is>
      </c>
      <c r="B315" s="1" t="n">
        <v>45882.58627314815</v>
      </c>
      <c r="C315" s="1" t="n">
        <v>45915</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37928-2025</t>
        </is>
      </c>
      <c r="B316" s="1" t="n">
        <v>45880</v>
      </c>
      <c r="C316" s="1" t="n">
        <v>45915</v>
      </c>
      <c r="D316" t="inlineStr">
        <is>
          <t>VÄSTERBOTTENS LÄN</t>
        </is>
      </c>
      <c r="E316" t="inlineStr">
        <is>
          <t>BJURHOLM</t>
        </is>
      </c>
      <c r="G316" t="n">
        <v>16.5</v>
      </c>
      <c r="H316" t="n">
        <v>0</v>
      </c>
      <c r="I316" t="n">
        <v>0</v>
      </c>
      <c r="J316" t="n">
        <v>0</v>
      </c>
      <c r="K316" t="n">
        <v>0</v>
      </c>
      <c r="L316" t="n">
        <v>0</v>
      </c>
      <c r="M316" t="n">
        <v>0</v>
      </c>
      <c r="N316" t="n">
        <v>0</v>
      </c>
      <c r="O316" t="n">
        <v>0</v>
      </c>
      <c r="P316" t="n">
        <v>0</v>
      </c>
      <c r="Q316" t="n">
        <v>0</v>
      </c>
      <c r="R316" s="2" t="inlineStr"/>
    </row>
    <row r="317" ht="15" customHeight="1">
      <c r="A317" t="inlineStr">
        <is>
          <t>A 30182-2023</t>
        </is>
      </c>
      <c r="B317" s="1" t="n">
        <v>45099</v>
      </c>
      <c r="C317" s="1" t="n">
        <v>45915</v>
      </c>
      <c r="D317" t="inlineStr">
        <is>
          <t>VÄSTERBOTTENS LÄN</t>
        </is>
      </c>
      <c r="E317" t="inlineStr">
        <is>
          <t>BJURHOLM</t>
        </is>
      </c>
      <c r="G317" t="n">
        <v>2.3</v>
      </c>
      <c r="H317" t="n">
        <v>0</v>
      </c>
      <c r="I317" t="n">
        <v>0</v>
      </c>
      <c r="J317" t="n">
        <v>0</v>
      </c>
      <c r="K317" t="n">
        <v>0</v>
      </c>
      <c r="L317" t="n">
        <v>0</v>
      </c>
      <c r="M317" t="n">
        <v>0</v>
      </c>
      <c r="N317" t="n">
        <v>0</v>
      </c>
      <c r="O317" t="n">
        <v>0</v>
      </c>
      <c r="P317" t="n">
        <v>0</v>
      </c>
      <c r="Q317" t="n">
        <v>0</v>
      </c>
      <c r="R317" s="2" t="inlineStr"/>
    </row>
    <row r="318" ht="15" customHeight="1">
      <c r="A318" t="inlineStr">
        <is>
          <t>A 11729-2025</t>
        </is>
      </c>
      <c r="B318" s="1" t="n">
        <v>45727.61769675926</v>
      </c>
      <c r="C318" s="1" t="n">
        <v>45915</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15910-2025</t>
        </is>
      </c>
      <c r="B319" s="1" t="n">
        <v>45749.44096064815</v>
      </c>
      <c r="C319" s="1" t="n">
        <v>45915</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61654-2022</t>
        </is>
      </c>
      <c r="B320" s="1" t="n">
        <v>44916.9260300926</v>
      </c>
      <c r="C320" s="1" t="n">
        <v>45915</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45915</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42004-2022</t>
        </is>
      </c>
      <c r="B322" s="1" t="n">
        <v>44827</v>
      </c>
      <c r="C322" s="1" t="n">
        <v>45915</v>
      </c>
      <c r="D322" t="inlineStr">
        <is>
          <t>VÄSTERBOTTENS LÄN</t>
        </is>
      </c>
      <c r="E322" t="inlineStr">
        <is>
          <t>BJURHOLM</t>
        </is>
      </c>
      <c r="G322" t="n">
        <v>5.9</v>
      </c>
      <c r="H322" t="n">
        <v>0</v>
      </c>
      <c r="I322" t="n">
        <v>0</v>
      </c>
      <c r="J322" t="n">
        <v>0</v>
      </c>
      <c r="K322" t="n">
        <v>0</v>
      </c>
      <c r="L322" t="n">
        <v>0</v>
      </c>
      <c r="M322" t="n">
        <v>0</v>
      </c>
      <c r="N322" t="n">
        <v>0</v>
      </c>
      <c r="O322" t="n">
        <v>0</v>
      </c>
      <c r="P322" t="n">
        <v>0</v>
      </c>
      <c r="Q322" t="n">
        <v>0</v>
      </c>
      <c r="R322" s="2" t="inlineStr"/>
    </row>
    <row r="323" ht="15" customHeight="1">
      <c r="A323" t="inlineStr">
        <is>
          <t>A 33460-2022</t>
        </is>
      </c>
      <c r="B323" s="1" t="n">
        <v>44788.6674537037</v>
      </c>
      <c r="C323" s="1" t="n">
        <v>45915</v>
      </c>
      <c r="D323" t="inlineStr">
        <is>
          <t>VÄSTERBOTTENS LÄN</t>
        </is>
      </c>
      <c r="E323" t="inlineStr">
        <is>
          <t>BJURHOLM</t>
        </is>
      </c>
      <c r="G323" t="n">
        <v>2.2</v>
      </c>
      <c r="H323" t="n">
        <v>0</v>
      </c>
      <c r="I323" t="n">
        <v>0</v>
      </c>
      <c r="J323" t="n">
        <v>0</v>
      </c>
      <c r="K323" t="n">
        <v>0</v>
      </c>
      <c r="L323" t="n">
        <v>0</v>
      </c>
      <c r="M323" t="n">
        <v>0</v>
      </c>
      <c r="N323" t="n">
        <v>0</v>
      </c>
      <c r="O323" t="n">
        <v>0</v>
      </c>
      <c r="P323" t="n">
        <v>0</v>
      </c>
      <c r="Q323" t="n">
        <v>0</v>
      </c>
      <c r="R323" s="2" t="inlineStr"/>
    </row>
    <row r="324" ht="15" customHeight="1">
      <c r="A324" t="inlineStr">
        <is>
          <t>A 16148-2025</t>
        </is>
      </c>
      <c r="B324" s="1" t="n">
        <v>45750.46479166667</v>
      </c>
      <c r="C324" s="1" t="n">
        <v>45915</v>
      </c>
      <c r="D324" t="inlineStr">
        <is>
          <t>VÄSTERBOTTENS LÄN</t>
        </is>
      </c>
      <c r="E324" t="inlineStr">
        <is>
          <t>BJURHOLM</t>
        </is>
      </c>
      <c r="F324" t="inlineStr">
        <is>
          <t>Sveaskog</t>
        </is>
      </c>
      <c r="G324" t="n">
        <v>10.6</v>
      </c>
      <c r="H324" t="n">
        <v>0</v>
      </c>
      <c r="I324" t="n">
        <v>0</v>
      </c>
      <c r="J324" t="n">
        <v>0</v>
      </c>
      <c r="K324" t="n">
        <v>0</v>
      </c>
      <c r="L324" t="n">
        <v>0</v>
      </c>
      <c r="M324" t="n">
        <v>0</v>
      </c>
      <c r="N324" t="n">
        <v>0</v>
      </c>
      <c r="O324" t="n">
        <v>0</v>
      </c>
      <c r="P324" t="n">
        <v>0</v>
      </c>
      <c r="Q324" t="n">
        <v>0</v>
      </c>
      <c r="R324" s="2" t="inlineStr"/>
    </row>
    <row r="325" ht="15" customHeight="1">
      <c r="A325" t="inlineStr">
        <is>
          <t>A 37826-2025</t>
        </is>
      </c>
      <c r="B325" s="1" t="n">
        <v>45881.40806712963</v>
      </c>
      <c r="C325" s="1" t="n">
        <v>45915</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12391-2025</t>
        </is>
      </c>
      <c r="B326" s="1" t="n">
        <v>45730.39814814815</v>
      </c>
      <c r="C326" s="1" t="n">
        <v>45915</v>
      </c>
      <c r="D326" t="inlineStr">
        <is>
          <t>VÄSTERBOTTENS LÄN</t>
        </is>
      </c>
      <c r="E326" t="inlineStr">
        <is>
          <t>BJURHOLM</t>
        </is>
      </c>
      <c r="G326" t="n">
        <v>2.3</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45915</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37829-2025</t>
        </is>
      </c>
      <c r="B328" s="1" t="n">
        <v>45881.41208333334</v>
      </c>
      <c r="C328" s="1" t="n">
        <v>45915</v>
      </c>
      <c r="D328" t="inlineStr">
        <is>
          <t>VÄSTERBOTTENS LÄN</t>
        </is>
      </c>
      <c r="E328" t="inlineStr">
        <is>
          <t>BJURHOLM</t>
        </is>
      </c>
      <c r="G328" t="n">
        <v>5.6</v>
      </c>
      <c r="H328" t="n">
        <v>0</v>
      </c>
      <c r="I328" t="n">
        <v>0</v>
      </c>
      <c r="J328" t="n">
        <v>0</v>
      </c>
      <c r="K328" t="n">
        <v>0</v>
      </c>
      <c r="L328" t="n">
        <v>0</v>
      </c>
      <c r="M328" t="n">
        <v>0</v>
      </c>
      <c r="N328" t="n">
        <v>0</v>
      </c>
      <c r="O328" t="n">
        <v>0</v>
      </c>
      <c r="P328" t="n">
        <v>0</v>
      </c>
      <c r="Q328" t="n">
        <v>0</v>
      </c>
      <c r="R328" s="2" t="inlineStr"/>
    </row>
    <row r="329" ht="15" customHeight="1">
      <c r="A329" t="inlineStr">
        <is>
          <t>A 35614-2024</t>
        </is>
      </c>
      <c r="B329" s="1" t="n">
        <v>45531.69734953704</v>
      </c>
      <c r="C329" s="1" t="n">
        <v>45915</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59712-2023</t>
        </is>
      </c>
      <c r="B330" s="1" t="n">
        <v>45257</v>
      </c>
      <c r="C330" s="1" t="n">
        <v>45915</v>
      </c>
      <c r="D330" t="inlineStr">
        <is>
          <t>VÄSTERBOTTENS LÄN</t>
        </is>
      </c>
      <c r="E330" t="inlineStr">
        <is>
          <t>BJURHOLM</t>
        </is>
      </c>
      <c r="G330" t="n">
        <v>2.4</v>
      </c>
      <c r="H330" t="n">
        <v>0</v>
      </c>
      <c r="I330" t="n">
        <v>0</v>
      </c>
      <c r="J330" t="n">
        <v>0</v>
      </c>
      <c r="K330" t="n">
        <v>0</v>
      </c>
      <c r="L330" t="n">
        <v>0</v>
      </c>
      <c r="M330" t="n">
        <v>0</v>
      </c>
      <c r="N330" t="n">
        <v>0</v>
      </c>
      <c r="O330" t="n">
        <v>0</v>
      </c>
      <c r="P330" t="n">
        <v>0</v>
      </c>
      <c r="Q330" t="n">
        <v>0</v>
      </c>
      <c r="R330" s="2" t="inlineStr"/>
    </row>
    <row r="331" ht="15" customHeight="1">
      <c r="A331" t="inlineStr">
        <is>
          <t>A 34761-2023</t>
        </is>
      </c>
      <c r="B331" s="1" t="n">
        <v>45141.47096064815</v>
      </c>
      <c r="C331" s="1" t="n">
        <v>45915</v>
      </c>
      <c r="D331" t="inlineStr">
        <is>
          <t>VÄSTERBOTTENS LÄN</t>
        </is>
      </c>
      <c r="E331" t="inlineStr">
        <is>
          <t>BJURHOLM</t>
        </is>
      </c>
      <c r="F331" t="inlineStr">
        <is>
          <t>Holmen skog AB</t>
        </is>
      </c>
      <c r="G331" t="n">
        <v>4.1</v>
      </c>
      <c r="H331" t="n">
        <v>0</v>
      </c>
      <c r="I331" t="n">
        <v>0</v>
      </c>
      <c r="J331" t="n">
        <v>0</v>
      </c>
      <c r="K331" t="n">
        <v>0</v>
      </c>
      <c r="L331" t="n">
        <v>0</v>
      </c>
      <c r="M331" t="n">
        <v>0</v>
      </c>
      <c r="N331" t="n">
        <v>0</v>
      </c>
      <c r="O331" t="n">
        <v>0</v>
      </c>
      <c r="P331" t="n">
        <v>0</v>
      </c>
      <c r="Q331" t="n">
        <v>0</v>
      </c>
      <c r="R331" s="2" t="inlineStr"/>
    </row>
    <row r="332" ht="15" customHeight="1">
      <c r="A332" t="inlineStr">
        <is>
          <t>A 6699-2023</t>
        </is>
      </c>
      <c r="B332" s="1" t="n">
        <v>44966.67196759259</v>
      </c>
      <c r="C332" s="1" t="n">
        <v>45915</v>
      </c>
      <c r="D332" t="inlineStr">
        <is>
          <t>VÄSTERBOTTENS LÄN</t>
        </is>
      </c>
      <c r="E332" t="inlineStr">
        <is>
          <t>BJURHOLM</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23205-2024</t>
        </is>
      </c>
      <c r="B333" s="1" t="n">
        <v>45451</v>
      </c>
      <c r="C333" s="1" t="n">
        <v>45915</v>
      </c>
      <c r="D333" t="inlineStr">
        <is>
          <t>VÄSTERBOTTENS LÄN</t>
        </is>
      </c>
      <c r="E333" t="inlineStr">
        <is>
          <t>BJURHOLM</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70740-2021</t>
        </is>
      </c>
      <c r="B334" s="1" t="n">
        <v>44536</v>
      </c>
      <c r="C334" s="1" t="n">
        <v>45915</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64503-2023</t>
        </is>
      </c>
      <c r="B335" s="1" t="n">
        <v>45280.94380787037</v>
      </c>
      <c r="C335" s="1" t="n">
        <v>45915</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36416-2024</t>
        </is>
      </c>
      <c r="B336" s="1" t="n">
        <v>45536</v>
      </c>
      <c r="C336" s="1" t="n">
        <v>45915</v>
      </c>
      <c r="D336" t="inlineStr">
        <is>
          <t>VÄSTERBOTTENS LÄN</t>
        </is>
      </c>
      <c r="E336" t="inlineStr">
        <is>
          <t>BJURHOLM</t>
        </is>
      </c>
      <c r="G336" t="n">
        <v>0</v>
      </c>
      <c r="H336" t="n">
        <v>0</v>
      </c>
      <c r="I336" t="n">
        <v>0</v>
      </c>
      <c r="J336" t="n">
        <v>0</v>
      </c>
      <c r="K336" t="n">
        <v>0</v>
      </c>
      <c r="L336" t="n">
        <v>0</v>
      </c>
      <c r="M336" t="n">
        <v>0</v>
      </c>
      <c r="N336" t="n">
        <v>0</v>
      </c>
      <c r="O336" t="n">
        <v>0</v>
      </c>
      <c r="P336" t="n">
        <v>0</v>
      </c>
      <c r="Q336" t="n">
        <v>0</v>
      </c>
      <c r="R336" s="2" t="inlineStr"/>
    </row>
    <row r="337" ht="15" customHeight="1">
      <c r="A337" t="inlineStr">
        <is>
          <t>A 41505-2021</t>
        </is>
      </c>
      <c r="B337" s="1" t="n">
        <v>44424.94164351852</v>
      </c>
      <c r="C337" s="1" t="n">
        <v>45915</v>
      </c>
      <c r="D337" t="inlineStr">
        <is>
          <t>VÄSTERBOTTENS LÄN</t>
        </is>
      </c>
      <c r="E337" t="inlineStr">
        <is>
          <t>BJURHOLM</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38426-2025</t>
        </is>
      </c>
      <c r="B338" s="1" t="n">
        <v>45883.63590277778</v>
      </c>
      <c r="C338" s="1" t="n">
        <v>45915</v>
      </c>
      <c r="D338" t="inlineStr">
        <is>
          <t>VÄSTERBOTTENS LÄN</t>
        </is>
      </c>
      <c r="E338" t="inlineStr">
        <is>
          <t>BJURHOLM</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38444-2025</t>
        </is>
      </c>
      <c r="B339" s="1" t="n">
        <v>45883.65666666667</v>
      </c>
      <c r="C339" s="1" t="n">
        <v>45915</v>
      </c>
      <c r="D339" t="inlineStr">
        <is>
          <t>VÄSTERBOTTENS LÄN</t>
        </is>
      </c>
      <c r="E339" t="inlineStr">
        <is>
          <t>BJURHOLM</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64500-2023</t>
        </is>
      </c>
      <c r="B340" s="1" t="n">
        <v>45280.94303240741</v>
      </c>
      <c r="C340" s="1" t="n">
        <v>45915</v>
      </c>
      <c r="D340" t="inlineStr">
        <is>
          <t>VÄSTERBOTTENS LÄN</t>
        </is>
      </c>
      <c r="E340" t="inlineStr">
        <is>
          <t>BJURHOLM</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39136-2025</t>
        </is>
      </c>
      <c r="B341" s="1" t="n">
        <v>45888.59417824074</v>
      </c>
      <c r="C341" s="1" t="n">
        <v>45915</v>
      </c>
      <c r="D341" t="inlineStr">
        <is>
          <t>VÄSTERBOTTENS LÄN</t>
        </is>
      </c>
      <c r="E341" t="inlineStr">
        <is>
          <t>BJURHOLM</t>
        </is>
      </c>
      <c r="F341" t="inlineStr">
        <is>
          <t>SCA</t>
        </is>
      </c>
      <c r="G341" t="n">
        <v>17.8</v>
      </c>
      <c r="H341" t="n">
        <v>0</v>
      </c>
      <c r="I341" t="n">
        <v>0</v>
      </c>
      <c r="J341" t="n">
        <v>0</v>
      </c>
      <c r="K341" t="n">
        <v>0</v>
      </c>
      <c r="L341" t="n">
        <v>0</v>
      </c>
      <c r="M341" t="n">
        <v>0</v>
      </c>
      <c r="N341" t="n">
        <v>0</v>
      </c>
      <c r="O341" t="n">
        <v>0</v>
      </c>
      <c r="P341" t="n">
        <v>0</v>
      </c>
      <c r="Q341" t="n">
        <v>0</v>
      </c>
      <c r="R341" s="2" t="inlineStr"/>
    </row>
    <row r="342" ht="15" customHeight="1">
      <c r="A342" t="inlineStr">
        <is>
          <t>A 55512-2021</t>
        </is>
      </c>
      <c r="B342" s="1" t="n">
        <v>44475.63670138889</v>
      </c>
      <c r="C342" s="1" t="n">
        <v>45915</v>
      </c>
      <c r="D342" t="inlineStr">
        <is>
          <t>VÄSTERBOTTENS LÄN</t>
        </is>
      </c>
      <c r="E342" t="inlineStr">
        <is>
          <t>BJURHOLM</t>
        </is>
      </c>
      <c r="F342" t="inlineStr">
        <is>
          <t>Holmen skog AB</t>
        </is>
      </c>
      <c r="G342" t="n">
        <v>28.3</v>
      </c>
      <c r="H342" t="n">
        <v>0</v>
      </c>
      <c r="I342" t="n">
        <v>0</v>
      </c>
      <c r="J342" t="n">
        <v>0</v>
      </c>
      <c r="K342" t="n">
        <v>0</v>
      </c>
      <c r="L342" t="n">
        <v>0</v>
      </c>
      <c r="M342" t="n">
        <v>0</v>
      </c>
      <c r="N342" t="n">
        <v>0</v>
      </c>
      <c r="O342" t="n">
        <v>0</v>
      </c>
      <c r="P342" t="n">
        <v>0</v>
      </c>
      <c r="Q342" t="n">
        <v>0</v>
      </c>
      <c r="R342" s="2" t="inlineStr"/>
    </row>
    <row r="343" ht="15" customHeight="1">
      <c r="A343" t="inlineStr">
        <is>
          <t>A 41592-2023</t>
        </is>
      </c>
      <c r="B343" s="1" t="n">
        <v>45175.63826388889</v>
      </c>
      <c r="C343" s="1" t="n">
        <v>45915</v>
      </c>
      <c r="D343" t="inlineStr">
        <is>
          <t>VÄSTERBOTTENS LÄN</t>
        </is>
      </c>
      <c r="E343" t="inlineStr">
        <is>
          <t>BJURHOLM</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60690-2022</t>
        </is>
      </c>
      <c r="B344" s="1" t="n">
        <v>44911</v>
      </c>
      <c r="C344" s="1" t="n">
        <v>45915</v>
      </c>
      <c r="D344" t="inlineStr">
        <is>
          <t>VÄSTERBOTTENS LÄN</t>
        </is>
      </c>
      <c r="E344" t="inlineStr">
        <is>
          <t>BJURHOLM</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53375-2024</t>
        </is>
      </c>
      <c r="B345" s="1" t="n">
        <v>45614</v>
      </c>
      <c r="C345" s="1" t="n">
        <v>45915</v>
      </c>
      <c r="D345" t="inlineStr">
        <is>
          <t>VÄSTERBOTTENS LÄN</t>
        </is>
      </c>
      <c r="E345" t="inlineStr">
        <is>
          <t>BJURHOLM</t>
        </is>
      </c>
      <c r="G345" t="n">
        <v>0.5</v>
      </c>
      <c r="H345" t="n">
        <v>0</v>
      </c>
      <c r="I345" t="n">
        <v>0</v>
      </c>
      <c r="J345" t="n">
        <v>0</v>
      </c>
      <c r="K345" t="n">
        <v>0</v>
      </c>
      <c r="L345" t="n">
        <v>0</v>
      </c>
      <c r="M345" t="n">
        <v>0</v>
      </c>
      <c r="N345" t="n">
        <v>0</v>
      </c>
      <c r="O345" t="n">
        <v>0</v>
      </c>
      <c r="P345" t="n">
        <v>0</v>
      </c>
      <c r="Q345" t="n">
        <v>0</v>
      </c>
      <c r="R345" s="2" t="inlineStr"/>
    </row>
    <row r="346" ht="15" customHeight="1">
      <c r="A346" t="inlineStr">
        <is>
          <t>A 13842-2025</t>
        </is>
      </c>
      <c r="B346" s="1" t="n">
        <v>45737.55802083333</v>
      </c>
      <c r="C346" s="1" t="n">
        <v>45915</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34333-2025</t>
        </is>
      </c>
      <c r="B347" s="1" t="n">
        <v>45846.45019675926</v>
      </c>
      <c r="C347" s="1" t="n">
        <v>45915</v>
      </c>
      <c r="D347" t="inlineStr">
        <is>
          <t>VÄSTERBOTTENS LÄN</t>
        </is>
      </c>
      <c r="E347" t="inlineStr">
        <is>
          <t>BJURHOLM</t>
        </is>
      </c>
      <c r="G347" t="n">
        <v>2.9</v>
      </c>
      <c r="H347" t="n">
        <v>0</v>
      </c>
      <c r="I347" t="n">
        <v>0</v>
      </c>
      <c r="J347" t="n">
        <v>0</v>
      </c>
      <c r="K347" t="n">
        <v>0</v>
      </c>
      <c r="L347" t="n">
        <v>0</v>
      </c>
      <c r="M347" t="n">
        <v>0</v>
      </c>
      <c r="N347" t="n">
        <v>0</v>
      </c>
      <c r="O347" t="n">
        <v>0</v>
      </c>
      <c r="P347" t="n">
        <v>0</v>
      </c>
      <c r="Q347" t="n">
        <v>0</v>
      </c>
      <c r="R347" s="2" t="inlineStr"/>
    </row>
    <row r="348" ht="15" customHeight="1">
      <c r="A348" t="inlineStr">
        <is>
          <t>A 34347-2025</t>
        </is>
      </c>
      <c r="B348" s="1" t="n">
        <v>45846.4693287037</v>
      </c>
      <c r="C348" s="1" t="n">
        <v>45915</v>
      </c>
      <c r="D348" t="inlineStr">
        <is>
          <t>VÄSTERBOTTENS LÄN</t>
        </is>
      </c>
      <c r="E348" t="inlineStr">
        <is>
          <t>BJURHOLM</t>
        </is>
      </c>
      <c r="G348" t="n">
        <v>0.8</v>
      </c>
      <c r="H348" t="n">
        <v>0</v>
      </c>
      <c r="I348" t="n">
        <v>0</v>
      </c>
      <c r="J348" t="n">
        <v>0</v>
      </c>
      <c r="K348" t="n">
        <v>0</v>
      </c>
      <c r="L348" t="n">
        <v>0</v>
      </c>
      <c r="M348" t="n">
        <v>0</v>
      </c>
      <c r="N348" t="n">
        <v>0</v>
      </c>
      <c r="O348" t="n">
        <v>0</v>
      </c>
      <c r="P348" t="n">
        <v>0</v>
      </c>
      <c r="Q348" t="n">
        <v>0</v>
      </c>
      <c r="R348" s="2" t="inlineStr"/>
    </row>
    <row r="349" ht="15" customHeight="1">
      <c r="A349" t="inlineStr">
        <is>
          <t>A 34336-2025</t>
        </is>
      </c>
      <c r="B349" s="1" t="n">
        <v>45846.45319444445</v>
      </c>
      <c r="C349" s="1" t="n">
        <v>45915</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34446-2025</t>
        </is>
      </c>
      <c r="B350" s="1" t="n">
        <v>45845</v>
      </c>
      <c r="C350" s="1" t="n">
        <v>45915</v>
      </c>
      <c r="D350" t="inlineStr">
        <is>
          <t>VÄSTERBOTTENS LÄN</t>
        </is>
      </c>
      <c r="E350" t="inlineStr">
        <is>
          <t>BJURHOLM</t>
        </is>
      </c>
      <c r="G350" t="n">
        <v>4.1</v>
      </c>
      <c r="H350" t="n">
        <v>0</v>
      </c>
      <c r="I350" t="n">
        <v>0</v>
      </c>
      <c r="J350" t="n">
        <v>0</v>
      </c>
      <c r="K350" t="n">
        <v>0</v>
      </c>
      <c r="L350" t="n">
        <v>0</v>
      </c>
      <c r="M350" t="n">
        <v>0</v>
      </c>
      <c r="N350" t="n">
        <v>0</v>
      </c>
      <c r="O350" t="n">
        <v>0</v>
      </c>
      <c r="P350" t="n">
        <v>0</v>
      </c>
      <c r="Q350" t="n">
        <v>0</v>
      </c>
      <c r="R350" s="2" t="inlineStr"/>
    </row>
    <row r="351" ht="15" customHeight="1">
      <c r="A351" t="inlineStr">
        <is>
          <t>A 38818-2025</t>
        </is>
      </c>
      <c r="B351" s="1" t="n">
        <v>45887.49842592593</v>
      </c>
      <c r="C351" s="1" t="n">
        <v>45915</v>
      </c>
      <c r="D351" t="inlineStr">
        <is>
          <t>VÄSTERBOTTENS LÄN</t>
        </is>
      </c>
      <c r="E351" t="inlineStr">
        <is>
          <t>BJURHOLM</t>
        </is>
      </c>
      <c r="G351" t="n">
        <v>2.8</v>
      </c>
      <c r="H351" t="n">
        <v>0</v>
      </c>
      <c r="I351" t="n">
        <v>0</v>
      </c>
      <c r="J351" t="n">
        <v>0</v>
      </c>
      <c r="K351" t="n">
        <v>0</v>
      </c>
      <c r="L351" t="n">
        <v>0</v>
      </c>
      <c r="M351" t="n">
        <v>0</v>
      </c>
      <c r="N351" t="n">
        <v>0</v>
      </c>
      <c r="O351" t="n">
        <v>0</v>
      </c>
      <c r="P351" t="n">
        <v>0</v>
      </c>
      <c r="Q351" t="n">
        <v>0</v>
      </c>
      <c r="R351" s="2" t="inlineStr"/>
    </row>
    <row r="352" ht="15" customHeight="1">
      <c r="A352" t="inlineStr">
        <is>
          <t>A 7431-2024</t>
        </is>
      </c>
      <c r="B352" s="1" t="n">
        <v>45345</v>
      </c>
      <c r="C352" s="1" t="n">
        <v>45915</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39263-2025</t>
        </is>
      </c>
      <c r="B353" s="1" t="n">
        <v>45889.37246527777</v>
      </c>
      <c r="C353" s="1" t="n">
        <v>45915</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39252-2025</t>
        </is>
      </c>
      <c r="B354" s="1" t="n">
        <v>45889.36288194444</v>
      </c>
      <c r="C354" s="1" t="n">
        <v>45915</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39255-2025</t>
        </is>
      </c>
      <c r="B355" s="1" t="n">
        <v>45889.36472222222</v>
      </c>
      <c r="C355" s="1" t="n">
        <v>45915</v>
      </c>
      <c r="D355" t="inlineStr">
        <is>
          <t>VÄSTERBOTTENS LÄN</t>
        </is>
      </c>
      <c r="E355" t="inlineStr">
        <is>
          <t>BJURHOLM</t>
        </is>
      </c>
      <c r="G355" t="n">
        <v>2.1</v>
      </c>
      <c r="H355" t="n">
        <v>0</v>
      </c>
      <c r="I355" t="n">
        <v>0</v>
      </c>
      <c r="J355" t="n">
        <v>0</v>
      </c>
      <c r="K355" t="n">
        <v>0</v>
      </c>
      <c r="L355" t="n">
        <v>0</v>
      </c>
      <c r="M355" t="n">
        <v>0</v>
      </c>
      <c r="N355" t="n">
        <v>0</v>
      </c>
      <c r="O355" t="n">
        <v>0</v>
      </c>
      <c r="P355" t="n">
        <v>0</v>
      </c>
      <c r="Q355" t="n">
        <v>0</v>
      </c>
      <c r="R355" s="2" t="inlineStr"/>
    </row>
    <row r="356" ht="15" customHeight="1">
      <c r="A356" t="inlineStr">
        <is>
          <t>A 14071-2023</t>
        </is>
      </c>
      <c r="B356" s="1" t="n">
        <v>45009.08837962963</v>
      </c>
      <c r="C356" s="1" t="n">
        <v>45915</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39410-2025</t>
        </is>
      </c>
      <c r="B357" s="1" t="n">
        <v>45889.65439814814</v>
      </c>
      <c r="C357" s="1" t="n">
        <v>45915</v>
      </c>
      <c r="D357" t="inlineStr">
        <is>
          <t>VÄSTERBOTTENS LÄN</t>
        </is>
      </c>
      <c r="E357" t="inlineStr">
        <is>
          <t>BJURHOLM</t>
        </is>
      </c>
      <c r="F357" t="inlineStr">
        <is>
          <t>Holmen skog AB</t>
        </is>
      </c>
      <c r="G357" t="n">
        <v>3.8</v>
      </c>
      <c r="H357" t="n">
        <v>0</v>
      </c>
      <c r="I357" t="n">
        <v>0</v>
      </c>
      <c r="J357" t="n">
        <v>0</v>
      </c>
      <c r="K357" t="n">
        <v>0</v>
      </c>
      <c r="L357" t="n">
        <v>0</v>
      </c>
      <c r="M357" t="n">
        <v>0</v>
      </c>
      <c r="N357" t="n">
        <v>0</v>
      </c>
      <c r="O357" t="n">
        <v>0</v>
      </c>
      <c r="P357" t="n">
        <v>0</v>
      </c>
      <c r="Q357" t="n">
        <v>0</v>
      </c>
      <c r="R357" s="2" t="inlineStr"/>
    </row>
    <row r="358" ht="15" customHeight="1">
      <c r="A358" t="inlineStr">
        <is>
          <t>A 39257-2025</t>
        </is>
      </c>
      <c r="B358" s="1" t="n">
        <v>45889.36733796296</v>
      </c>
      <c r="C358" s="1" t="n">
        <v>45915</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34296-2022</t>
        </is>
      </c>
      <c r="B359" s="1" t="n">
        <v>44792.35222222222</v>
      </c>
      <c r="C359" s="1" t="n">
        <v>45915</v>
      </c>
      <c r="D359" t="inlineStr">
        <is>
          <t>VÄSTERBOTTENS LÄN</t>
        </is>
      </c>
      <c r="E359" t="inlineStr">
        <is>
          <t>BJURHOLM</t>
        </is>
      </c>
      <c r="G359" t="n">
        <v>9.1</v>
      </c>
      <c r="H359" t="n">
        <v>0</v>
      </c>
      <c r="I359" t="n">
        <v>0</v>
      </c>
      <c r="J359" t="n">
        <v>0</v>
      </c>
      <c r="K359" t="n">
        <v>0</v>
      </c>
      <c r="L359" t="n">
        <v>0</v>
      </c>
      <c r="M359" t="n">
        <v>0</v>
      </c>
      <c r="N359" t="n">
        <v>0</v>
      </c>
      <c r="O359" t="n">
        <v>0</v>
      </c>
      <c r="P359" t="n">
        <v>0</v>
      </c>
      <c r="Q359" t="n">
        <v>0</v>
      </c>
      <c r="R359" s="2" t="inlineStr"/>
    </row>
    <row r="360" ht="15" customHeight="1">
      <c r="A360" t="inlineStr">
        <is>
          <t>A 39267-2025</t>
        </is>
      </c>
      <c r="B360" s="1" t="n">
        <v>45889.37619212963</v>
      </c>
      <c r="C360" s="1" t="n">
        <v>45915</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43172-2023</t>
        </is>
      </c>
      <c r="B361" s="1" t="n">
        <v>45183</v>
      </c>
      <c r="C361" s="1" t="n">
        <v>45915</v>
      </c>
      <c r="D361" t="inlineStr">
        <is>
          <t>VÄSTERBOTTENS LÄN</t>
        </is>
      </c>
      <c r="E361" t="inlineStr">
        <is>
          <t>BJURHOLM</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32035-2021</t>
        </is>
      </c>
      <c r="B362" s="1" t="n">
        <v>44370.65484953704</v>
      </c>
      <c r="C362" s="1" t="n">
        <v>45915</v>
      </c>
      <c r="D362" t="inlineStr">
        <is>
          <t>VÄSTERBOTTENS LÄN</t>
        </is>
      </c>
      <c r="E362" t="inlineStr">
        <is>
          <t>BJURHOLM</t>
        </is>
      </c>
      <c r="G362" t="n">
        <v>2.6</v>
      </c>
      <c r="H362" t="n">
        <v>0</v>
      </c>
      <c r="I362" t="n">
        <v>0</v>
      </c>
      <c r="J362" t="n">
        <v>0</v>
      </c>
      <c r="K362" t="n">
        <v>0</v>
      </c>
      <c r="L362" t="n">
        <v>0</v>
      </c>
      <c r="M362" t="n">
        <v>0</v>
      </c>
      <c r="N362" t="n">
        <v>0</v>
      </c>
      <c r="O362" t="n">
        <v>0</v>
      </c>
      <c r="P362" t="n">
        <v>0</v>
      </c>
      <c r="Q362" t="n">
        <v>0</v>
      </c>
      <c r="R362" s="2" t="inlineStr"/>
    </row>
    <row r="363" ht="15" customHeight="1">
      <c r="A363" t="inlineStr">
        <is>
          <t>A 39491-2025</t>
        </is>
      </c>
      <c r="B363" s="1" t="n">
        <v>45890.37449074074</v>
      </c>
      <c r="C363" s="1" t="n">
        <v>45915</v>
      </c>
      <c r="D363" t="inlineStr">
        <is>
          <t>VÄSTERBOTTENS LÄN</t>
        </is>
      </c>
      <c r="E363" t="inlineStr">
        <is>
          <t>BJURHOLM</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16013-2025</t>
        </is>
      </c>
      <c r="B364" s="1" t="n">
        <v>45749.60484953703</v>
      </c>
      <c r="C364" s="1" t="n">
        <v>45915</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39900-2025</t>
        </is>
      </c>
      <c r="B365" s="1" t="n">
        <v>45891.63541666666</v>
      </c>
      <c r="C365" s="1" t="n">
        <v>45915</v>
      </c>
      <c r="D365" t="inlineStr">
        <is>
          <t>VÄSTERBOTTENS LÄN</t>
        </is>
      </c>
      <c r="E365" t="inlineStr">
        <is>
          <t>BJURHOLM</t>
        </is>
      </c>
      <c r="F365" t="inlineStr">
        <is>
          <t>Holmen skog AB</t>
        </is>
      </c>
      <c r="G365" t="n">
        <v>18.1</v>
      </c>
      <c r="H365" t="n">
        <v>0</v>
      </c>
      <c r="I365" t="n">
        <v>0</v>
      </c>
      <c r="J365" t="n">
        <v>0</v>
      </c>
      <c r="K365" t="n">
        <v>0</v>
      </c>
      <c r="L365" t="n">
        <v>0</v>
      </c>
      <c r="M365" t="n">
        <v>0</v>
      </c>
      <c r="N365" t="n">
        <v>0</v>
      </c>
      <c r="O365" t="n">
        <v>0</v>
      </c>
      <c r="P365" t="n">
        <v>0</v>
      </c>
      <c r="Q365" t="n">
        <v>0</v>
      </c>
      <c r="R365" s="2" t="inlineStr"/>
    </row>
    <row r="366" ht="15" customHeight="1">
      <c r="A366" t="inlineStr">
        <is>
          <t>A 41503-2021</t>
        </is>
      </c>
      <c r="B366" s="1" t="n">
        <v>44424</v>
      </c>
      <c r="C366" s="1" t="n">
        <v>45915</v>
      </c>
      <c r="D366" t="inlineStr">
        <is>
          <t>VÄSTERBOTTENS LÄN</t>
        </is>
      </c>
      <c r="E366" t="inlineStr">
        <is>
          <t>BJURHOLM</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40191-2025</t>
        </is>
      </c>
      <c r="B367" s="1" t="n">
        <v>45894.65684027778</v>
      </c>
      <c r="C367" s="1" t="n">
        <v>45915</v>
      </c>
      <c r="D367" t="inlineStr">
        <is>
          <t>VÄSTERBOTTENS LÄN</t>
        </is>
      </c>
      <c r="E367" t="inlineStr">
        <is>
          <t>BJURHOLM</t>
        </is>
      </c>
      <c r="G367" t="n">
        <v>2.7</v>
      </c>
      <c r="H367" t="n">
        <v>0</v>
      </c>
      <c r="I367" t="n">
        <v>0</v>
      </c>
      <c r="J367" t="n">
        <v>0</v>
      </c>
      <c r="K367" t="n">
        <v>0</v>
      </c>
      <c r="L367" t="n">
        <v>0</v>
      </c>
      <c r="M367" t="n">
        <v>0</v>
      </c>
      <c r="N367" t="n">
        <v>0</v>
      </c>
      <c r="O367" t="n">
        <v>0</v>
      </c>
      <c r="P367" t="n">
        <v>0</v>
      </c>
      <c r="Q367" t="n">
        <v>0</v>
      </c>
      <c r="R367" s="2" t="inlineStr"/>
    </row>
    <row r="368" ht="15" customHeight="1">
      <c r="A368" t="inlineStr">
        <is>
          <t>A 40197-2025</t>
        </is>
      </c>
      <c r="B368" s="1" t="n">
        <v>45894.66121527777</v>
      </c>
      <c r="C368" s="1" t="n">
        <v>45915</v>
      </c>
      <c r="D368" t="inlineStr">
        <is>
          <t>VÄSTERBOTTENS LÄN</t>
        </is>
      </c>
      <c r="E368" t="inlineStr">
        <is>
          <t>BJURHOLM</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62082-2022</t>
        </is>
      </c>
      <c r="B369" s="1" t="n">
        <v>44918</v>
      </c>
      <c r="C369" s="1" t="n">
        <v>45915</v>
      </c>
      <c r="D369" t="inlineStr">
        <is>
          <t>VÄSTERBOTTENS LÄN</t>
        </is>
      </c>
      <c r="E369" t="inlineStr">
        <is>
          <t>BJURHOLM</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40303-2025</t>
        </is>
      </c>
      <c r="B370" s="1" t="n">
        <v>45895.40678240741</v>
      </c>
      <c r="C370" s="1" t="n">
        <v>45915</v>
      </c>
      <c r="D370" t="inlineStr">
        <is>
          <t>VÄSTERBOTTENS LÄN</t>
        </is>
      </c>
      <c r="E370" t="inlineStr">
        <is>
          <t>BJURHOLM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40268-2025</t>
        </is>
      </c>
      <c r="B371" s="1" t="n">
        <v>45895.34515046296</v>
      </c>
      <c r="C371" s="1" t="n">
        <v>45915</v>
      </c>
      <c r="D371" t="inlineStr">
        <is>
          <t>VÄSTERBOTTENS LÄN</t>
        </is>
      </c>
      <c r="E371" t="inlineStr">
        <is>
          <t>BJURHOLM</t>
        </is>
      </c>
      <c r="G371" t="n">
        <v>20.9</v>
      </c>
      <c r="H371" t="n">
        <v>0</v>
      </c>
      <c r="I371" t="n">
        <v>0</v>
      </c>
      <c r="J371" t="n">
        <v>0</v>
      </c>
      <c r="K371" t="n">
        <v>0</v>
      </c>
      <c r="L371" t="n">
        <v>0</v>
      </c>
      <c r="M371" t="n">
        <v>0</v>
      </c>
      <c r="N371" t="n">
        <v>0</v>
      </c>
      <c r="O371" t="n">
        <v>0</v>
      </c>
      <c r="P371" t="n">
        <v>0</v>
      </c>
      <c r="Q371" t="n">
        <v>0</v>
      </c>
      <c r="R371" s="2" t="inlineStr"/>
    </row>
    <row r="372" ht="15" customHeight="1">
      <c r="A372" t="inlineStr">
        <is>
          <t>A 40269-2025</t>
        </is>
      </c>
      <c r="B372" s="1" t="n">
        <v>45895.34538194445</v>
      </c>
      <c r="C372" s="1" t="n">
        <v>45915</v>
      </c>
      <c r="D372" t="inlineStr">
        <is>
          <t>VÄSTERBOTTENS LÄN</t>
        </is>
      </c>
      <c r="E372" t="inlineStr">
        <is>
          <t>BJURHOLM</t>
        </is>
      </c>
      <c r="G372" t="n">
        <v>9.1</v>
      </c>
      <c r="H372" t="n">
        <v>0</v>
      </c>
      <c r="I372" t="n">
        <v>0</v>
      </c>
      <c r="J372" t="n">
        <v>0</v>
      </c>
      <c r="K372" t="n">
        <v>0</v>
      </c>
      <c r="L372" t="n">
        <v>0</v>
      </c>
      <c r="M372" t="n">
        <v>0</v>
      </c>
      <c r="N372" t="n">
        <v>0</v>
      </c>
      <c r="O372" t="n">
        <v>0</v>
      </c>
      <c r="P372" t="n">
        <v>0</v>
      </c>
      <c r="Q372" t="n">
        <v>0</v>
      </c>
      <c r="R372" s="2" t="inlineStr"/>
    </row>
    <row r="373" ht="15" customHeight="1">
      <c r="A373" t="inlineStr">
        <is>
          <t>A 47499-2024</t>
        </is>
      </c>
      <c r="B373" s="1" t="n">
        <v>45587.59827546297</v>
      </c>
      <c r="C373" s="1" t="n">
        <v>45915</v>
      </c>
      <c r="D373" t="inlineStr">
        <is>
          <t>VÄSTERBOTTENS LÄN</t>
        </is>
      </c>
      <c r="E373" t="inlineStr">
        <is>
          <t>BJURHOLM</t>
        </is>
      </c>
      <c r="G373" t="n">
        <v>4.3</v>
      </c>
      <c r="H373" t="n">
        <v>0</v>
      </c>
      <c r="I373" t="n">
        <v>0</v>
      </c>
      <c r="J373" t="n">
        <v>0</v>
      </c>
      <c r="K373" t="n">
        <v>0</v>
      </c>
      <c r="L373" t="n">
        <v>0</v>
      </c>
      <c r="M373" t="n">
        <v>0</v>
      </c>
      <c r="N373" t="n">
        <v>0</v>
      </c>
      <c r="O373" t="n">
        <v>0</v>
      </c>
      <c r="P373" t="n">
        <v>0</v>
      </c>
      <c r="Q373" t="n">
        <v>0</v>
      </c>
      <c r="R373" s="2" t="inlineStr"/>
    </row>
    <row r="374" ht="15" customHeight="1">
      <c r="A374" t="inlineStr">
        <is>
          <t>A 41255-2025</t>
        </is>
      </c>
      <c r="B374" s="1" t="n">
        <v>45898.60793981481</v>
      </c>
      <c r="C374" s="1" t="n">
        <v>45915</v>
      </c>
      <c r="D374" t="inlineStr">
        <is>
          <t>VÄSTERBOTTENS LÄN</t>
        </is>
      </c>
      <c r="E374" t="inlineStr">
        <is>
          <t>BJURHOLM</t>
        </is>
      </c>
      <c r="F374" t="inlineStr">
        <is>
          <t>Holmen skog AB</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40716-2025</t>
        </is>
      </c>
      <c r="B375" s="1" t="n">
        <v>45897.34454861111</v>
      </c>
      <c r="C375" s="1" t="n">
        <v>45915</v>
      </c>
      <c r="D375" t="inlineStr">
        <is>
          <t>VÄSTERBOTTENS LÄN</t>
        </is>
      </c>
      <c r="E375" t="inlineStr">
        <is>
          <t>BJURHOLM</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7897-2022</t>
        </is>
      </c>
      <c r="B376" s="1" t="n">
        <v>44608</v>
      </c>
      <c r="C376" s="1" t="n">
        <v>45915</v>
      </c>
      <c r="D376" t="inlineStr">
        <is>
          <t>VÄSTERBOTTENS LÄN</t>
        </is>
      </c>
      <c r="E376" t="inlineStr">
        <is>
          <t>BJURHOLM</t>
        </is>
      </c>
      <c r="G376" t="n">
        <v>17.8</v>
      </c>
      <c r="H376" t="n">
        <v>0</v>
      </c>
      <c r="I376" t="n">
        <v>0</v>
      </c>
      <c r="J376" t="n">
        <v>0</v>
      </c>
      <c r="K376" t="n">
        <v>0</v>
      </c>
      <c r="L376" t="n">
        <v>0</v>
      </c>
      <c r="M376" t="n">
        <v>0</v>
      </c>
      <c r="N376" t="n">
        <v>0</v>
      </c>
      <c r="O376" t="n">
        <v>0</v>
      </c>
      <c r="P376" t="n">
        <v>0</v>
      </c>
      <c r="Q376" t="n">
        <v>0</v>
      </c>
      <c r="R376" s="2" t="inlineStr"/>
    </row>
    <row r="377" ht="15" customHeight="1">
      <c r="A377" t="inlineStr">
        <is>
          <t>A 7908-2022</t>
        </is>
      </c>
      <c r="B377" s="1" t="n">
        <v>44608.66927083334</v>
      </c>
      <c r="C377" s="1" t="n">
        <v>45915</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36707-2024</t>
        </is>
      </c>
      <c r="B378" s="1" t="n">
        <v>45537</v>
      </c>
      <c r="C378" s="1" t="n">
        <v>45915</v>
      </c>
      <c r="D378" t="inlineStr">
        <is>
          <t>VÄSTERBOTTENS LÄN</t>
        </is>
      </c>
      <c r="E378" t="inlineStr">
        <is>
          <t>BJURHOLM</t>
        </is>
      </c>
      <c r="G378" t="n">
        <v>7.1</v>
      </c>
      <c r="H378" t="n">
        <v>0</v>
      </c>
      <c r="I378" t="n">
        <v>0</v>
      </c>
      <c r="J378" t="n">
        <v>0</v>
      </c>
      <c r="K378" t="n">
        <v>0</v>
      </c>
      <c r="L378" t="n">
        <v>0</v>
      </c>
      <c r="M378" t="n">
        <v>0</v>
      </c>
      <c r="N378" t="n">
        <v>0</v>
      </c>
      <c r="O378" t="n">
        <v>0</v>
      </c>
      <c r="P378" t="n">
        <v>0</v>
      </c>
      <c r="Q378" t="n">
        <v>0</v>
      </c>
      <c r="R378" s="2" t="inlineStr"/>
    </row>
    <row r="379" ht="15" customHeight="1">
      <c r="A379" t="inlineStr">
        <is>
          <t>A 42207-2025</t>
        </is>
      </c>
      <c r="B379" s="1" t="n">
        <v>45904.49430555556</v>
      </c>
      <c r="C379" s="1" t="n">
        <v>45915</v>
      </c>
      <c r="D379" t="inlineStr">
        <is>
          <t>VÄSTERBOTTENS LÄN</t>
        </is>
      </c>
      <c r="E379" t="inlineStr">
        <is>
          <t>BJURHOLM</t>
        </is>
      </c>
      <c r="F379" t="inlineStr">
        <is>
          <t>Holmen skog AB</t>
        </is>
      </c>
      <c r="G379" t="n">
        <v>10.6</v>
      </c>
      <c r="H379" t="n">
        <v>0</v>
      </c>
      <c r="I379" t="n">
        <v>0</v>
      </c>
      <c r="J379" t="n">
        <v>0</v>
      </c>
      <c r="K379" t="n">
        <v>0</v>
      </c>
      <c r="L379" t="n">
        <v>0</v>
      </c>
      <c r="M379" t="n">
        <v>0</v>
      </c>
      <c r="N379" t="n">
        <v>0</v>
      </c>
      <c r="O379" t="n">
        <v>0</v>
      </c>
      <c r="P379" t="n">
        <v>0</v>
      </c>
      <c r="Q379" t="n">
        <v>0</v>
      </c>
      <c r="R379" s="2" t="inlineStr"/>
    </row>
    <row r="380" ht="15" customHeight="1">
      <c r="A380" t="inlineStr">
        <is>
          <t>A 40916-2025</t>
        </is>
      </c>
      <c r="B380" s="1" t="n">
        <v>45897</v>
      </c>
      <c r="C380" s="1" t="n">
        <v>45915</v>
      </c>
      <c r="D380" t="inlineStr">
        <is>
          <t>VÄSTERBOTTENS LÄN</t>
        </is>
      </c>
      <c r="E380" t="inlineStr">
        <is>
          <t>BJURHOLM</t>
        </is>
      </c>
      <c r="F380" t="inlineStr">
        <is>
          <t>SCA</t>
        </is>
      </c>
      <c r="G380" t="n">
        <v>48.1</v>
      </c>
      <c r="H380" t="n">
        <v>0</v>
      </c>
      <c r="I380" t="n">
        <v>0</v>
      </c>
      <c r="J380" t="n">
        <v>0</v>
      </c>
      <c r="K380" t="n">
        <v>0</v>
      </c>
      <c r="L380" t="n">
        <v>0</v>
      </c>
      <c r="M380" t="n">
        <v>0</v>
      </c>
      <c r="N380" t="n">
        <v>0</v>
      </c>
      <c r="O380" t="n">
        <v>0</v>
      </c>
      <c r="P380" t="n">
        <v>0</v>
      </c>
      <c r="Q380" t="n">
        <v>0</v>
      </c>
      <c r="R380" s="2" t="inlineStr"/>
    </row>
    <row r="381" ht="15" customHeight="1">
      <c r="A381" t="inlineStr">
        <is>
          <t>A 40909-2025</t>
        </is>
      </c>
      <c r="B381" s="1" t="n">
        <v>45897</v>
      </c>
      <c r="C381" s="1" t="n">
        <v>45915</v>
      </c>
      <c r="D381" t="inlineStr">
        <is>
          <t>VÄSTERBOTTENS LÄN</t>
        </is>
      </c>
      <c r="E381" t="inlineStr">
        <is>
          <t>BJURHOLM</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40715-2025</t>
        </is>
      </c>
      <c r="B382" s="1" t="n">
        <v>45897</v>
      </c>
      <c r="C382" s="1" t="n">
        <v>45915</v>
      </c>
      <c r="D382" t="inlineStr">
        <is>
          <t>VÄSTERBOTTENS LÄN</t>
        </is>
      </c>
      <c r="E382" t="inlineStr">
        <is>
          <t>BJURHOLM</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40911-2025</t>
        </is>
      </c>
      <c r="B383" s="1" t="n">
        <v>45897</v>
      </c>
      <c r="C383" s="1" t="n">
        <v>45915</v>
      </c>
      <c r="D383" t="inlineStr">
        <is>
          <t>VÄSTERBOTTENS LÄN</t>
        </is>
      </c>
      <c r="E383" t="inlineStr">
        <is>
          <t>BJURHOLM</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40912-2025</t>
        </is>
      </c>
      <c r="B384" s="1" t="n">
        <v>45897</v>
      </c>
      <c r="C384" s="1" t="n">
        <v>45915</v>
      </c>
      <c r="D384" t="inlineStr">
        <is>
          <t>VÄSTERBOTTENS LÄN</t>
        </is>
      </c>
      <c r="E384" t="inlineStr">
        <is>
          <t>BJURHOLM</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42779-2025</t>
        </is>
      </c>
      <c r="B385" s="1" t="n">
        <v>45908.49655092593</v>
      </c>
      <c r="C385" s="1" t="n">
        <v>45915</v>
      </c>
      <c r="D385" t="inlineStr">
        <is>
          <t>VÄSTERBOTTENS LÄN</t>
        </is>
      </c>
      <c r="E385" t="inlineStr">
        <is>
          <t>BJURHOLM</t>
        </is>
      </c>
      <c r="G385" t="n">
        <v>6.4</v>
      </c>
      <c r="H385" t="n">
        <v>0</v>
      </c>
      <c r="I385" t="n">
        <v>0</v>
      </c>
      <c r="J385" t="n">
        <v>0</v>
      </c>
      <c r="K385" t="n">
        <v>0</v>
      </c>
      <c r="L385" t="n">
        <v>0</v>
      </c>
      <c r="M385" t="n">
        <v>0</v>
      </c>
      <c r="N385" t="n">
        <v>0</v>
      </c>
      <c r="O385" t="n">
        <v>0</v>
      </c>
      <c r="P385" t="n">
        <v>0</v>
      </c>
      <c r="Q385" t="n">
        <v>0</v>
      </c>
      <c r="R385" s="2" t="inlineStr"/>
    </row>
    <row r="386" ht="15" customHeight="1">
      <c r="A386" t="inlineStr">
        <is>
          <t>A 25099-2025</t>
        </is>
      </c>
      <c r="B386" s="1" t="n">
        <v>45800</v>
      </c>
      <c r="C386" s="1" t="n">
        <v>45915</v>
      </c>
      <c r="D386" t="inlineStr">
        <is>
          <t>VÄSTERBOTTENS LÄN</t>
        </is>
      </c>
      <c r="E386" t="inlineStr">
        <is>
          <t>BJURHOLM</t>
        </is>
      </c>
      <c r="F386" t="inlineStr">
        <is>
          <t>SCA</t>
        </is>
      </c>
      <c r="G386" t="n">
        <v>7.8</v>
      </c>
      <c r="H386" t="n">
        <v>0</v>
      </c>
      <c r="I386" t="n">
        <v>0</v>
      </c>
      <c r="J386" t="n">
        <v>0</v>
      </c>
      <c r="K386" t="n">
        <v>0</v>
      </c>
      <c r="L386" t="n">
        <v>0</v>
      </c>
      <c r="M386" t="n">
        <v>0</v>
      </c>
      <c r="N386" t="n">
        <v>0</v>
      </c>
      <c r="O386" t="n">
        <v>0</v>
      </c>
      <c r="P386" t="n">
        <v>0</v>
      </c>
      <c r="Q386" t="n">
        <v>0</v>
      </c>
      <c r="R386" s="2" t="inlineStr"/>
    </row>
    <row r="387" ht="15" customHeight="1">
      <c r="A387" t="inlineStr">
        <is>
          <t>A 36104-2025</t>
        </is>
      </c>
      <c r="B387" s="1" t="n">
        <v>45866.55498842592</v>
      </c>
      <c r="C387" s="1" t="n">
        <v>45915</v>
      </c>
      <c r="D387" t="inlineStr">
        <is>
          <t>VÄSTERBOTTENS LÄN</t>
        </is>
      </c>
      <c r="E387" t="inlineStr">
        <is>
          <t>BJURHOLM</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36264-2025</t>
        </is>
      </c>
      <c r="B388" s="1" t="n">
        <v>45867.61530092593</v>
      </c>
      <c r="C388" s="1" t="n">
        <v>45915</v>
      </c>
      <c r="D388" t="inlineStr">
        <is>
          <t>VÄSTERBOTTENS LÄN</t>
        </is>
      </c>
      <c r="E388" t="inlineStr">
        <is>
          <t>BJURHOLM</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42536-2024</t>
        </is>
      </c>
      <c r="B389" s="1" t="n">
        <v>45565.58391203704</v>
      </c>
      <c r="C389" s="1" t="n">
        <v>45915</v>
      </c>
      <c r="D389" t="inlineStr">
        <is>
          <t>VÄSTERBOTTENS LÄN</t>
        </is>
      </c>
      <c r="E389" t="inlineStr">
        <is>
          <t>BJURHOLM</t>
        </is>
      </c>
      <c r="G389" t="n">
        <v>5.5</v>
      </c>
      <c r="H389" t="n">
        <v>0</v>
      </c>
      <c r="I389" t="n">
        <v>0</v>
      </c>
      <c r="J389" t="n">
        <v>0</v>
      </c>
      <c r="K389" t="n">
        <v>0</v>
      </c>
      <c r="L389" t="n">
        <v>0</v>
      </c>
      <c r="M389" t="n">
        <v>0</v>
      </c>
      <c r="N389" t="n">
        <v>0</v>
      </c>
      <c r="O389" t="n">
        <v>0</v>
      </c>
      <c r="P389" t="n">
        <v>0</v>
      </c>
      <c r="Q389" t="n">
        <v>0</v>
      </c>
      <c r="R389" s="2" t="inlineStr"/>
    </row>
    <row r="390" ht="15" customHeight="1">
      <c r="A390" t="inlineStr">
        <is>
          <t>A 43695-2025</t>
        </is>
      </c>
      <c r="B390" s="1" t="n">
        <v>45912.39425925926</v>
      </c>
      <c r="C390" s="1" t="n">
        <v>45915</v>
      </c>
      <c r="D390" t="inlineStr">
        <is>
          <t>VÄSTERBOTTENS LÄN</t>
        </is>
      </c>
      <c r="E390" t="inlineStr">
        <is>
          <t>BJURHOLM</t>
        </is>
      </c>
      <c r="F390" t="inlineStr">
        <is>
          <t>Holmen skog AB</t>
        </is>
      </c>
      <c r="G390" t="n">
        <v>12.9</v>
      </c>
      <c r="H390" t="n">
        <v>0</v>
      </c>
      <c r="I390" t="n">
        <v>0</v>
      </c>
      <c r="J390" t="n">
        <v>0</v>
      </c>
      <c r="K390" t="n">
        <v>0</v>
      </c>
      <c r="L390" t="n">
        <v>0</v>
      </c>
      <c r="M390" t="n">
        <v>0</v>
      </c>
      <c r="N390" t="n">
        <v>0</v>
      </c>
      <c r="O390" t="n">
        <v>0</v>
      </c>
      <c r="P390" t="n">
        <v>0</v>
      </c>
      <c r="Q390" t="n">
        <v>0</v>
      </c>
      <c r="R390" s="2" t="inlineStr"/>
    </row>
    <row r="391" ht="15" customHeight="1">
      <c r="A391" t="inlineStr">
        <is>
          <t>A 62087-2022</t>
        </is>
      </c>
      <c r="B391" s="1" t="n">
        <v>44919</v>
      </c>
      <c r="C391" s="1" t="n">
        <v>45915</v>
      </c>
      <c r="D391" t="inlineStr">
        <is>
          <t>VÄSTERBOTTENS LÄN</t>
        </is>
      </c>
      <c r="E391" t="inlineStr">
        <is>
          <t>BJURHOLM</t>
        </is>
      </c>
      <c r="G391" t="n">
        <v>6.9</v>
      </c>
      <c r="H391" t="n">
        <v>0</v>
      </c>
      <c r="I391" t="n">
        <v>0</v>
      </c>
      <c r="J391" t="n">
        <v>0</v>
      </c>
      <c r="K391" t="n">
        <v>0</v>
      </c>
      <c r="L391" t="n">
        <v>0</v>
      </c>
      <c r="M391" t="n">
        <v>0</v>
      </c>
      <c r="N391" t="n">
        <v>0</v>
      </c>
      <c r="O391" t="n">
        <v>0</v>
      </c>
      <c r="P391" t="n">
        <v>0</v>
      </c>
      <c r="Q391" t="n">
        <v>0</v>
      </c>
      <c r="R391" s="2" t="inlineStr"/>
    </row>
    <row r="392" ht="15" customHeight="1">
      <c r="A392" t="inlineStr">
        <is>
          <t>A 46662-2023</t>
        </is>
      </c>
      <c r="B392" s="1" t="n">
        <v>45198.47061342592</v>
      </c>
      <c r="C392" s="1" t="n">
        <v>45915</v>
      </c>
      <c r="D392" t="inlineStr">
        <is>
          <t>VÄSTERBOTTENS LÄN</t>
        </is>
      </c>
      <c r="E392" t="inlineStr">
        <is>
          <t>BJURHOLM</t>
        </is>
      </c>
      <c r="F392" t="inlineStr">
        <is>
          <t>Holmen skog AB</t>
        </is>
      </c>
      <c r="G392" t="n">
        <v>10.1</v>
      </c>
      <c r="H392" t="n">
        <v>0</v>
      </c>
      <c r="I392" t="n">
        <v>0</v>
      </c>
      <c r="J392" t="n">
        <v>0</v>
      </c>
      <c r="K392" t="n">
        <v>0</v>
      </c>
      <c r="L392" t="n">
        <v>0</v>
      </c>
      <c r="M392" t="n">
        <v>0</v>
      </c>
      <c r="N392" t="n">
        <v>0</v>
      </c>
      <c r="O392" t="n">
        <v>0</v>
      </c>
      <c r="P392" t="n">
        <v>0</v>
      </c>
      <c r="Q392" t="n">
        <v>0</v>
      </c>
      <c r="R392" s="2" t="inlineStr"/>
    </row>
    <row r="393" ht="15" customHeight="1">
      <c r="A393" t="inlineStr">
        <is>
          <t>A 34751-2022</t>
        </is>
      </c>
      <c r="B393" s="1" t="n">
        <v>44795</v>
      </c>
      <c r="C393" s="1" t="n">
        <v>45915</v>
      </c>
      <c r="D393" t="inlineStr">
        <is>
          <t>VÄSTERBOTTENS LÄN</t>
        </is>
      </c>
      <c r="E393" t="inlineStr">
        <is>
          <t>BJURHOLM</t>
        </is>
      </c>
      <c r="G393" t="n">
        <v>2.1</v>
      </c>
      <c r="H393" t="n">
        <v>0</v>
      </c>
      <c r="I393" t="n">
        <v>0</v>
      </c>
      <c r="J393" t="n">
        <v>0</v>
      </c>
      <c r="K393" t="n">
        <v>0</v>
      </c>
      <c r="L393" t="n">
        <v>0</v>
      </c>
      <c r="M393" t="n">
        <v>0</v>
      </c>
      <c r="N393" t="n">
        <v>0</v>
      </c>
      <c r="O393" t="n">
        <v>0</v>
      </c>
      <c r="P393" t="n">
        <v>0</v>
      </c>
      <c r="Q393" t="n">
        <v>0</v>
      </c>
      <c r="R393" s="2" t="inlineStr"/>
    </row>
    <row r="394" ht="15" customHeight="1">
      <c r="A394" t="inlineStr">
        <is>
          <t>A 10918-2023</t>
        </is>
      </c>
      <c r="B394" s="1" t="n">
        <v>44991</v>
      </c>
      <c r="C394" s="1" t="n">
        <v>45915</v>
      </c>
      <c r="D394" t="inlineStr">
        <is>
          <t>VÄSTERBOTTENS LÄN</t>
        </is>
      </c>
      <c r="E394" t="inlineStr">
        <is>
          <t>BJURHOLM</t>
        </is>
      </c>
      <c r="G394" t="n">
        <v>5.8</v>
      </c>
      <c r="H394" t="n">
        <v>0</v>
      </c>
      <c r="I394" t="n">
        <v>0</v>
      </c>
      <c r="J394" t="n">
        <v>0</v>
      </c>
      <c r="K394" t="n">
        <v>0</v>
      </c>
      <c r="L394" t="n">
        <v>0</v>
      </c>
      <c r="M394" t="n">
        <v>0</v>
      </c>
      <c r="N394" t="n">
        <v>0</v>
      </c>
      <c r="O394" t="n">
        <v>0</v>
      </c>
      <c r="P394" t="n">
        <v>0</v>
      </c>
      <c r="Q394" t="n">
        <v>0</v>
      </c>
      <c r="R394" s="2" t="inlineStr"/>
    </row>
    <row r="395" ht="15" customHeight="1">
      <c r="A395" t="inlineStr">
        <is>
          <t>A 52584-2024</t>
        </is>
      </c>
      <c r="B395" s="1" t="n">
        <v>45609.67881944445</v>
      </c>
      <c r="C395" s="1" t="n">
        <v>45915</v>
      </c>
      <c r="D395" t="inlineStr">
        <is>
          <t>VÄSTERBOTTENS LÄN</t>
        </is>
      </c>
      <c r="E395" t="inlineStr">
        <is>
          <t>BJURHOLM</t>
        </is>
      </c>
      <c r="G395" t="n">
        <v>0.4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45915</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82-2025</t>
        </is>
      </c>
      <c r="B397" s="1" t="n">
        <v>45659</v>
      </c>
      <c r="C397" s="1" t="n">
        <v>45915</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45915</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47529-2024</t>
        </is>
      </c>
      <c r="B399" s="1" t="n">
        <v>45587.63913194444</v>
      </c>
      <c r="C399" s="1" t="n">
        <v>45915</v>
      </c>
      <c r="D399" t="inlineStr">
        <is>
          <t>VÄSTERBOTTENS LÄN</t>
        </is>
      </c>
      <c r="E399" t="inlineStr">
        <is>
          <t>BJURHOLM</t>
        </is>
      </c>
      <c r="G399" t="n">
        <v>17.3</v>
      </c>
      <c r="H399" t="n">
        <v>0</v>
      </c>
      <c r="I399" t="n">
        <v>0</v>
      </c>
      <c r="J399" t="n">
        <v>0</v>
      </c>
      <c r="K399" t="n">
        <v>0</v>
      </c>
      <c r="L399" t="n">
        <v>0</v>
      </c>
      <c r="M399" t="n">
        <v>0</v>
      </c>
      <c r="N399" t="n">
        <v>0</v>
      </c>
      <c r="O399" t="n">
        <v>0</v>
      </c>
      <c r="P399" t="n">
        <v>0</v>
      </c>
      <c r="Q399" t="n">
        <v>0</v>
      </c>
      <c r="R399" s="2" t="inlineStr"/>
    </row>
    <row r="400" ht="15" customHeight="1">
      <c r="A400" t="inlineStr">
        <is>
          <t>A 16081-2024</t>
        </is>
      </c>
      <c r="B400" s="1" t="n">
        <v>45406</v>
      </c>
      <c r="C400" s="1" t="n">
        <v>45915</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28888-2024</t>
        </is>
      </c>
      <c r="B401" s="1" t="n">
        <v>45479</v>
      </c>
      <c r="C401" s="1" t="n">
        <v>45915</v>
      </c>
      <c r="D401" t="inlineStr">
        <is>
          <t>VÄSTERBOTTENS LÄN</t>
        </is>
      </c>
      <c r="E401" t="inlineStr">
        <is>
          <t>BJURHOLM</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3705-2023</t>
        </is>
      </c>
      <c r="B402" s="1" t="n">
        <v>44950.95469907407</v>
      </c>
      <c r="C402" s="1" t="n">
        <v>45915</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59381-2023</t>
        </is>
      </c>
      <c r="B403" s="1" t="n">
        <v>45253.8090162037</v>
      </c>
      <c r="C403" s="1" t="n">
        <v>45915</v>
      </c>
      <c r="D403" t="inlineStr">
        <is>
          <t>VÄSTERBOTTENS LÄN</t>
        </is>
      </c>
      <c r="E403" t="inlineStr">
        <is>
          <t>BJURHOLM</t>
        </is>
      </c>
      <c r="G403" t="n">
        <v>1.5</v>
      </c>
      <c r="H403" t="n">
        <v>0</v>
      </c>
      <c r="I403" t="n">
        <v>0</v>
      </c>
      <c r="J403" t="n">
        <v>0</v>
      </c>
      <c r="K403" t="n">
        <v>0</v>
      </c>
      <c r="L403" t="n">
        <v>0</v>
      </c>
      <c r="M403" t="n">
        <v>0</v>
      </c>
      <c r="N403" t="n">
        <v>0</v>
      </c>
      <c r="O403" t="n">
        <v>0</v>
      </c>
      <c r="P403" t="n">
        <v>0</v>
      </c>
      <c r="Q403" t="n">
        <v>0</v>
      </c>
      <c r="R403" s="2" t="inlineStr"/>
    </row>
    <row r="404" ht="15" customHeight="1">
      <c r="A404" t="inlineStr">
        <is>
          <t>A 55459-2024</t>
        </is>
      </c>
      <c r="B404" s="1" t="n">
        <v>45622.42745370371</v>
      </c>
      <c r="C404" s="1" t="n">
        <v>45915</v>
      </c>
      <c r="D404" t="inlineStr">
        <is>
          <t>VÄSTERBOTTENS LÄN</t>
        </is>
      </c>
      <c r="E404" t="inlineStr">
        <is>
          <t>BJURHOLM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28426-2023</t>
        </is>
      </c>
      <c r="B405" s="1" t="n">
        <v>45102</v>
      </c>
      <c r="C405" s="1" t="n">
        <v>45915</v>
      </c>
      <c r="D405" t="inlineStr">
        <is>
          <t>VÄSTERBOTTENS LÄN</t>
        </is>
      </c>
      <c r="E405" t="inlineStr">
        <is>
          <t>BJURHOLM</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50189-2024</t>
        </is>
      </c>
      <c r="B406" s="1" t="n">
        <v>45600.47861111111</v>
      </c>
      <c r="C406" s="1" t="n">
        <v>45915</v>
      </c>
      <c r="D406" t="inlineStr">
        <is>
          <t>VÄSTERBOTTENS LÄN</t>
        </is>
      </c>
      <c r="E406" t="inlineStr">
        <is>
          <t>BJURHOLM</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10984-2023</t>
        </is>
      </c>
      <c r="B407" s="1" t="n">
        <v>44985</v>
      </c>
      <c r="C407" s="1" t="n">
        <v>45915</v>
      </c>
      <c r="D407" t="inlineStr">
        <is>
          <t>VÄSTERBOTTENS LÄN</t>
        </is>
      </c>
      <c r="E407" t="inlineStr">
        <is>
          <t>BJURHOLM</t>
        </is>
      </c>
      <c r="G407" t="n">
        <v>4</v>
      </c>
      <c r="H407" t="n">
        <v>0</v>
      </c>
      <c r="I407" t="n">
        <v>0</v>
      </c>
      <c r="J407" t="n">
        <v>0</v>
      </c>
      <c r="K407" t="n">
        <v>0</v>
      </c>
      <c r="L407" t="n">
        <v>0</v>
      </c>
      <c r="M407" t="n">
        <v>0</v>
      </c>
      <c r="N407" t="n">
        <v>0</v>
      </c>
      <c r="O407" t="n">
        <v>0</v>
      </c>
      <c r="P407" t="n">
        <v>0</v>
      </c>
      <c r="Q407" t="n">
        <v>0</v>
      </c>
      <c r="R407" s="2" t="inlineStr"/>
    </row>
    <row r="408" ht="15" customHeight="1">
      <c r="A408" t="inlineStr">
        <is>
          <t>A 60499-2023</t>
        </is>
      </c>
      <c r="B408" s="1" t="n">
        <v>45259</v>
      </c>
      <c r="C408" s="1" t="n">
        <v>45915</v>
      </c>
      <c r="D408" t="inlineStr">
        <is>
          <t>VÄSTERBOTTENS LÄN</t>
        </is>
      </c>
      <c r="E408" t="inlineStr">
        <is>
          <t>BJURHOLM</t>
        </is>
      </c>
      <c r="G408" t="n">
        <v>9.5</v>
      </c>
      <c r="H408" t="n">
        <v>0</v>
      </c>
      <c r="I408" t="n">
        <v>0</v>
      </c>
      <c r="J408" t="n">
        <v>0</v>
      </c>
      <c r="K408" t="n">
        <v>0</v>
      </c>
      <c r="L408" t="n">
        <v>0</v>
      </c>
      <c r="M408" t="n">
        <v>0</v>
      </c>
      <c r="N408" t="n">
        <v>0</v>
      </c>
      <c r="O408" t="n">
        <v>0</v>
      </c>
      <c r="P408" t="n">
        <v>0</v>
      </c>
      <c r="Q408" t="n">
        <v>0</v>
      </c>
      <c r="R408" s="2" t="inlineStr"/>
    </row>
    <row r="409" ht="15" customHeight="1">
      <c r="A409" t="inlineStr">
        <is>
          <t>A 57883-2022</t>
        </is>
      </c>
      <c r="B409" s="1" t="n">
        <v>44899.94689814815</v>
      </c>
      <c r="C409" s="1" t="n">
        <v>45915</v>
      </c>
      <c r="D409" t="inlineStr">
        <is>
          <t>VÄSTERBOTTENS LÄN</t>
        </is>
      </c>
      <c r="E409" t="inlineStr">
        <is>
          <t>BJURHOLM</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56693-2024</t>
        </is>
      </c>
      <c r="B410" s="1" t="n">
        <v>45627.71203703704</v>
      </c>
      <c r="C410" s="1" t="n">
        <v>45915</v>
      </c>
      <c r="D410" t="inlineStr">
        <is>
          <t>VÄSTERBOTTENS LÄN</t>
        </is>
      </c>
      <c r="E410" t="inlineStr">
        <is>
          <t>BJURHOLM</t>
        </is>
      </c>
      <c r="G410" t="n">
        <v>6.8</v>
      </c>
      <c r="H410" t="n">
        <v>0</v>
      </c>
      <c r="I410" t="n">
        <v>0</v>
      </c>
      <c r="J410" t="n">
        <v>0</v>
      </c>
      <c r="K410" t="n">
        <v>0</v>
      </c>
      <c r="L410" t="n">
        <v>0</v>
      </c>
      <c r="M410" t="n">
        <v>0</v>
      </c>
      <c r="N410" t="n">
        <v>0</v>
      </c>
      <c r="O410" t="n">
        <v>0</v>
      </c>
      <c r="P410" t="n">
        <v>0</v>
      </c>
      <c r="Q410" t="n">
        <v>0</v>
      </c>
      <c r="R410" s="2" t="inlineStr"/>
    </row>
    <row r="411" ht="15" customHeight="1">
      <c r="A411" t="inlineStr">
        <is>
          <t>A 40409-2023</t>
        </is>
      </c>
      <c r="B411" s="1" t="n">
        <v>45169.93868055556</v>
      </c>
      <c r="C411" s="1" t="n">
        <v>45915</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57799-2023</t>
        </is>
      </c>
      <c r="B412" s="1" t="n">
        <v>45246.96910879629</v>
      </c>
      <c r="C412" s="1" t="n">
        <v>45915</v>
      </c>
      <c r="D412" t="inlineStr">
        <is>
          <t>VÄSTERBOTTENS LÄN</t>
        </is>
      </c>
      <c r="E412" t="inlineStr">
        <is>
          <t>BJURHOLM</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15581-2023</t>
        </is>
      </c>
      <c r="B413" s="1" t="n">
        <v>45019</v>
      </c>
      <c r="C413" s="1" t="n">
        <v>45915</v>
      </c>
      <c r="D413" t="inlineStr">
        <is>
          <t>VÄSTERBOTTENS LÄN</t>
        </is>
      </c>
      <c r="E413" t="inlineStr">
        <is>
          <t>BJURHOLM</t>
        </is>
      </c>
      <c r="G413" t="n">
        <v>7</v>
      </c>
      <c r="H413" t="n">
        <v>0</v>
      </c>
      <c r="I413" t="n">
        <v>0</v>
      </c>
      <c r="J413" t="n">
        <v>0</v>
      </c>
      <c r="K413" t="n">
        <v>0</v>
      </c>
      <c r="L413" t="n">
        <v>0</v>
      </c>
      <c r="M413" t="n">
        <v>0</v>
      </c>
      <c r="N413" t="n">
        <v>0</v>
      </c>
      <c r="O413" t="n">
        <v>0</v>
      </c>
      <c r="P413" t="n">
        <v>0</v>
      </c>
      <c r="Q413" t="n">
        <v>0</v>
      </c>
      <c r="R413" s="2" t="inlineStr"/>
    </row>
    <row r="414" ht="15" customHeight="1">
      <c r="A414" t="inlineStr">
        <is>
          <t>A 57798-2024</t>
        </is>
      </c>
      <c r="B414" s="1" t="n">
        <v>45631.34457175926</v>
      </c>
      <c r="C414" s="1" t="n">
        <v>45915</v>
      </c>
      <c r="D414" t="inlineStr">
        <is>
          <t>VÄSTERBOTTENS LÄN</t>
        </is>
      </c>
      <c r="E414" t="inlineStr">
        <is>
          <t>BJURHOLM</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9158-2024</t>
        </is>
      </c>
      <c r="B415" s="1" t="n">
        <v>45357</v>
      </c>
      <c r="C415" s="1" t="n">
        <v>45915</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33157-2022</t>
        </is>
      </c>
      <c r="B416" s="1" t="n">
        <v>44785</v>
      </c>
      <c r="C416" s="1" t="n">
        <v>45915</v>
      </c>
      <c r="D416" t="inlineStr">
        <is>
          <t>VÄSTERBOTTENS LÄN</t>
        </is>
      </c>
      <c r="E416" t="inlineStr">
        <is>
          <t>BJURHOLM</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13601-2025</t>
        </is>
      </c>
      <c r="B417" s="1" t="n">
        <v>45736</v>
      </c>
      <c r="C417" s="1" t="n">
        <v>45915</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7440-2025</t>
        </is>
      </c>
      <c r="B418" s="1" t="n">
        <v>45705</v>
      </c>
      <c r="C418" s="1" t="n">
        <v>45915</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40142-2023</t>
        </is>
      </c>
      <c r="B419" s="1" t="n">
        <v>45168</v>
      </c>
      <c r="C419" s="1" t="n">
        <v>45915</v>
      </c>
      <c r="D419" t="inlineStr">
        <is>
          <t>VÄSTERBOTTENS LÄN</t>
        </is>
      </c>
      <c r="E419" t="inlineStr">
        <is>
          <t>BJURHOLM</t>
        </is>
      </c>
      <c r="G419" t="n">
        <v>2.3</v>
      </c>
      <c r="H419" t="n">
        <v>0</v>
      </c>
      <c r="I419" t="n">
        <v>0</v>
      </c>
      <c r="J419" t="n">
        <v>0</v>
      </c>
      <c r="K419" t="n">
        <v>0</v>
      </c>
      <c r="L419" t="n">
        <v>0</v>
      </c>
      <c r="M419" t="n">
        <v>0</v>
      </c>
      <c r="N419" t="n">
        <v>0</v>
      </c>
      <c r="O419" t="n">
        <v>0</v>
      </c>
      <c r="P419" t="n">
        <v>0</v>
      </c>
      <c r="Q419" t="n">
        <v>0</v>
      </c>
      <c r="R419" s="2" t="inlineStr"/>
    </row>
    <row r="420" ht="15" customHeight="1">
      <c r="A420" t="inlineStr">
        <is>
          <t>A 8502-2024</t>
        </is>
      </c>
      <c r="B420" s="1" t="n">
        <v>45351</v>
      </c>
      <c r="C420" s="1" t="n">
        <v>45915</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25801-2024</t>
        </is>
      </c>
      <c r="B421" s="1" t="n">
        <v>45467.35814814815</v>
      </c>
      <c r="C421" s="1" t="n">
        <v>45915</v>
      </c>
      <c r="D421" t="inlineStr">
        <is>
          <t>VÄSTERBOTTENS LÄN</t>
        </is>
      </c>
      <c r="E421" t="inlineStr">
        <is>
          <t>BJURHOLM</t>
        </is>
      </c>
      <c r="F421" t="inlineStr">
        <is>
          <t>Holmen skog AB</t>
        </is>
      </c>
      <c r="G421" t="n">
        <v>3</v>
      </c>
      <c r="H421" t="n">
        <v>0</v>
      </c>
      <c r="I421" t="n">
        <v>0</v>
      </c>
      <c r="J421" t="n">
        <v>0</v>
      </c>
      <c r="K421" t="n">
        <v>0</v>
      </c>
      <c r="L421" t="n">
        <v>0</v>
      </c>
      <c r="M421" t="n">
        <v>0</v>
      </c>
      <c r="N421" t="n">
        <v>0</v>
      </c>
      <c r="O421" t="n">
        <v>0</v>
      </c>
      <c r="P421" t="n">
        <v>0</v>
      </c>
      <c r="Q421" t="n">
        <v>0</v>
      </c>
      <c r="R421" s="2" t="inlineStr"/>
    </row>
    <row r="422" ht="15" customHeight="1">
      <c r="A422" t="inlineStr">
        <is>
          <t>A 26646-2024</t>
        </is>
      </c>
      <c r="B422" s="1" t="n">
        <v>45469</v>
      </c>
      <c r="C422" s="1" t="n">
        <v>45915</v>
      </c>
      <c r="D422" t="inlineStr">
        <is>
          <t>VÄSTERBOTTENS LÄN</t>
        </is>
      </c>
      <c r="E422" t="inlineStr">
        <is>
          <t>BJURHOLM</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8860-2023</t>
        </is>
      </c>
      <c r="B423" s="1" t="n">
        <v>44978.92381944445</v>
      </c>
      <c r="C423" s="1" t="n">
        <v>45915</v>
      </c>
      <c r="D423" t="inlineStr">
        <is>
          <t>VÄSTERBOTTENS LÄN</t>
        </is>
      </c>
      <c r="E423" t="inlineStr">
        <is>
          <t>BJURHOLM</t>
        </is>
      </c>
      <c r="G423" t="n">
        <v>3.4</v>
      </c>
      <c r="H423" t="n">
        <v>0</v>
      </c>
      <c r="I423" t="n">
        <v>0</v>
      </c>
      <c r="J423" t="n">
        <v>0</v>
      </c>
      <c r="K423" t="n">
        <v>0</v>
      </c>
      <c r="L423" t="n">
        <v>0</v>
      </c>
      <c r="M423" t="n">
        <v>0</v>
      </c>
      <c r="N423" t="n">
        <v>0</v>
      </c>
      <c r="O423" t="n">
        <v>0</v>
      </c>
      <c r="P423" t="n">
        <v>0</v>
      </c>
      <c r="Q423" t="n">
        <v>0</v>
      </c>
      <c r="R423" s="2" t="inlineStr"/>
    </row>
    <row r="424" ht="15" customHeight="1">
      <c r="A424" t="inlineStr">
        <is>
          <t>A 50727-2024</t>
        </is>
      </c>
      <c r="B424" s="1" t="n">
        <v>45602.38761574074</v>
      </c>
      <c r="C424" s="1" t="n">
        <v>45915</v>
      </c>
      <c r="D424" t="inlineStr">
        <is>
          <t>VÄSTERBOTTENS LÄN</t>
        </is>
      </c>
      <c r="E424" t="inlineStr">
        <is>
          <t>BJURHOLM</t>
        </is>
      </c>
      <c r="G424" t="n">
        <v>0.2</v>
      </c>
      <c r="H424" t="n">
        <v>0</v>
      </c>
      <c r="I424" t="n">
        <v>0</v>
      </c>
      <c r="J424" t="n">
        <v>0</v>
      </c>
      <c r="K424" t="n">
        <v>0</v>
      </c>
      <c r="L424" t="n">
        <v>0</v>
      </c>
      <c r="M424" t="n">
        <v>0</v>
      </c>
      <c r="N424" t="n">
        <v>0</v>
      </c>
      <c r="O424" t="n">
        <v>0</v>
      </c>
      <c r="P424" t="n">
        <v>0</v>
      </c>
      <c r="Q424" t="n">
        <v>0</v>
      </c>
      <c r="R424" s="2" t="inlineStr"/>
    </row>
    <row r="425" ht="15" customHeight="1">
      <c r="A425" t="inlineStr">
        <is>
          <t>A 50729-2024</t>
        </is>
      </c>
      <c r="B425" s="1" t="n">
        <v>45602.38763888889</v>
      </c>
      <c r="C425" s="1" t="n">
        <v>45915</v>
      </c>
      <c r="D425" t="inlineStr">
        <is>
          <t>VÄSTERBOTTENS LÄN</t>
        </is>
      </c>
      <c r="E425" t="inlineStr">
        <is>
          <t>BJURHOLM</t>
        </is>
      </c>
      <c r="G425" t="n">
        <v>2.4</v>
      </c>
      <c r="H425" t="n">
        <v>0</v>
      </c>
      <c r="I425" t="n">
        <v>0</v>
      </c>
      <c r="J425" t="n">
        <v>0</v>
      </c>
      <c r="K425" t="n">
        <v>0</v>
      </c>
      <c r="L425" t="n">
        <v>0</v>
      </c>
      <c r="M425" t="n">
        <v>0</v>
      </c>
      <c r="N425" t="n">
        <v>0</v>
      </c>
      <c r="O425" t="n">
        <v>0</v>
      </c>
      <c r="P425" t="n">
        <v>0</v>
      </c>
      <c r="Q425" t="n">
        <v>0</v>
      </c>
      <c r="R425" s="2" t="inlineStr"/>
    </row>
    <row r="426" ht="15" customHeight="1">
      <c r="A426" t="inlineStr">
        <is>
          <t>A 11715-2025</t>
        </is>
      </c>
      <c r="B426" s="1" t="n">
        <v>45727.60585648148</v>
      </c>
      <c r="C426" s="1" t="n">
        <v>45915</v>
      </c>
      <c r="D426" t="inlineStr">
        <is>
          <t>VÄSTERBOTTENS LÄN</t>
        </is>
      </c>
      <c r="E426" t="inlineStr">
        <is>
          <t>BJURHOLM</t>
        </is>
      </c>
      <c r="G426" t="n">
        <v>11.3</v>
      </c>
      <c r="H426" t="n">
        <v>0</v>
      </c>
      <c r="I426" t="n">
        <v>0</v>
      </c>
      <c r="J426" t="n">
        <v>0</v>
      </c>
      <c r="K426" t="n">
        <v>0</v>
      </c>
      <c r="L426" t="n">
        <v>0</v>
      </c>
      <c r="M426" t="n">
        <v>0</v>
      </c>
      <c r="N426" t="n">
        <v>0</v>
      </c>
      <c r="O426" t="n">
        <v>0</v>
      </c>
      <c r="P426" t="n">
        <v>0</v>
      </c>
      <c r="Q426" t="n">
        <v>0</v>
      </c>
      <c r="R426" s="2" t="inlineStr"/>
    </row>
    <row r="427" ht="15" customHeight="1">
      <c r="A427" t="inlineStr">
        <is>
          <t>A 80-2025</t>
        </is>
      </c>
      <c r="B427" s="1" t="n">
        <v>45659.44478009259</v>
      </c>
      <c r="C427" s="1" t="n">
        <v>45915</v>
      </c>
      <c r="D427" t="inlineStr">
        <is>
          <t>VÄSTERBOTTENS LÄN</t>
        </is>
      </c>
      <c r="E427" t="inlineStr">
        <is>
          <t>BJURHOLM</t>
        </is>
      </c>
      <c r="G427" t="n">
        <v>5.3</v>
      </c>
      <c r="H427" t="n">
        <v>0</v>
      </c>
      <c r="I427" t="n">
        <v>0</v>
      </c>
      <c r="J427" t="n">
        <v>0</v>
      </c>
      <c r="K427" t="n">
        <v>0</v>
      </c>
      <c r="L427" t="n">
        <v>0</v>
      </c>
      <c r="M427" t="n">
        <v>0</v>
      </c>
      <c r="N427" t="n">
        <v>0</v>
      </c>
      <c r="O427" t="n">
        <v>0</v>
      </c>
      <c r="P427" t="n">
        <v>0</v>
      </c>
      <c r="Q427" t="n">
        <v>0</v>
      </c>
      <c r="R427" s="2" t="inlineStr"/>
    </row>
    <row r="428" ht="15" customHeight="1">
      <c r="A428" t="inlineStr">
        <is>
          <t>A 48314-2024</t>
        </is>
      </c>
      <c r="B428" s="1" t="n">
        <v>45590.48991898148</v>
      </c>
      <c r="C428" s="1" t="n">
        <v>45915</v>
      </c>
      <c r="D428" t="inlineStr">
        <is>
          <t>VÄSTERBOTTENS LÄN</t>
        </is>
      </c>
      <c r="E428" t="inlineStr">
        <is>
          <t>BJURHOLM</t>
        </is>
      </c>
      <c r="G428" t="n">
        <v>3.9</v>
      </c>
      <c r="H428" t="n">
        <v>0</v>
      </c>
      <c r="I428" t="n">
        <v>0</v>
      </c>
      <c r="J428" t="n">
        <v>0</v>
      </c>
      <c r="K428" t="n">
        <v>0</v>
      </c>
      <c r="L428" t="n">
        <v>0</v>
      </c>
      <c r="M428" t="n">
        <v>0</v>
      </c>
      <c r="N428" t="n">
        <v>0</v>
      </c>
      <c r="O428" t="n">
        <v>0</v>
      </c>
      <c r="P428" t="n">
        <v>0</v>
      </c>
      <c r="Q428" t="n">
        <v>0</v>
      </c>
      <c r="R428" s="2" t="inlineStr"/>
    </row>
    <row r="429" ht="15" customHeight="1">
      <c r="A429" t="inlineStr">
        <is>
          <t>A 61151-2024</t>
        </is>
      </c>
      <c r="B429" s="1" t="n">
        <v>45645.58835648148</v>
      </c>
      <c r="C429" s="1" t="n">
        <v>45915</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c r="A430" t="inlineStr">
        <is>
          <t>A 53900-2024</t>
        </is>
      </c>
      <c r="B430" s="1" t="n">
        <v>45615</v>
      </c>
      <c r="C430" s="1" t="n">
        <v>45915</v>
      </c>
      <c r="D430" t="inlineStr">
        <is>
          <t>VÄSTERBOTTENS LÄN</t>
        </is>
      </c>
      <c r="E430" t="inlineStr">
        <is>
          <t>BJURHOLM</t>
        </is>
      </c>
      <c r="G430" t="n">
        <v>7.7</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2025-09-15T08:55:06Z</dcterms:created>
  <dcterms:modified xmlns:dcterms="http://purl.org/dc/terms/" xmlns:xsi="http://www.w3.org/2001/XMLSchema-instance" xsi:type="dcterms:W3CDTF">2025-09-15T08:55:06Z</dcterms:modified>
</cp:coreProperties>
</file>