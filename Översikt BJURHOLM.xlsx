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45703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45703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45703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45703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45703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45703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45703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45703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45703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45703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45703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45703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45703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45703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45703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45703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45703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45703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45703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45703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45703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45703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45703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45703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45703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45703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45703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45703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45703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45703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45703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45703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45703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45703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45703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45703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45703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45703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45703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45703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45703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45703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45703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45703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45703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45703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45703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45703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45703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45703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45703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45703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45703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45703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45703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45703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45703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45703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45703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45703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45703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45703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58948-2023</t>
        </is>
      </c>
      <c r="B64" s="1" t="n">
        <v>45252</v>
      </c>
      <c r="C64" s="1" t="n">
        <v>45703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58948-2023 artfynd.xlsx", "A 58948-2023")</f>
        <v/>
      </c>
      <c r="T64">
        <f>HYPERLINK("https://klasma.github.io/Logging_2403/kartor/A 58948-2023 karta.png", "A 58948-2023")</f>
        <v/>
      </c>
      <c r="V64">
        <f>HYPERLINK("https://klasma.github.io/Logging_2403/klagomål/A 58948-2023 FSC-klagomål.docx", "A 58948-2023")</f>
        <v/>
      </c>
      <c r="W64">
        <f>HYPERLINK("https://klasma.github.io/Logging_2403/klagomålsmail/A 58948-2023 FSC-klagomål mail.docx", "A 58948-2023")</f>
        <v/>
      </c>
      <c r="X64">
        <f>HYPERLINK("https://klasma.github.io/Logging_2403/tillsyn/A 58948-2023 tillsynsbegäran.docx", "A 58948-2023")</f>
        <v/>
      </c>
      <c r="Y64">
        <f>HYPERLINK("https://klasma.github.io/Logging_2403/tillsynsmail/A 58948-2023 tillsynsbegäran mail.docx", "A 58948-2023")</f>
        <v/>
      </c>
    </row>
    <row r="65" ht="15" customHeight="1">
      <c r="A65" t="inlineStr">
        <is>
          <t>A 64499-2023</t>
        </is>
      </c>
      <c r="B65" s="1" t="n">
        <v>45280</v>
      </c>
      <c r="C65" s="1" t="n">
        <v>45703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Dvärgbägarlav</t>
        </is>
      </c>
      <c r="S65">
        <f>HYPERLINK("https://klasma.github.io/Logging_2403/artfynd/A 64499-2023 artfynd.xlsx", "A 64499-2023")</f>
        <v/>
      </c>
      <c r="T65">
        <f>HYPERLINK("https://klasma.github.io/Logging_2403/kartor/A 64499-2023 karta.png", "A 64499-2023")</f>
        <v/>
      </c>
      <c r="V65">
        <f>HYPERLINK("https://klasma.github.io/Logging_2403/klagomål/A 64499-2023 FSC-klagomål.docx", "A 64499-2023")</f>
        <v/>
      </c>
      <c r="W65">
        <f>HYPERLINK("https://klasma.github.io/Logging_2403/klagomålsmail/A 64499-2023 FSC-klagomål mail.docx", "A 64499-2023")</f>
        <v/>
      </c>
      <c r="X65">
        <f>HYPERLINK("https://klasma.github.io/Logging_2403/tillsyn/A 64499-2023 tillsynsbegäran.docx", "A 64499-2023")</f>
        <v/>
      </c>
      <c r="Y65">
        <f>HYPERLINK("https://klasma.github.io/Logging_2403/tillsynsmail/A 64499-2023 tillsynsbegäran mail.docx", "A 64499-2023")</f>
        <v/>
      </c>
    </row>
    <row r="66" ht="15" customHeight="1">
      <c r="A66" t="inlineStr">
        <is>
          <t>A 9119-2024</t>
        </is>
      </c>
      <c r="B66" s="1" t="n">
        <v>45358</v>
      </c>
      <c r="C66" s="1" t="n">
        <v>45703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HYPERLINK("https://klasma.github.io/Logging_2403/artfynd/A 9119-2024 artfynd.xlsx", "A 9119-2024")</f>
        <v/>
      </c>
      <c r="T66">
        <f>HYPERLINK("https://klasma.github.io/Logging_2403/kartor/A 9119-2024 karta.png", "A 9119-2024")</f>
        <v/>
      </c>
      <c r="V66">
        <f>HYPERLINK("https://klasma.github.io/Logging_2403/klagomål/A 9119-2024 FSC-klagomål.docx", "A 9119-2024")</f>
        <v/>
      </c>
      <c r="W66">
        <f>HYPERLINK("https://klasma.github.io/Logging_2403/klagomålsmail/A 9119-2024 FSC-klagomål mail.docx", "A 9119-2024")</f>
        <v/>
      </c>
      <c r="X66">
        <f>HYPERLINK("https://klasma.github.io/Logging_2403/tillsyn/A 9119-2024 tillsynsbegäran.docx", "A 9119-2024")</f>
        <v/>
      </c>
      <c r="Y66">
        <f>HYPERLINK("https://klasma.github.io/Logging_2403/tillsynsmail/A 9119-2024 tillsynsbegäran mail.docx", "A 9119-2024")</f>
        <v/>
      </c>
    </row>
    <row r="67" ht="15" customHeight="1">
      <c r="A67" t="inlineStr">
        <is>
          <t>A 15699-2024</t>
        </is>
      </c>
      <c r="B67" s="1" t="n">
        <v>45404</v>
      </c>
      <c r="C67" s="1" t="n">
        <v>45703</v>
      </c>
      <c r="D67" t="inlineStr">
        <is>
          <t>VÄSTERBOTTENS LÄN</t>
        </is>
      </c>
      <c r="E67" t="inlineStr">
        <is>
          <t>BJURHOLM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HYPERLINK("https://klasma.github.io/Logging_2403/artfynd/A 15699-2024 artfynd.xlsx", "A 15699-2024")</f>
        <v/>
      </c>
      <c r="T67">
        <f>HYPERLINK("https://klasma.github.io/Logging_2403/kartor/A 15699-2024 karta.png", "A 15699-2024")</f>
        <v/>
      </c>
      <c r="V67">
        <f>HYPERLINK("https://klasma.github.io/Logging_2403/klagomål/A 15699-2024 FSC-klagomål.docx", "A 15699-2024")</f>
        <v/>
      </c>
      <c r="W67">
        <f>HYPERLINK("https://klasma.github.io/Logging_2403/klagomålsmail/A 15699-2024 FSC-klagomål mail.docx", "A 15699-2024")</f>
        <v/>
      </c>
      <c r="X67">
        <f>HYPERLINK("https://klasma.github.io/Logging_2403/tillsyn/A 15699-2024 tillsynsbegäran.docx", "A 15699-2024")</f>
        <v/>
      </c>
      <c r="Y67">
        <f>HYPERLINK("https://klasma.github.io/Logging_2403/tillsynsmail/A 15699-2024 tillsynsbegäran mail.docx", "A 15699-2024")</f>
        <v/>
      </c>
    </row>
    <row r="68" ht="15" customHeight="1">
      <c r="A68" t="inlineStr">
        <is>
          <t>A 21386-2024</t>
        </is>
      </c>
      <c r="B68" s="1" t="n">
        <v>45440</v>
      </c>
      <c r="C68" s="1" t="n">
        <v>45703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HYPERLINK("https://klasma.github.io/Logging_2403/artfynd/A 21386-2024 artfynd.xlsx", "A 21386-2024")</f>
        <v/>
      </c>
      <c r="T68">
        <f>HYPERLINK("https://klasma.github.io/Logging_2403/kartor/A 21386-2024 karta.png", "A 21386-2024")</f>
        <v/>
      </c>
      <c r="V68">
        <f>HYPERLINK("https://klasma.github.io/Logging_2403/klagomål/A 21386-2024 FSC-klagomål.docx", "A 21386-2024")</f>
        <v/>
      </c>
      <c r="W68">
        <f>HYPERLINK("https://klasma.github.io/Logging_2403/klagomålsmail/A 21386-2024 FSC-klagomål mail.docx", "A 21386-2024")</f>
        <v/>
      </c>
      <c r="X68">
        <f>HYPERLINK("https://klasma.github.io/Logging_2403/tillsyn/A 21386-2024 tillsynsbegäran.docx", "A 21386-2024")</f>
        <v/>
      </c>
      <c r="Y68">
        <f>HYPERLINK("https://klasma.github.io/Logging_2403/tillsynsmail/A 21386-2024 tillsynsbegäran mail.docx", "A 21386-2024")</f>
        <v/>
      </c>
    </row>
    <row r="69" ht="15" customHeight="1">
      <c r="A69" t="inlineStr">
        <is>
          <t>A 27300-2024</t>
        </is>
      </c>
      <c r="B69" s="1" t="n">
        <v>45472</v>
      </c>
      <c r="C69" s="1" t="n">
        <v>45703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27300-2024 artfynd.xlsx", "A 27300-2024")</f>
        <v/>
      </c>
      <c r="T69">
        <f>HYPERLINK("https://klasma.github.io/Logging_2403/kartor/A 27300-2024 karta.png", "A 27300-2024")</f>
        <v/>
      </c>
      <c r="V69">
        <f>HYPERLINK("https://klasma.github.io/Logging_2403/klagomål/A 27300-2024 FSC-klagomål.docx", "A 27300-2024")</f>
        <v/>
      </c>
      <c r="W69">
        <f>HYPERLINK("https://klasma.github.io/Logging_2403/klagomålsmail/A 27300-2024 FSC-klagomål mail.docx", "A 27300-2024")</f>
        <v/>
      </c>
      <c r="X69">
        <f>HYPERLINK("https://klasma.github.io/Logging_2403/tillsyn/A 27300-2024 tillsynsbegäran.docx", "A 27300-2024")</f>
        <v/>
      </c>
      <c r="Y69">
        <f>HYPERLINK("https://klasma.github.io/Logging_2403/tillsynsmail/A 27300-2024 tillsynsbegäran mail.docx", "A 27300-2024")</f>
        <v/>
      </c>
    </row>
    <row r="70" ht="15" customHeight="1">
      <c r="A70" t="inlineStr">
        <is>
          <t>A 32506-2024</t>
        </is>
      </c>
      <c r="B70" s="1" t="n">
        <v>45513</v>
      </c>
      <c r="C70" s="1" t="n">
        <v>45703</v>
      </c>
      <c r="D70" t="inlineStr">
        <is>
          <t>VÄSTERBOTTENS LÄN</t>
        </is>
      </c>
      <c r="E70" t="inlineStr">
        <is>
          <t>BJURHOLM</t>
        </is>
      </c>
      <c r="G70" t="n">
        <v>3.5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HYPERLINK("https://klasma.github.io/Logging_2403/artfynd/A 32506-2024 artfynd.xlsx", "A 32506-2024")</f>
        <v/>
      </c>
      <c r="T70">
        <f>HYPERLINK("https://klasma.github.io/Logging_2403/kartor/A 32506-2024 karta.png", "A 32506-2024")</f>
        <v/>
      </c>
      <c r="V70">
        <f>HYPERLINK("https://klasma.github.io/Logging_2403/klagomål/A 32506-2024 FSC-klagomål.docx", "A 32506-2024")</f>
        <v/>
      </c>
      <c r="W70">
        <f>HYPERLINK("https://klasma.github.io/Logging_2403/klagomålsmail/A 32506-2024 FSC-klagomål mail.docx", "A 32506-2024")</f>
        <v/>
      </c>
      <c r="X70">
        <f>HYPERLINK("https://klasma.github.io/Logging_2403/tillsyn/A 32506-2024 tillsynsbegäran.docx", "A 32506-2024")</f>
        <v/>
      </c>
      <c r="Y70">
        <f>HYPERLINK("https://klasma.github.io/Logging_2403/tillsynsmail/A 32506-2024 tillsynsbegäran mail.docx", "A 32506-2024")</f>
        <v/>
      </c>
      <c r="Z70">
        <f>HYPERLINK("https://klasma.github.io/Logging_2403/fåglar/A 32506-2024 prioriterade fågelarter.docx", "A 32506-2024")</f>
        <v/>
      </c>
    </row>
    <row r="71" ht="15" customHeight="1">
      <c r="A71" t="inlineStr">
        <is>
          <t>A 33362-2024</t>
        </is>
      </c>
      <c r="B71" s="1" t="n">
        <v>45519</v>
      </c>
      <c r="C71" s="1" t="n">
        <v>45703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33362-2024 artfynd.xlsx", "A 33362-2024")</f>
        <v/>
      </c>
      <c r="T71">
        <f>HYPERLINK("https://klasma.github.io/Logging_2403/kartor/A 33362-2024 karta.png", "A 33362-2024")</f>
        <v/>
      </c>
      <c r="V71">
        <f>HYPERLINK("https://klasma.github.io/Logging_2403/klagomål/A 33362-2024 FSC-klagomål.docx", "A 33362-2024")</f>
        <v/>
      </c>
      <c r="W71">
        <f>HYPERLINK("https://klasma.github.io/Logging_2403/klagomålsmail/A 33362-2024 FSC-klagomål mail.docx", "A 33362-2024")</f>
        <v/>
      </c>
      <c r="X71">
        <f>HYPERLINK("https://klasma.github.io/Logging_2403/tillsyn/A 33362-2024 tillsynsbegäran.docx", "A 33362-2024")</f>
        <v/>
      </c>
      <c r="Y71">
        <f>HYPERLINK("https://klasma.github.io/Logging_2403/tillsynsmail/A 33362-2024 tillsynsbegäran mail.docx", "A 33362-2024")</f>
        <v/>
      </c>
    </row>
    <row r="72" ht="15" customHeight="1">
      <c r="A72" t="inlineStr">
        <is>
          <t>A 33355-2024</t>
        </is>
      </c>
      <c r="B72" s="1" t="n">
        <v>45519</v>
      </c>
      <c r="C72" s="1" t="n">
        <v>45703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33355-2024 artfynd.xlsx", "A 33355-2024")</f>
        <v/>
      </c>
      <c r="T72">
        <f>HYPERLINK("https://klasma.github.io/Logging_2403/kartor/A 33355-2024 karta.png", "A 33355-2024")</f>
        <v/>
      </c>
      <c r="V72">
        <f>HYPERLINK("https://klasma.github.io/Logging_2403/klagomål/A 33355-2024 FSC-klagomål.docx", "A 33355-2024")</f>
        <v/>
      </c>
      <c r="W72">
        <f>HYPERLINK("https://klasma.github.io/Logging_2403/klagomålsmail/A 33355-2024 FSC-klagomål mail.docx", "A 33355-2024")</f>
        <v/>
      </c>
      <c r="X72">
        <f>HYPERLINK("https://klasma.github.io/Logging_2403/tillsyn/A 33355-2024 tillsynsbegäran.docx", "A 33355-2024")</f>
        <v/>
      </c>
      <c r="Y72">
        <f>HYPERLINK("https://klasma.github.io/Logging_2403/tillsynsmail/A 33355-2024 tillsynsbegäran mail.docx", "A 33355-2024")</f>
        <v/>
      </c>
    </row>
    <row r="73" ht="15" customHeight="1">
      <c r="A73" t="inlineStr">
        <is>
          <t>A 38457-2024</t>
        </is>
      </c>
      <c r="B73" s="1" t="n">
        <v>45546</v>
      </c>
      <c r="C73" s="1" t="n">
        <v>45703</v>
      </c>
      <c r="D73" t="inlineStr">
        <is>
          <t>VÄSTERBOTTENS LÄN</t>
        </is>
      </c>
      <c r="E73" t="inlineStr">
        <is>
          <t>BJURHOLM</t>
        </is>
      </c>
      <c r="G73" t="n">
        <v>27.1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38457-2024 artfynd.xlsx", "A 38457-2024")</f>
        <v/>
      </c>
      <c r="T73">
        <f>HYPERLINK("https://klasma.github.io/Logging_2403/kartor/A 38457-2024 karta.png", "A 38457-2024")</f>
        <v/>
      </c>
      <c r="V73">
        <f>HYPERLINK("https://klasma.github.io/Logging_2403/klagomål/A 38457-2024 FSC-klagomål.docx", "A 38457-2024")</f>
        <v/>
      </c>
      <c r="W73">
        <f>HYPERLINK("https://klasma.github.io/Logging_2403/klagomålsmail/A 38457-2024 FSC-klagomål mail.docx", "A 38457-2024")</f>
        <v/>
      </c>
      <c r="X73">
        <f>HYPERLINK("https://klasma.github.io/Logging_2403/tillsyn/A 38457-2024 tillsynsbegäran.docx", "A 38457-2024")</f>
        <v/>
      </c>
      <c r="Y73">
        <f>HYPERLINK("https://klasma.github.io/Logging_2403/tillsynsmail/A 38457-2024 tillsynsbegäran mail.docx", "A 38457-2024")</f>
        <v/>
      </c>
    </row>
    <row r="74" ht="15" customHeight="1">
      <c r="A74" t="inlineStr">
        <is>
          <t>A 57640-2024</t>
        </is>
      </c>
      <c r="B74" s="1" t="n">
        <v>45630</v>
      </c>
      <c r="C74" s="1" t="n">
        <v>45703</v>
      </c>
      <c r="D74" t="inlineStr">
        <is>
          <t>VÄSTERBOTTENS LÄN</t>
        </is>
      </c>
      <c r="E74" t="inlineStr">
        <is>
          <t>BJURHOLM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HYPERLINK("https://klasma.github.io/Logging_2403/artfynd/A 57640-2024 artfynd.xlsx", "A 57640-2024")</f>
        <v/>
      </c>
      <c r="T74">
        <f>HYPERLINK("https://klasma.github.io/Logging_2403/kartor/A 57640-2024 karta.png", "A 57640-2024")</f>
        <v/>
      </c>
      <c r="V74">
        <f>HYPERLINK("https://klasma.github.io/Logging_2403/klagomål/A 57640-2024 FSC-klagomål.docx", "A 57640-2024")</f>
        <v/>
      </c>
      <c r="W74">
        <f>HYPERLINK("https://klasma.github.io/Logging_2403/klagomålsmail/A 57640-2024 FSC-klagomål mail.docx", "A 57640-2024")</f>
        <v/>
      </c>
      <c r="X74">
        <f>HYPERLINK("https://klasma.github.io/Logging_2403/tillsyn/A 57640-2024 tillsynsbegäran.docx", "A 57640-2024")</f>
        <v/>
      </c>
      <c r="Y74">
        <f>HYPERLINK("https://klasma.github.io/Logging_2403/tillsynsmail/A 57640-2024 tillsynsbegäran mail.docx", "A 57640-2024")</f>
        <v/>
      </c>
    </row>
    <row r="75" ht="15" customHeight="1">
      <c r="A75" t="inlineStr">
        <is>
          <t>A 62046-2024</t>
        </is>
      </c>
      <c r="B75" s="1" t="n">
        <v>45656</v>
      </c>
      <c r="C75" s="1" t="n">
        <v>45703</v>
      </c>
      <c r="D75" t="inlineStr">
        <is>
          <t>VÄSTERBOTTENS LÄN</t>
        </is>
      </c>
      <c r="E75" t="inlineStr">
        <is>
          <t>BJURHOLM</t>
        </is>
      </c>
      <c r="G75" t="n">
        <v>21.9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HYPERLINK("https://klasma.github.io/Logging_2403/artfynd/A 62046-2024 artfynd.xlsx", "A 62046-2024")</f>
        <v/>
      </c>
      <c r="T75">
        <f>HYPERLINK("https://klasma.github.io/Logging_2403/kartor/A 62046-2024 karta.png", "A 62046-2024")</f>
        <v/>
      </c>
      <c r="V75">
        <f>HYPERLINK("https://klasma.github.io/Logging_2403/klagomål/A 62046-2024 FSC-klagomål.docx", "A 62046-2024")</f>
        <v/>
      </c>
      <c r="W75">
        <f>HYPERLINK("https://klasma.github.io/Logging_2403/klagomålsmail/A 62046-2024 FSC-klagomål mail.docx", "A 62046-2024")</f>
        <v/>
      </c>
      <c r="X75">
        <f>HYPERLINK("https://klasma.github.io/Logging_2403/tillsyn/A 62046-2024 tillsynsbegäran.docx", "A 62046-2024")</f>
        <v/>
      </c>
      <c r="Y75">
        <f>HYPERLINK("https://klasma.github.io/Logging_2403/tillsynsmail/A 62046-2024 tillsynsbegäran mail.docx", "A 62046-2024")</f>
        <v/>
      </c>
    </row>
    <row r="76" ht="15" customHeight="1">
      <c r="A76" t="inlineStr">
        <is>
          <t>A 94-2025</t>
        </is>
      </c>
      <c r="B76" s="1" t="n">
        <v>45659</v>
      </c>
      <c r="C76" s="1" t="n">
        <v>45703</v>
      </c>
      <c r="D76" t="inlineStr">
        <is>
          <t>VÄSTERBOTTENS LÄN</t>
        </is>
      </c>
      <c r="E76" t="inlineStr">
        <is>
          <t>BJURHOLM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HYPERLINK("https://klasma.github.io/Logging_2403/artfynd/A 94-2025 artfynd.xlsx", "A 94-2025")</f>
        <v/>
      </c>
      <c r="T76">
        <f>HYPERLINK("https://klasma.github.io/Logging_2403/kartor/A 94-2025 karta.png", "A 94-2025")</f>
        <v/>
      </c>
      <c r="V76">
        <f>HYPERLINK("https://klasma.github.io/Logging_2403/klagomål/A 94-2025 FSC-klagomål.docx", "A 94-2025")</f>
        <v/>
      </c>
      <c r="W76">
        <f>HYPERLINK("https://klasma.github.io/Logging_2403/klagomålsmail/A 94-2025 FSC-klagomål mail.docx", "A 94-2025")</f>
        <v/>
      </c>
      <c r="X76">
        <f>HYPERLINK("https://klasma.github.io/Logging_2403/tillsyn/A 94-2025 tillsynsbegäran.docx", "A 94-2025")</f>
        <v/>
      </c>
      <c r="Y76">
        <f>HYPERLINK("https://klasma.github.io/Logging_2403/tillsynsmail/A 94-2025 tillsynsbegäran mail.docx", "A 94-2025")</f>
        <v/>
      </c>
    </row>
    <row r="77" ht="15" customHeight="1">
      <c r="A77" t="inlineStr">
        <is>
          <t>A 17898-2019</t>
        </is>
      </c>
      <c r="B77" s="1" t="n">
        <v>43557</v>
      </c>
      <c r="C77" s="1" t="n">
        <v>45703</v>
      </c>
      <c r="D77" t="inlineStr">
        <is>
          <t>VÄSTERBOTTENS LÄN</t>
        </is>
      </c>
      <c r="E77" t="inlineStr">
        <is>
          <t>BJURHOLM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17891-2019</t>
        </is>
      </c>
      <c r="B78" s="1" t="n">
        <v>43557</v>
      </c>
      <c r="C78" s="1" t="n">
        <v>45703</v>
      </c>
      <c r="D78" t="inlineStr">
        <is>
          <t>VÄSTERBOTTENS LÄN</t>
        </is>
      </c>
      <c r="E78" t="inlineStr">
        <is>
          <t>BJURHOLM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20103-2019</t>
        </is>
      </c>
      <c r="B79" s="1" t="n">
        <v>43570</v>
      </c>
      <c r="C79" s="1" t="n">
        <v>45703</v>
      </c>
      <c r="D79" t="inlineStr">
        <is>
          <t>VÄSTERBOTTENS LÄN</t>
        </is>
      </c>
      <c r="E79" t="inlineStr">
        <is>
          <t>BJURHOLM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20842-2019</t>
        </is>
      </c>
      <c r="B80" s="1" t="n">
        <v>43577</v>
      </c>
      <c r="C80" s="1" t="n">
        <v>45703</v>
      </c>
      <c r="D80" t="inlineStr">
        <is>
          <t>VÄSTERBOTTENS LÄN</t>
        </is>
      </c>
      <c r="E80" t="inlineStr">
        <is>
          <t>BJURHOLM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21104-2019</t>
        </is>
      </c>
      <c r="B81" s="1" t="n">
        <v>43578</v>
      </c>
      <c r="C81" s="1" t="n">
        <v>45703</v>
      </c>
      <c r="D81" t="inlineStr">
        <is>
          <t>VÄSTERBOTTENS LÄN</t>
        </is>
      </c>
      <c r="E81" t="inlineStr">
        <is>
          <t>BJURHOLM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21325-2019</t>
        </is>
      </c>
      <c r="B82" s="1" t="n">
        <v>43579</v>
      </c>
      <c r="C82" s="1" t="n">
        <v>45703</v>
      </c>
      <c r="D82" t="inlineStr">
        <is>
          <t>VÄSTERBOTTENS LÄN</t>
        </is>
      </c>
      <c r="E82" t="inlineStr">
        <is>
          <t>BJURHOLM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22370-2019</t>
        </is>
      </c>
      <c r="B83" s="1" t="n">
        <v>43585</v>
      </c>
      <c r="C83" s="1" t="n">
        <v>45703</v>
      </c>
      <c r="D83" t="inlineStr">
        <is>
          <t>VÄSTERBOTTENS LÄN</t>
        </is>
      </c>
      <c r="E83" t="inlineStr">
        <is>
          <t>BJURHOLM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24259-2019</t>
        </is>
      </c>
      <c r="B84" s="1" t="n">
        <v>43597</v>
      </c>
      <c r="C84" s="1" t="n">
        <v>45703</v>
      </c>
      <c r="D84" t="inlineStr">
        <is>
          <t>VÄSTERBOTTENS LÄN</t>
        </is>
      </c>
      <c r="E84" t="inlineStr">
        <is>
          <t>BJURHOLM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25935-2019</t>
        </is>
      </c>
      <c r="B85" s="1" t="n">
        <v>43608</v>
      </c>
      <c r="C85" s="1" t="n">
        <v>45703</v>
      </c>
      <c r="D85" t="inlineStr">
        <is>
          <t>VÄSTERBOTTENS LÄN</t>
        </is>
      </c>
      <c r="E85" t="inlineStr">
        <is>
          <t>BJURHOLM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28945-2019</t>
        </is>
      </c>
      <c r="B86" s="1" t="n">
        <v>43619</v>
      </c>
      <c r="C86" s="1" t="n">
        <v>45703</v>
      </c>
      <c r="D86" t="inlineStr">
        <is>
          <t>VÄSTERBOTTENS LÄN</t>
        </is>
      </c>
      <c r="E86" t="inlineStr">
        <is>
          <t>BJURHOLM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28946-2019</t>
        </is>
      </c>
      <c r="B87" s="1" t="n">
        <v>43619</v>
      </c>
      <c r="C87" s="1" t="n">
        <v>45703</v>
      </c>
      <c r="D87" t="inlineStr">
        <is>
          <t>VÄSTERBOTTENS LÄN</t>
        </is>
      </c>
      <c r="E87" t="inlineStr">
        <is>
          <t>BJURHOLM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28941-2019</t>
        </is>
      </c>
      <c r="B88" s="1" t="n">
        <v>43619</v>
      </c>
      <c r="C88" s="1" t="n">
        <v>45703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29348-2019</t>
        </is>
      </c>
      <c r="B89" s="1" t="n">
        <v>43626</v>
      </c>
      <c r="C89" s="1" t="n">
        <v>45703</v>
      </c>
      <c r="D89" t="inlineStr">
        <is>
          <t>VÄSTERBOTTENS LÄN</t>
        </is>
      </c>
      <c r="E89" t="inlineStr">
        <is>
          <t>BJURHOLM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29657-2019</t>
        </is>
      </c>
      <c r="B90" s="1" t="n">
        <v>43628</v>
      </c>
      <c r="C90" s="1" t="n">
        <v>45703</v>
      </c>
      <c r="D90" t="inlineStr">
        <is>
          <t>VÄSTERBOTTENS LÄN</t>
        </is>
      </c>
      <c r="E90" t="inlineStr">
        <is>
          <t>BJURHOLM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30354-2019</t>
        </is>
      </c>
      <c r="B91" s="1" t="n">
        <v>43634</v>
      </c>
      <c r="C91" s="1" t="n">
        <v>45703</v>
      </c>
      <c r="D91" t="inlineStr">
        <is>
          <t>VÄSTERBOTTENS LÄN</t>
        </is>
      </c>
      <c r="E91" t="inlineStr">
        <is>
          <t>BJURHOLM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30882-2019</t>
        </is>
      </c>
      <c r="B92" s="1" t="n">
        <v>43636</v>
      </c>
      <c r="C92" s="1" t="n">
        <v>45703</v>
      </c>
      <c r="D92" t="inlineStr">
        <is>
          <t>VÄSTERBOTTENS LÄN</t>
        </is>
      </c>
      <c r="E92" t="inlineStr">
        <is>
          <t>BJURHOLM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38007-2019</t>
        </is>
      </c>
      <c r="B93" s="1" t="n">
        <v>43683</v>
      </c>
      <c r="C93" s="1" t="n">
        <v>45703</v>
      </c>
      <c r="D93" t="inlineStr">
        <is>
          <t>VÄSTERBOTTENS LÄN</t>
        </is>
      </c>
      <c r="E93" t="inlineStr">
        <is>
          <t>BJURHOLM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38011-2019</t>
        </is>
      </c>
      <c r="B94" s="1" t="n">
        <v>43683</v>
      </c>
      <c r="C94" s="1" t="n">
        <v>45703</v>
      </c>
      <c r="D94" t="inlineStr">
        <is>
          <t>VÄSTERBOTTENS LÄN</t>
        </is>
      </c>
      <c r="E94" t="inlineStr">
        <is>
          <t>BJURHOLM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38018-2019</t>
        </is>
      </c>
      <c r="B95" s="1" t="n">
        <v>43683</v>
      </c>
      <c r="C95" s="1" t="n">
        <v>45703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38022-2019</t>
        </is>
      </c>
      <c r="B96" s="1" t="n">
        <v>43683</v>
      </c>
      <c r="C96" s="1" t="n">
        <v>45703</v>
      </c>
      <c r="D96" t="inlineStr">
        <is>
          <t>VÄSTERBOTTENS LÄN</t>
        </is>
      </c>
      <c r="E96" t="inlineStr">
        <is>
          <t>BJURHOLM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40932-2019</t>
        </is>
      </c>
      <c r="B97" s="1" t="n">
        <v>43693</v>
      </c>
      <c r="C97" s="1" t="n">
        <v>45703</v>
      </c>
      <c r="D97" t="inlineStr">
        <is>
          <t>VÄSTERBOTTENS LÄN</t>
        </is>
      </c>
      <c r="E97" t="inlineStr">
        <is>
          <t>BJURHOLM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41080-2019</t>
        </is>
      </c>
      <c r="B98" s="1" t="n">
        <v>43698</v>
      </c>
      <c r="C98" s="1" t="n">
        <v>45703</v>
      </c>
      <c r="D98" t="inlineStr">
        <is>
          <t>VÄSTERBOTTENS LÄN</t>
        </is>
      </c>
      <c r="E98" t="inlineStr">
        <is>
          <t>BJURHOLM</t>
        </is>
      </c>
      <c r="F98" t="inlineStr">
        <is>
          <t>Holmen skog AB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41287-2019</t>
        </is>
      </c>
      <c r="B99" s="1" t="n">
        <v>43698</v>
      </c>
      <c r="C99" s="1" t="n">
        <v>45703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42482-2019</t>
        </is>
      </c>
      <c r="B100" s="1" t="n">
        <v>43703</v>
      </c>
      <c r="C100" s="1" t="n">
        <v>45703</v>
      </c>
      <c r="D100" t="inlineStr">
        <is>
          <t>VÄSTERBOTTENS LÄN</t>
        </is>
      </c>
      <c r="E100" t="inlineStr">
        <is>
          <t>BJURHOLM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45134-2019</t>
        </is>
      </c>
      <c r="B101" s="1" t="n">
        <v>43713</v>
      </c>
      <c r="C101" s="1" t="n">
        <v>45703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48427-2019</t>
        </is>
      </c>
      <c r="B102" s="1" t="n">
        <v>43727</v>
      </c>
      <c r="C102" s="1" t="n">
        <v>45703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48513-2019</t>
        </is>
      </c>
      <c r="B103" s="1" t="n">
        <v>43727</v>
      </c>
      <c r="C103" s="1" t="n">
        <v>45703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48853-2019</t>
        </is>
      </c>
      <c r="B104" s="1" t="n">
        <v>43728</v>
      </c>
      <c r="C104" s="1" t="n">
        <v>45703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32.9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50124-2019</t>
        </is>
      </c>
      <c r="B105" s="1" t="n">
        <v>43734</v>
      </c>
      <c r="C105" s="1" t="n">
        <v>45703</v>
      </c>
      <c r="D105" t="inlineStr">
        <is>
          <t>VÄSTERBOTTENS LÄN</t>
        </is>
      </c>
      <c r="E105" t="inlineStr">
        <is>
          <t>BJURHOLM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53154-2019</t>
        </is>
      </c>
      <c r="B106" s="1" t="n">
        <v>43747</v>
      </c>
      <c r="C106" s="1" t="n">
        <v>45703</v>
      </c>
      <c r="D106" t="inlineStr">
        <is>
          <t>VÄSTERBOTTENS LÄN</t>
        </is>
      </c>
      <c r="E106" t="inlineStr">
        <is>
          <t>BJURHOLM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53378-2019</t>
        </is>
      </c>
      <c r="B107" s="1" t="n">
        <v>43748</v>
      </c>
      <c r="C107" s="1" t="n">
        <v>45703</v>
      </c>
      <c r="D107" t="inlineStr">
        <is>
          <t>VÄSTERBOTTENS LÄN</t>
        </is>
      </c>
      <c r="E107" t="inlineStr">
        <is>
          <t>BJURHOLM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53828-2019</t>
        </is>
      </c>
      <c r="B108" s="1" t="n">
        <v>43752</v>
      </c>
      <c r="C108" s="1" t="n">
        <v>45703</v>
      </c>
      <c r="D108" t="inlineStr">
        <is>
          <t>VÄSTERBOTTENS LÄN</t>
        </is>
      </c>
      <c r="E108" t="inlineStr">
        <is>
          <t>BJURHOLM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60023-2019</t>
        </is>
      </c>
      <c r="B109" s="1" t="n">
        <v>43777</v>
      </c>
      <c r="C109" s="1" t="n">
        <v>45703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61413-2019</t>
        </is>
      </c>
      <c r="B110" s="1" t="n">
        <v>43780</v>
      </c>
      <c r="C110" s="1" t="n">
        <v>45703</v>
      </c>
      <c r="D110" t="inlineStr">
        <is>
          <t>VÄSTERBOTTENS LÄN</t>
        </is>
      </c>
      <c r="E110" t="inlineStr">
        <is>
          <t>BJURHOLM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62097-2019</t>
        </is>
      </c>
      <c r="B111" s="1" t="n">
        <v>43787</v>
      </c>
      <c r="C111" s="1" t="n">
        <v>45703</v>
      </c>
      <c r="D111" t="inlineStr">
        <is>
          <t>VÄSTERBOTTENS LÄN</t>
        </is>
      </c>
      <c r="E111" t="inlineStr">
        <is>
          <t>BJURHOLM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64146-2019</t>
        </is>
      </c>
      <c r="B112" s="1" t="n">
        <v>43796</v>
      </c>
      <c r="C112" s="1" t="n">
        <v>45703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SCA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64156-2019</t>
        </is>
      </c>
      <c r="B113" s="1" t="n">
        <v>43796</v>
      </c>
      <c r="C113" s="1" t="n">
        <v>45703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64930-2019</t>
        </is>
      </c>
      <c r="B114" s="1" t="n">
        <v>43801</v>
      </c>
      <c r="C114" s="1" t="n">
        <v>45703</v>
      </c>
      <c r="D114" t="inlineStr">
        <is>
          <t>VÄSTERBOTTENS LÄN</t>
        </is>
      </c>
      <c r="E114" t="inlineStr">
        <is>
          <t>BJURHOLM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67964-2019</t>
        </is>
      </c>
      <c r="B115" s="1" t="n">
        <v>43811</v>
      </c>
      <c r="C115" s="1" t="n">
        <v>45703</v>
      </c>
      <c r="D115" t="inlineStr">
        <is>
          <t>VÄSTERBOTTENS LÄN</t>
        </is>
      </c>
      <c r="E115" t="inlineStr">
        <is>
          <t>BJURHOLM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830-2020</t>
        </is>
      </c>
      <c r="B116" s="1" t="n">
        <v>43839</v>
      </c>
      <c r="C116" s="1" t="n">
        <v>45703</v>
      </c>
      <c r="D116" t="inlineStr">
        <is>
          <t>VÄSTERBOTTENS LÄN</t>
        </is>
      </c>
      <c r="E116" t="inlineStr">
        <is>
          <t>BJURHOLM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3076-2020</t>
        </is>
      </c>
      <c r="B117" s="1" t="n">
        <v>43851</v>
      </c>
      <c r="C117" s="1" t="n">
        <v>45703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3924-2020</t>
        </is>
      </c>
      <c r="B118" s="1" t="n">
        <v>43854</v>
      </c>
      <c r="C118" s="1" t="n">
        <v>45703</v>
      </c>
      <c r="D118" t="inlineStr">
        <is>
          <t>VÄSTERBOTTENS LÄN</t>
        </is>
      </c>
      <c r="E118" t="inlineStr">
        <is>
          <t>BJURHOLM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8128-2020</t>
        </is>
      </c>
      <c r="B119" s="1" t="n">
        <v>43873</v>
      </c>
      <c r="C119" s="1" t="n">
        <v>45703</v>
      </c>
      <c r="D119" t="inlineStr">
        <is>
          <t>VÄSTERBOTTENS LÄN</t>
        </is>
      </c>
      <c r="E119" t="inlineStr">
        <is>
          <t>BJURHOLM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8867-2020</t>
        </is>
      </c>
      <c r="B120" s="1" t="n">
        <v>43878</v>
      </c>
      <c r="C120" s="1" t="n">
        <v>45703</v>
      </c>
      <c r="D120" t="inlineStr">
        <is>
          <t>VÄSTERBOTTENS LÄN</t>
        </is>
      </c>
      <c r="E120" t="inlineStr">
        <is>
          <t>BJURHOLM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9266-2020</t>
        </is>
      </c>
      <c r="B121" s="1" t="n">
        <v>43879</v>
      </c>
      <c r="C121" s="1" t="n">
        <v>45703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9265-2020</t>
        </is>
      </c>
      <c r="B122" s="1" t="n">
        <v>43879</v>
      </c>
      <c r="C122" s="1" t="n">
        <v>45703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10388-2020</t>
        </is>
      </c>
      <c r="B123" s="1" t="n">
        <v>43885</v>
      </c>
      <c r="C123" s="1" t="n">
        <v>45703</v>
      </c>
      <c r="D123" t="inlineStr">
        <is>
          <t>VÄSTERBOTTENS LÄN</t>
        </is>
      </c>
      <c r="E123" t="inlineStr">
        <is>
          <t>BJURHOLM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13110-2020</t>
        </is>
      </c>
      <c r="B124" s="1" t="n">
        <v>43901</v>
      </c>
      <c r="C124" s="1" t="n">
        <v>45703</v>
      </c>
      <c r="D124" t="inlineStr">
        <is>
          <t>VÄSTERBOTTENS LÄN</t>
        </is>
      </c>
      <c r="E124" t="inlineStr">
        <is>
          <t>BJURHOLM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14672-2020</t>
        </is>
      </c>
      <c r="B125" s="1" t="n">
        <v>43909</v>
      </c>
      <c r="C125" s="1" t="n">
        <v>45703</v>
      </c>
      <c r="D125" t="inlineStr">
        <is>
          <t>VÄSTERBOTTENS LÄN</t>
        </is>
      </c>
      <c r="E125" t="inlineStr">
        <is>
          <t>BJURHOLM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16193-2020</t>
        </is>
      </c>
      <c r="B126" s="1" t="n">
        <v>43917</v>
      </c>
      <c r="C126" s="1" t="n">
        <v>45703</v>
      </c>
      <c r="D126" t="inlineStr">
        <is>
          <t>VÄSTERBOTTENS LÄN</t>
        </is>
      </c>
      <c r="E126" t="inlineStr">
        <is>
          <t>BJURHOLM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16811-2020</t>
        </is>
      </c>
      <c r="B127" s="1" t="n">
        <v>43920</v>
      </c>
      <c r="C127" s="1" t="n">
        <v>45703</v>
      </c>
      <c r="D127" t="inlineStr">
        <is>
          <t>VÄSTERBOTTENS LÄN</t>
        </is>
      </c>
      <c r="E127" t="inlineStr">
        <is>
          <t>BJURHOLM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18647-2020</t>
        </is>
      </c>
      <c r="B128" s="1" t="n">
        <v>43929</v>
      </c>
      <c r="C128" s="1" t="n">
        <v>45703</v>
      </c>
      <c r="D128" t="inlineStr">
        <is>
          <t>VÄSTERBOTTENS LÄN</t>
        </is>
      </c>
      <c r="E128" t="inlineStr">
        <is>
          <t>BJURHOLM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19652-2020</t>
        </is>
      </c>
      <c r="B129" s="1" t="n">
        <v>43937</v>
      </c>
      <c r="C129" s="1" t="n">
        <v>45703</v>
      </c>
      <c r="D129" t="inlineStr">
        <is>
          <t>VÄSTERBOTTENS LÄN</t>
        </is>
      </c>
      <c r="E129" t="inlineStr">
        <is>
          <t>BJURHOLM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20403-2020</t>
        </is>
      </c>
      <c r="B130" s="1" t="n">
        <v>43945</v>
      </c>
      <c r="C130" s="1" t="n">
        <v>45703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20851-2020</t>
        </is>
      </c>
      <c r="B131" s="1" t="n">
        <v>43948</v>
      </c>
      <c r="C131" s="1" t="n">
        <v>45703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25244-2020</t>
        </is>
      </c>
      <c r="B132" s="1" t="n">
        <v>43980</v>
      </c>
      <c r="C132" s="1" t="n">
        <v>45703</v>
      </c>
      <c r="D132" t="inlineStr">
        <is>
          <t>VÄSTERBOTTENS LÄN</t>
        </is>
      </c>
      <c r="E132" t="inlineStr">
        <is>
          <t>BJURHOLM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25883-2020</t>
        </is>
      </c>
      <c r="B133" s="1" t="n">
        <v>43984</v>
      </c>
      <c r="C133" s="1" t="n">
        <v>45703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26566-2020</t>
        </is>
      </c>
      <c r="B134" s="1" t="n">
        <v>43987</v>
      </c>
      <c r="C134" s="1" t="n">
        <v>45703</v>
      </c>
      <c r="D134" t="inlineStr">
        <is>
          <t>VÄSTERBOTTENS LÄN</t>
        </is>
      </c>
      <c r="E134" t="inlineStr">
        <is>
          <t>BJURHOLM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26758-2020</t>
        </is>
      </c>
      <c r="B135" s="1" t="n">
        <v>43990</v>
      </c>
      <c r="C135" s="1" t="n">
        <v>45703</v>
      </c>
      <c r="D135" t="inlineStr">
        <is>
          <t>VÄSTERBOTTENS LÄN</t>
        </is>
      </c>
      <c r="E135" t="inlineStr">
        <is>
          <t>BJURHOLM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27824-2020</t>
        </is>
      </c>
      <c r="B136" s="1" t="n">
        <v>43994</v>
      </c>
      <c r="C136" s="1" t="n">
        <v>45703</v>
      </c>
      <c r="D136" t="inlineStr">
        <is>
          <t>VÄSTERBOTTENS LÄN</t>
        </is>
      </c>
      <c r="E136" t="inlineStr">
        <is>
          <t>BJURHOLM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29132-2020</t>
        </is>
      </c>
      <c r="B137" s="1" t="n">
        <v>44004</v>
      </c>
      <c r="C137" s="1" t="n">
        <v>45703</v>
      </c>
      <c r="D137" t="inlineStr">
        <is>
          <t>VÄSTERBOTTENS LÄN</t>
        </is>
      </c>
      <c r="E137" t="inlineStr">
        <is>
          <t>BJURHOLM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29817-2020</t>
        </is>
      </c>
      <c r="B138" s="1" t="n">
        <v>44005</v>
      </c>
      <c r="C138" s="1" t="n">
        <v>45703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29846-2020</t>
        </is>
      </c>
      <c r="B139" s="1" t="n">
        <v>44006</v>
      </c>
      <c r="C139" s="1" t="n">
        <v>45703</v>
      </c>
      <c r="D139" t="inlineStr">
        <is>
          <t>VÄSTERBOTTENS LÄN</t>
        </is>
      </c>
      <c r="E139" t="inlineStr">
        <is>
          <t>BJURHOLM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30418-2020</t>
        </is>
      </c>
      <c r="B140" s="1" t="n">
        <v>44007</v>
      </c>
      <c r="C140" s="1" t="n">
        <v>45703</v>
      </c>
      <c r="D140" t="inlineStr">
        <is>
          <t>VÄSTERBOTTENS LÄN</t>
        </is>
      </c>
      <c r="E140" t="inlineStr">
        <is>
          <t>BJURHOLM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30251-2020</t>
        </is>
      </c>
      <c r="B141" s="1" t="n">
        <v>44007</v>
      </c>
      <c r="C141" s="1" t="n">
        <v>45703</v>
      </c>
      <c r="D141" t="inlineStr">
        <is>
          <t>VÄSTERBOTTENS LÄN</t>
        </is>
      </c>
      <c r="E141" t="inlineStr">
        <is>
          <t>BJURHOLM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33729-2020</t>
        </is>
      </c>
      <c r="B142" s="1" t="n">
        <v>44026</v>
      </c>
      <c r="C142" s="1" t="n">
        <v>45703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Holmen skog AB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45703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45703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45703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45703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45703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45703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45703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45703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45703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45703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45703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45703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45703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45703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45703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45703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45703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45703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45703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45703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45703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45703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45703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45703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45703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45703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45703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45703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45703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45703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45703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45703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45703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45703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45703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45703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45703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45703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45703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45703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45703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45703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45703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45703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45703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45703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45703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45703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45703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45703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45703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45703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45703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45703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45703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45703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45703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45703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45703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45703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45703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45703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45703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45703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45703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45703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45703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45703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45703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45703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45703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45703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45703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45703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45703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45703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45703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45703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45703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45703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45703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45703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45703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45703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45703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45703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45703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45703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45703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45703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45703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45703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45703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45703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45703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45703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45703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45703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45703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45703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45703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45703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45703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45703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45703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45703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45703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45703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45703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45703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45703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45703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45703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45703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45703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45703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45703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45703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45703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45703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45703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45703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45703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45703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45703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45703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45703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45703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45703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45703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45703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45703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45703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45703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45703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45703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45703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45703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45703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45703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45703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45703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45703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45703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45703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45703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45703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45703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45703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45703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45703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45703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45703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45703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45703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45703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45703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45703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45703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45703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45703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45703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45703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45703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45703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45703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45703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45703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45703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45703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45703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45703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45703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45703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45703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45703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45703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45703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45703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45703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45703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45703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45703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45703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45703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45703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45703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45703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45703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45703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45703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45703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45703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45703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45703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45703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45703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45703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45703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45703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45703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45703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45703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45703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45703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45703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45703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45703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45703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45703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45703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45703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45703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45703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45703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45703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45703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45703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45703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45703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45703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45703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45703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45703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45703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45703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45703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45703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45703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45703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45703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45703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45703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45703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45703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45703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45703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45703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45703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45703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45703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45703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45703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45703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45703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45703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45703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45703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45703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45703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45703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45703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45703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45703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45703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45703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45703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45703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45703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45703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45703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45703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45703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45703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45703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45703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45703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45703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45703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45703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45703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45703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45703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45703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45703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45703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45703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45703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45703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45703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45703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45703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45703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45703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45703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45703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45703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45703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45703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45703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45703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45703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45703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45703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45703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45703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45703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45703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45703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45703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45703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45703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45703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45703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45703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45703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45703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45703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45703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45703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45703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45703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45703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45703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45703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45703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45703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45703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45703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45703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45703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45703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45703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45703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45703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45703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45703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45703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45703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45703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45703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45703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45703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45703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45703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45703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45703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45703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45703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45703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45703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45703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45703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45703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45703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45703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45703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45703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45703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45703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45703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45703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45703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45703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45703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45703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45703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45703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45703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45703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45703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45703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45703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45703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45703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45703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45703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45703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45703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45703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45703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45703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45703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45703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45703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45703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45703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45703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45703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45703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45703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45703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45703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45703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45703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45703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45703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45703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45703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45703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45703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45703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45703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45703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45703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45703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45703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45703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45703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45703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45703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45703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45703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45703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45703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45703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45703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45703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45703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45703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45703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45703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45703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45703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45703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45703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45703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45703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45703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45703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45703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45703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45703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45703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45703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45703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45703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45703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45703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45703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45703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45703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45703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45703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45703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45703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45703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45703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45703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45703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45703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45703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45703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45703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45703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45703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45703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45703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45703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45703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45703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45703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45703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45703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45703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45703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45703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45703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45703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45703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45703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45703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45703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45703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45703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45703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45703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45703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45703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45703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45703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45703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45703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45703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45703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45703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45703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45703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45703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45703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45703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45703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45703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45703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45703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45703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45703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45703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45703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45703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45703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45703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45703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45703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45703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45703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45703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45703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45703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45703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45703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45703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45703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45703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45703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45703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45703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45703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45703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45703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31193-2024</t>
        </is>
      </c>
      <c r="B653" s="1" t="n">
        <v>45503</v>
      </c>
      <c r="C653" s="1" t="n">
        <v>45703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45703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45703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45703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45703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45703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45703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45703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45703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45703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45703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45703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45703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45703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45703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45703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45703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45703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45703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45703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45703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45703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45703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45703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45703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45703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45703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45703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45703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45703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45703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45703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45703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45703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45703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45703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45703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45703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45703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45703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45703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45703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45703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45703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45703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45703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45703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45703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45703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45703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45703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45703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45703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45703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45703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45703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45703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45703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45703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45703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45703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45703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45703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45703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45703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45703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45703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45703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45703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45703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45703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45703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45703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45703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45703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45703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45703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45703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45703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45703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45703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45703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45703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45703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45703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45703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45703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45703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45703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45703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45703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45703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45703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45703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45703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45703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45703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45703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45703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45703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45703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45703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45703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45703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45703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45703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45703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45703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45703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45703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45703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45703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45703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45703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45703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45703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45703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45703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45703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45703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45703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45703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45703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5541-2025</t>
        </is>
      </c>
      <c r="B776" s="1" t="n">
        <v>45693</v>
      </c>
      <c r="C776" s="1" t="n">
        <v>45703</v>
      </c>
      <c r="D776" t="inlineStr">
        <is>
          <t>VÄSTERBOTTENS LÄN</t>
        </is>
      </c>
      <c r="E776" t="inlineStr">
        <is>
          <t>BJURHOLM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45703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6998-2025</t>
        </is>
      </c>
      <c r="B778" s="1" t="n">
        <v>45701</v>
      </c>
      <c r="C778" s="1" t="n">
        <v>45703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2025-02-15T16:19:28Z</dcterms:created>
  <dcterms:modified xmlns:dcterms="http://purl.org/dc/terms/" xmlns:xsi="http://www.w3.org/2001/XMLSchema-instance" xsi:type="dcterms:W3CDTF">2025-02-15T16:19:29Z</dcterms:modified>
</cp:coreProperties>
</file>