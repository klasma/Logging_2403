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46216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46216</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46216</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46216</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5">
        <f>HYPERLINK("https://klasma.github.io/Logging_2403/artfynd/A 64501-2023 artfynd.xlsx", "A 64501-2023")</f>
        <v/>
      </c>
      <c r="W5">
        <f>HYPERLINK("https://klasma.github.io/Logging_2403/kartor/A 64501-2023 karta.png", "A 64501-2023")</f>
        <v/>
      </c>
      <c r="X5">
        <f>HYPERLINK("https://klasma.github.io/Logging_2403/knärot/A 64501-2023 karta knärot.png", "A 64501-2023")</f>
        <v/>
      </c>
      <c r="Y5">
        <f>HYPERLINK("https://klasma.github.io/Logging_2403/klagomål/A 64501-2023 FSC-klagomål.docx", "A 64501-2023")</f>
        <v/>
      </c>
      <c r="Z5">
        <f>HYPERLINK("https://klasma.github.io/Logging_2403/klagomålsmail/A 64501-2023 FSC-klagomål mail.docx", "A 64501-2023")</f>
        <v/>
      </c>
      <c r="AA5">
        <f>HYPERLINK("https://klasma.github.io/Logging_2403/tillsyn/A 64501-2023 tillsynsbegäran.docx", "A 64501-2023")</f>
        <v/>
      </c>
      <c r="AB5">
        <f>HYPERLINK("https://klasma.github.io/Logging_2403/tillsynsmail/A 64501-2023 tillsynsbegäran mail.docx", "A 64501-2023")</f>
        <v/>
      </c>
      <c r="AC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46216</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6">
        <f>HYPERLINK("https://klasma.github.io/Logging_2403/artfynd/A 31193-2024 artfynd.xlsx", "A 31193-2024")</f>
        <v/>
      </c>
      <c r="W6">
        <f>HYPERLINK("https://klasma.github.io/Logging_2403/kartor/A 31193-2024 karta.png", "A 31193-2024")</f>
        <v/>
      </c>
      <c r="X6">
        <f>HYPERLINK("https://klasma.github.io/Logging_2403/knärot/A 31193-2024 karta knärot.png", "A 31193-2024")</f>
        <v/>
      </c>
      <c r="Y6">
        <f>HYPERLINK("https://klasma.github.io/Logging_2403/klagomål/A 31193-2024 FSC-klagomål.docx", "A 31193-2024")</f>
        <v/>
      </c>
      <c r="Z6">
        <f>HYPERLINK("https://klasma.github.io/Logging_2403/klagomålsmail/A 31193-2024 FSC-klagomål mail.docx", "A 31193-2024")</f>
        <v/>
      </c>
      <c r="AA6">
        <f>HYPERLINK("https://klasma.github.io/Logging_2403/tillsyn/A 31193-2024 tillsynsbegäran.docx", "A 31193-2024")</f>
        <v/>
      </c>
      <c r="AB6">
        <f>HYPERLINK("https://klasma.github.io/Logging_2403/tillsynsmail/A 31193-2024 tillsynsbegäran mail.docx", "A 31193-2024")</f>
        <v/>
      </c>
      <c r="AC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46216</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33355-2024 artfynd.xlsx", "A 33355-2024")</f>
        <v/>
      </c>
      <c r="W7">
        <f>HYPERLINK("https://klasma.github.io/Logging_2403/kartor/A 33355-2024 karta.png", "A 33355-2024")</f>
        <v/>
      </c>
      <c r="X7">
        <f>HYPERLINK("https://klasma.github.io/Logging_2403/knärot/A 33355-2024 karta knärot.png", "A 33355-2024")</f>
        <v/>
      </c>
      <c r="Y7">
        <f>HYPERLINK("https://klasma.github.io/Logging_2403/klagomål/A 33355-2024 FSC-klagomål.docx", "A 33355-2024")</f>
        <v/>
      </c>
      <c r="Z7">
        <f>HYPERLINK("https://klasma.github.io/Logging_2403/klagomålsmail/A 33355-2024 FSC-klagomål mail.docx", "A 33355-2024")</f>
        <v/>
      </c>
      <c r="AA7">
        <f>HYPERLINK("https://klasma.github.io/Logging_2403/tillsyn/A 33355-2024 tillsynsbegäran.docx", "A 33355-2024")</f>
        <v/>
      </c>
      <c r="AB7">
        <f>HYPERLINK("https://klasma.github.io/Logging_2403/tillsynsmail/A 33355-2024 tillsynsbegäran mail.docx", "A 33355-2024")</f>
        <v/>
      </c>
      <c r="AC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46216</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33362-2024 artfynd.xlsx", "A 33362-2024")</f>
        <v/>
      </c>
      <c r="W8">
        <f>HYPERLINK("https://klasma.github.io/Logging_2403/kartor/A 33362-2024 karta.png", "A 33362-2024")</f>
        <v/>
      </c>
      <c r="X8">
        <f>HYPERLINK("https://klasma.github.io/Logging_2403/knärot/A 33362-2024 karta knärot.png", "A 33362-2024")</f>
        <v/>
      </c>
      <c r="Y8">
        <f>HYPERLINK("https://klasma.github.io/Logging_2403/klagomål/A 33362-2024 FSC-klagomål.docx", "A 33362-2024")</f>
        <v/>
      </c>
      <c r="Z8">
        <f>HYPERLINK("https://klasma.github.io/Logging_2403/klagomålsmail/A 33362-2024 FSC-klagomål mail.docx", "A 33362-2024")</f>
        <v/>
      </c>
      <c r="AA8">
        <f>HYPERLINK("https://klasma.github.io/Logging_2403/tillsyn/A 33362-2024 tillsynsbegäran.docx", "A 33362-2024")</f>
        <v/>
      </c>
      <c r="AB8">
        <f>HYPERLINK("https://klasma.github.io/Logging_2403/tillsynsmail/A 33362-2024 tillsynsbegäran mail.docx", "A 33362-2024")</f>
        <v/>
      </c>
      <c r="AC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46216</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46216</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46216</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s="2" t="inlineStr">
        <is>
          <t>Garnlav
Knärot
Dropptaggsvamp
Kolflarnlav
Lunglav
Mörk kolflarnlav
Tallticka
Tretåig hackspett
Vedskivlav
Violettgrå tagellav
Bårdlav
Dvärgtufs
Luddlav
Plattlummer
Skinnlav
Stor aspticka
Stuplav</t>
        </is>
      </c>
      <c r="V11">
        <f>HYPERLINK("https://klasma.github.io/Logging_2403/artfynd/A 30467-2025 artfynd.xlsx", "A 30467-2025")</f>
        <v/>
      </c>
      <c r="W11">
        <f>HYPERLINK("https://klasma.github.io/Logging_2403/kartor/A 30467-2025 karta.png", "A 30467-2025")</f>
        <v/>
      </c>
      <c r="X11">
        <f>HYPERLINK("https://klasma.github.io/Logging_2403/knärot/A 30467-2025 karta knärot.png", "A 30467-2025")</f>
        <v/>
      </c>
      <c r="Y11">
        <f>HYPERLINK("https://klasma.github.io/Logging_2403/klagomål/A 30467-2025 FSC-klagomål.docx", "A 30467-2025")</f>
        <v/>
      </c>
      <c r="Z11">
        <f>HYPERLINK("https://klasma.github.io/Logging_2403/klagomålsmail/A 30467-2025 FSC-klagomål mail.docx", "A 30467-2025")</f>
        <v/>
      </c>
      <c r="AA11">
        <f>HYPERLINK("https://klasma.github.io/Logging_2403/tillsyn/A 30467-2025 tillsynsbegäran.docx", "A 30467-2025")</f>
        <v/>
      </c>
      <c r="AB11">
        <f>HYPERLINK("https://klasma.github.io/Logging_2403/tillsynsmail/A 30467-2025 tillsynsbegäran mail.docx", "A 30467-2025")</f>
        <v/>
      </c>
      <c r="AC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46216</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s="2" t="inlineStr">
        <is>
          <t>Fläckporing
Garnlav
Knärot
Barkporlav
Dropptaggsvamp
Kolflarnlav
Kortskaftad ärgspik
Lunglav
Mörk kolflarnlav
Skrovellav
Talltita
Tretåig hackspett
Vedskivlav
Skinnlav
Stuplav
Spillkråka
Fläcknycklar</t>
        </is>
      </c>
      <c r="V12">
        <f>HYPERLINK("https://klasma.github.io/Logging_2403/artfynd/A 57334-2022 artfynd.xlsx", "A 57334-2022")</f>
        <v/>
      </c>
      <c r="W12">
        <f>HYPERLINK("https://klasma.github.io/Logging_2403/kartor/A 57334-2022 karta.png", "A 57334-2022")</f>
        <v/>
      </c>
      <c r="X12">
        <f>HYPERLINK("https://klasma.github.io/Logging_2403/knärot/A 57334-2022 karta knärot.png", "A 57334-2022")</f>
        <v/>
      </c>
      <c r="Y12">
        <f>HYPERLINK("https://klasma.github.io/Logging_2403/klagomål/A 57334-2022 FSC-klagomål.docx", "A 57334-2022")</f>
        <v/>
      </c>
      <c r="Z12">
        <f>HYPERLINK("https://klasma.github.io/Logging_2403/klagomålsmail/A 57334-2022 FSC-klagomål mail.docx", "A 57334-2022")</f>
        <v/>
      </c>
      <c r="AA12">
        <f>HYPERLINK("https://klasma.github.io/Logging_2403/tillsyn/A 57334-2022 tillsynsbegäran.docx", "A 57334-2022")</f>
        <v/>
      </c>
      <c r="AB12">
        <f>HYPERLINK("https://klasma.github.io/Logging_2403/tillsynsmail/A 57334-2022 tillsynsbegäran mail.docx", "A 57334-2022")</f>
        <v/>
      </c>
      <c r="AC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46216</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s="2" t="inlineStr">
        <is>
          <t>Garnlav
Goliatmusseron
Skrovlig taggsvamp
Tallgråticka
Blå taggsvamp
Dropptaggsvamp
Kolflarnlav
Kortskaftad ärgspik
Orange taggsvamp
Svart taggsvamp
Vaddporing
Vedskivlav</t>
        </is>
      </c>
      <c r="V13">
        <f>HYPERLINK("https://klasma.github.io/Logging_2403/artfynd/A 20608-2023 artfynd.xlsx", "A 20608-2023")</f>
        <v/>
      </c>
      <c r="W13">
        <f>HYPERLINK("https://klasma.github.io/Logging_2403/kartor/A 20608-2023 karta.png", "A 20608-2023")</f>
        <v/>
      </c>
      <c r="Y13">
        <f>HYPERLINK("https://klasma.github.io/Logging_2403/klagomål/A 20608-2023 FSC-klagomål.docx", "A 20608-2023")</f>
        <v/>
      </c>
      <c r="Z13">
        <f>HYPERLINK("https://klasma.github.io/Logging_2403/klagomålsmail/A 20608-2023 FSC-klagomål mail.docx", "A 20608-2023")</f>
        <v/>
      </c>
      <c r="AA13">
        <f>HYPERLINK("https://klasma.github.io/Logging_2403/tillsyn/A 20608-2023 tillsynsbegäran.docx", "A 20608-2023")</f>
        <v/>
      </c>
      <c r="AB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46216</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Y14">
        <f>HYPERLINK("https://klasma.github.io/Logging_2403/klagomål/A 22677-2024 FSC-klagomål.docx", "A 22677-2024")</f>
        <v/>
      </c>
      <c r="Z14">
        <f>HYPERLINK("https://klasma.github.io/Logging_2403/klagomålsmail/A 22677-2024 FSC-klagomål mail.docx", "A 22677-2024")</f>
        <v/>
      </c>
      <c r="AA14">
        <f>HYPERLINK("https://klasma.github.io/Logging_2403/tillsyn/A 22677-2024 tillsynsbegäran.docx", "A 22677-2024")</f>
        <v/>
      </c>
      <c r="AB14">
        <f>HYPERLINK("https://klasma.github.io/Logging_2403/tillsynsmail/A 22677-2024 tillsynsbegäran mail.docx", "A 22677-2024")</f>
        <v/>
      </c>
      <c r="AC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46216</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s="2" t="inlineStr">
        <is>
          <t>Garnlav
Knärot
Lunglav
Ullticka
Violettgrå tagellav
Stuplav
Vedticka
Spillkråka
Tjäder
Fläcknycklar
Nattviol</t>
        </is>
      </c>
      <c r="V15">
        <f>HYPERLINK("https://klasma.github.io/Logging_2403/artfynd/A 14646-2025 artfynd.xlsx", "A 14646-2025")</f>
        <v/>
      </c>
      <c r="W15">
        <f>HYPERLINK("https://klasma.github.io/Logging_2403/kartor/A 14646-2025 karta.png", "A 14646-2025")</f>
        <v/>
      </c>
      <c r="X15">
        <f>HYPERLINK("https://klasma.github.io/Logging_2403/knärot/A 14646-2025 karta knärot.png", "A 14646-2025")</f>
        <v/>
      </c>
      <c r="Y15">
        <f>HYPERLINK("https://klasma.github.io/Logging_2403/klagomål/A 14646-2025 FSC-klagomål.docx", "A 14646-2025")</f>
        <v/>
      </c>
      <c r="Z15">
        <f>HYPERLINK("https://klasma.github.io/Logging_2403/klagomålsmail/A 14646-2025 FSC-klagomål mail.docx", "A 14646-2025")</f>
        <v/>
      </c>
      <c r="AA15">
        <f>HYPERLINK("https://klasma.github.io/Logging_2403/tillsyn/A 14646-2025 tillsynsbegäran.docx", "A 14646-2025")</f>
        <v/>
      </c>
      <c r="AB15">
        <f>HYPERLINK("https://klasma.github.io/Logging_2403/tillsynsmail/A 14646-2025 tillsynsbegäran mail.docx", "A 14646-2025")</f>
        <v/>
      </c>
      <c r="AC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46216</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s="2" t="inlineStr">
        <is>
          <t>Garnlav
Gammelgransskål
Lavskrika
Lunglav
Talltita
Tretåig hackspett
Ullticka
Bårdlav
Skör kvastmossa
Stuplav
Spillkråka</t>
        </is>
      </c>
      <c r="V16">
        <f>HYPERLINK("https://klasma.github.io/Logging_2403/artfynd/A 51874-2024 artfynd.xlsx", "A 51874-2024")</f>
        <v/>
      </c>
      <c r="W16">
        <f>HYPERLINK("https://klasma.github.io/Logging_2403/kartor/A 51874-2024 karta.png", "A 51874-2024")</f>
        <v/>
      </c>
      <c r="Y16">
        <f>HYPERLINK("https://klasma.github.io/Logging_2403/klagomål/A 51874-2024 FSC-klagomål.docx", "A 51874-2024")</f>
        <v/>
      </c>
      <c r="Z16">
        <f>HYPERLINK("https://klasma.github.io/Logging_2403/klagomålsmail/A 51874-2024 FSC-klagomål mail.docx", "A 51874-2024")</f>
        <v/>
      </c>
      <c r="AA16">
        <f>HYPERLINK("https://klasma.github.io/Logging_2403/tillsyn/A 51874-2024 tillsynsbegäran.docx", "A 51874-2024")</f>
        <v/>
      </c>
      <c r="AB16">
        <f>HYPERLINK("https://klasma.github.io/Logging_2403/tillsynsmail/A 51874-2024 tillsynsbegäran mail.docx", "A 51874-2024")</f>
        <v/>
      </c>
      <c r="AC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46216</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s="2" t="inlineStr">
        <is>
          <t>Garnlav
Knärot
Rödvingetrast
Stiftgelélav
Talltita
Ullticka
Skinnlav
Stor aspticka
Vedticka
Kungsfågel</t>
        </is>
      </c>
      <c r="V17">
        <f>HYPERLINK("https://klasma.github.io/Logging_2403/artfynd/A 13605-2022 artfynd.xlsx", "A 13605-2022")</f>
        <v/>
      </c>
      <c r="W17">
        <f>HYPERLINK("https://klasma.github.io/Logging_2403/kartor/A 13605-2022 karta.png", "A 13605-2022")</f>
        <v/>
      </c>
      <c r="X17">
        <f>HYPERLINK("https://klasma.github.io/Logging_2403/knärot/A 13605-2022 karta knärot.png", "A 13605-2022")</f>
        <v/>
      </c>
      <c r="Y17">
        <f>HYPERLINK("https://klasma.github.io/Logging_2403/klagomål/A 13605-2022 FSC-klagomål.docx", "A 13605-2022")</f>
        <v/>
      </c>
      <c r="Z17">
        <f>HYPERLINK("https://klasma.github.io/Logging_2403/klagomålsmail/A 13605-2022 FSC-klagomål mail.docx", "A 13605-2022")</f>
        <v/>
      </c>
      <c r="AA17">
        <f>HYPERLINK("https://klasma.github.io/Logging_2403/tillsyn/A 13605-2022 tillsynsbegäran.docx", "A 13605-2022")</f>
        <v/>
      </c>
      <c r="AB17">
        <f>HYPERLINK("https://klasma.github.io/Logging_2403/tillsynsmail/A 13605-2022 tillsynsbegäran mail.docx", "A 13605-2022")</f>
        <v/>
      </c>
      <c r="AC17">
        <f>HYPERLINK("https://klasma.github.io/Logging_2403/fåglar/A 13605-2022 prioriterade fågelarter.docx", "A 13605-2022")</f>
        <v/>
      </c>
    </row>
    <row r="18" ht="15" customHeight="1">
      <c r="A18" t="inlineStr">
        <is>
          <t>A 24124-2024</t>
        </is>
      </c>
      <c r="B18" t="inlineStr">
        <is>
          <t>avverkningsanmälan</t>
        </is>
      </c>
      <c r="C18" t="inlineStr">
        <is>
          <t>Föryngringsavverkning</t>
        </is>
      </c>
      <c r="D18" s="1" t="n">
        <v>45456</v>
      </c>
      <c r="E18" s="1" t="n">
        <v>46216</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s="2" t="inlineStr">
        <is>
          <t>Garnlav
Lunglav
Rynkskinn
Ullticka
Bollvitmossa
Skinnlav
Spindelblomster
Stuplav
Järpe
Fläcknycklar</t>
        </is>
      </c>
      <c r="V18">
        <f>HYPERLINK("https://klasma.github.io/Logging_2403/artfynd/A 24124-2024 artfynd.xlsx", "A 24124-2024")</f>
        <v/>
      </c>
      <c r="W18">
        <f>HYPERLINK("https://klasma.github.io/Logging_2403/kartor/A 24124-2024 karta.png", "A 24124-2024")</f>
        <v/>
      </c>
      <c r="Y18">
        <f>HYPERLINK("https://klasma.github.io/Logging_2403/klagomål/A 24124-2024 FSC-klagomål.docx", "A 24124-2024")</f>
        <v/>
      </c>
      <c r="Z18">
        <f>HYPERLINK("https://klasma.github.io/Logging_2403/klagomålsmail/A 24124-2024 FSC-klagomål mail.docx", "A 24124-2024")</f>
        <v/>
      </c>
      <c r="AA18">
        <f>HYPERLINK("https://klasma.github.io/Logging_2403/tillsyn/A 24124-2024 tillsynsbegäran.docx", "A 24124-2024")</f>
        <v/>
      </c>
      <c r="AB18">
        <f>HYPERLINK("https://klasma.github.io/Logging_2403/tillsynsmail/A 24124-2024 tillsynsbegäran mail.docx", "A 24124-2024")</f>
        <v/>
      </c>
      <c r="AC18">
        <f>HYPERLINK("https://klasma.github.io/Logging_2403/fåglar/A 24124-2024 prioriterade fågelarter.docx", "A 24124-2024")</f>
        <v/>
      </c>
    </row>
    <row r="19" ht="15" customHeight="1">
      <c r="A19" t="inlineStr">
        <is>
          <t>A 14108-2023</t>
        </is>
      </c>
      <c r="B19" t="inlineStr">
        <is>
          <t>avverkningsanmälan</t>
        </is>
      </c>
      <c r="C19" t="inlineStr">
        <is>
          <t>Föryngringsavverkning</t>
        </is>
      </c>
      <c r="D19" s="1" t="n">
        <v>45009</v>
      </c>
      <c r="E19" s="1" t="n">
        <v>46216</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s="2" t="inlineStr">
        <is>
          <t>Garnlav
Knärot
Rosenticka
Rynkskinn
Ullticka
Bronshjon
Mörk husmossa
Skogshakmossa
Vedticka
Spillkråka</t>
        </is>
      </c>
      <c r="V19">
        <f>HYPERLINK("https://klasma.github.io/Logging_2403/artfynd/A 14108-2023 artfynd.xlsx", "A 14108-2023")</f>
        <v/>
      </c>
      <c r="W19">
        <f>HYPERLINK("https://klasma.github.io/Logging_2403/kartor/A 14108-2023 karta.png", "A 14108-2023")</f>
        <v/>
      </c>
      <c r="X19">
        <f>HYPERLINK("https://klasma.github.io/Logging_2403/knärot/A 14108-2023 karta knärot.png", "A 14108-2023")</f>
        <v/>
      </c>
      <c r="Y19">
        <f>HYPERLINK("https://klasma.github.io/Logging_2403/klagomål/A 14108-2023 FSC-klagomål.docx", "A 14108-2023")</f>
        <v/>
      </c>
      <c r="Z19">
        <f>HYPERLINK("https://klasma.github.io/Logging_2403/klagomålsmail/A 14108-2023 FSC-klagomål mail.docx", "A 14108-2023")</f>
        <v/>
      </c>
      <c r="AA19">
        <f>HYPERLINK("https://klasma.github.io/Logging_2403/tillsyn/A 14108-2023 tillsynsbegäran.docx", "A 14108-2023")</f>
        <v/>
      </c>
      <c r="AB19">
        <f>HYPERLINK("https://klasma.github.io/Logging_2403/tillsynsmail/A 14108-2023 tillsynsbegäran mail.docx", "A 14108-2023")</f>
        <v/>
      </c>
      <c r="AC19">
        <f>HYPERLINK("https://klasma.github.io/Logging_2403/fåglar/A 14108-2023 prioriterade fågelarter.docx", "A 14108-2023")</f>
        <v/>
      </c>
    </row>
    <row r="20" ht="15" customHeight="1">
      <c r="A20" t="inlineStr">
        <is>
          <t>A 18951-2023</t>
        </is>
      </c>
      <c r="B20" t="inlineStr">
        <is>
          <t>avverkningsanmälan</t>
        </is>
      </c>
      <c r="C20" t="inlineStr">
        <is>
          <t>Föryngringsavverkning</t>
        </is>
      </c>
      <c r="D20" s="1" t="n">
        <v>45043</v>
      </c>
      <c r="E20" s="1" t="n">
        <v>46216</v>
      </c>
      <c r="F20" t="inlineStr">
        <is>
          <t>VÄSTERBOTTENS LÄN</t>
        </is>
      </c>
      <c r="G20" t="inlineStr">
        <is>
          <t>BJURHOLM</t>
        </is>
      </c>
      <c r="I20" t="n">
        <v>0.7</v>
      </c>
      <c r="J20" t="n">
        <v>0</v>
      </c>
      <c r="K20" t="n">
        <v>3</v>
      </c>
      <c r="L20" t="n">
        <v>3</v>
      </c>
      <c r="M20" t="n">
        <v>0</v>
      </c>
      <c r="N20" t="n">
        <v>0</v>
      </c>
      <c r="O20" t="n">
        <v>0</v>
      </c>
      <c r="P20" t="n">
        <v>0</v>
      </c>
      <c r="Q20" t="n">
        <v>3</v>
      </c>
      <c r="R20" t="n">
        <v>0</v>
      </c>
      <c r="S20" t="n">
        <v>6</v>
      </c>
      <c r="T20" t="n">
        <v>6</v>
      </c>
      <c r="U20" s="2" t="inlineStr">
        <is>
          <t>Lunglav
Småflikig brosklav
Violettgrå tagellav
Skinnlav
Stuplav
Vedticka</t>
        </is>
      </c>
      <c r="V20">
        <f>HYPERLINK("https://klasma.github.io/Logging_2403/artfynd/A 18951-2023 artfynd.xlsx", "A 18951-2023")</f>
        <v/>
      </c>
      <c r="W20">
        <f>HYPERLINK("https://klasma.github.io/Logging_2403/kartor/A 18951-2023 karta.png", "A 18951-2023")</f>
        <v/>
      </c>
      <c r="Y20">
        <f>HYPERLINK("https://klasma.github.io/Logging_2403/klagomål/A 18951-2023 FSC-klagomål.docx", "A 18951-2023")</f>
        <v/>
      </c>
      <c r="Z20">
        <f>HYPERLINK("https://klasma.github.io/Logging_2403/klagomålsmail/A 18951-2023 FSC-klagomål mail.docx", "A 18951-2023")</f>
        <v/>
      </c>
      <c r="AA20">
        <f>HYPERLINK("https://klasma.github.io/Logging_2403/tillsyn/A 18951-2023 tillsynsbegäran.docx", "A 18951-2023")</f>
        <v/>
      </c>
      <c r="AB20">
        <f>HYPERLINK("https://klasma.github.io/Logging_2403/tillsynsmail/A 18951-2023 tillsynsbegäran mail.docx", "A 18951-2023")</f>
        <v/>
      </c>
    </row>
    <row r="21" ht="15" customHeight="1">
      <c r="A21" t="inlineStr">
        <is>
          <t>A 38585-2025</t>
        </is>
      </c>
      <c r="B21" t="inlineStr">
        <is>
          <t>avverkningsanmälan</t>
        </is>
      </c>
      <c r="C21" t="inlineStr">
        <is>
          <t>Föryngringsavverkning</t>
        </is>
      </c>
      <c r="D21" s="1" t="n">
        <v>45884</v>
      </c>
      <c r="E21" s="1" t="n">
        <v>46216</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s="2" t="inlineStr">
        <is>
          <t>Garnlav
Dvärgbägarlav
Mörk kolflarnlav
Talltita
Tretåig hackspett
Huggorm</t>
        </is>
      </c>
      <c r="V21">
        <f>HYPERLINK("https://klasma.github.io/Logging_2403/artfynd/A 38585-2025 artfynd.xlsx", "A 38585-2025")</f>
        <v/>
      </c>
      <c r="W21">
        <f>HYPERLINK("https://klasma.github.io/Logging_2403/kartor/A 38585-2025 karta.png", "A 38585-2025")</f>
        <v/>
      </c>
      <c r="Y21">
        <f>HYPERLINK("https://klasma.github.io/Logging_2403/klagomål/A 38585-2025 FSC-klagomål.docx", "A 38585-2025")</f>
        <v/>
      </c>
      <c r="Z21">
        <f>HYPERLINK("https://klasma.github.io/Logging_2403/klagomålsmail/A 38585-2025 FSC-klagomål mail.docx", "A 38585-2025")</f>
        <v/>
      </c>
      <c r="AA21">
        <f>HYPERLINK("https://klasma.github.io/Logging_2403/tillsyn/A 38585-2025 tillsynsbegäran.docx", "A 38585-2025")</f>
        <v/>
      </c>
      <c r="AB21">
        <f>HYPERLINK("https://klasma.github.io/Logging_2403/tillsynsmail/A 38585-2025 tillsynsbegäran mail.docx", "A 38585-2025")</f>
        <v/>
      </c>
      <c r="AC21">
        <f>HYPERLINK("https://klasma.github.io/Logging_2403/fåglar/A 38585-2025 prioriterade fågelarter.docx", "A 38585-2025")</f>
        <v/>
      </c>
    </row>
    <row r="22" ht="15" customHeight="1">
      <c r="A22" t="inlineStr">
        <is>
          <t>S 5069-2024</t>
        </is>
      </c>
      <c r="B22" t="inlineStr">
        <is>
          <t>samrådsanmälan</t>
        </is>
      </c>
      <c r="C22" t="inlineStr">
        <is>
          <t>Annan skogsbruksåtgärd</t>
        </is>
      </c>
      <c r="D22" s="1" t="n">
        <v>45638</v>
      </c>
      <c r="E22" s="1" t="n">
        <v>46216</v>
      </c>
      <c r="F22" t="inlineStr">
        <is>
          <t>VÄSTERBOTTENS LÄN</t>
        </is>
      </c>
      <c r="G22" t="inlineStr">
        <is>
          <t>BJURHOLM</t>
        </is>
      </c>
      <c r="H22" t="inlineStr">
        <is>
          <t>SCA</t>
        </is>
      </c>
      <c r="I22" t="n">
        <v>10</v>
      </c>
      <c r="J22" t="n">
        <v>0</v>
      </c>
      <c r="K22" t="n">
        <v>2</v>
      </c>
      <c r="L22" t="n">
        <v>3</v>
      </c>
      <c r="M22" t="n">
        <v>1</v>
      </c>
      <c r="N22" t="n">
        <v>0</v>
      </c>
      <c r="O22" t="n">
        <v>0</v>
      </c>
      <c r="P22" t="n">
        <v>0</v>
      </c>
      <c r="Q22" t="n">
        <v>4</v>
      </c>
      <c r="R22" t="n">
        <v>1</v>
      </c>
      <c r="S22" t="n">
        <v>6</v>
      </c>
      <c r="T22" t="n">
        <v>10</v>
      </c>
      <c r="U22" s="2" t="inlineStr">
        <is>
          <t>Gräddporing
Lunglav
Skrovellav
Tallticka
Bårdlav
Stuplav</t>
        </is>
      </c>
      <c r="V22">
        <f>HYPERLINK("https://klasma.github.io/Logging_2403/artfynd/S 5069-2024 artfynd.xlsx", "S 5069-2024")</f>
        <v/>
      </c>
      <c r="W22">
        <f>HYPERLINK("https://klasma.github.io/Logging_2403/kartor/S 5069-2024 karta.png", "S 5069-2024")</f>
        <v/>
      </c>
      <c r="Y22">
        <f>HYPERLINK("https://klasma.github.io/Logging_2403/klagomål/S 5069-2024 FSC-klagomål.docx", "S 5069-2024")</f>
        <v/>
      </c>
      <c r="Z22">
        <f>HYPERLINK("https://klasma.github.io/Logging_2403/klagomålsmail/S 5069-2024 FSC-klagomål mail.docx", "S 5069-2024")</f>
        <v/>
      </c>
      <c r="AA22">
        <f>HYPERLINK("https://klasma.github.io/Logging_2403/tillsyn/S 5069-2024 tillsynsbegäran.docx", "S 5069-2024")</f>
        <v/>
      </c>
      <c r="AB22">
        <f>HYPERLINK("https://klasma.github.io/Logging_2403/tillsynsmail/S 5069-2024 tillsynsbegäran mail.docx", "S 5069-2024")</f>
        <v/>
      </c>
    </row>
    <row r="23" ht="15" customHeight="1">
      <c r="A23" t="inlineStr">
        <is>
          <t>A 19644-2022</t>
        </is>
      </c>
      <c r="B23" t="inlineStr">
        <is>
          <t>avverkningsanmälan</t>
        </is>
      </c>
      <c r="C23" t="inlineStr">
        <is>
          <t>Föryngringsavverkning</t>
        </is>
      </c>
      <c r="D23" s="1" t="n">
        <v>44694</v>
      </c>
      <c r="E23" s="1" t="n">
        <v>46216</v>
      </c>
      <c r="F23" t="inlineStr">
        <is>
          <t>VÄSTERBOTTENS LÄN</t>
        </is>
      </c>
      <c r="G23" t="inlineStr">
        <is>
          <t>BJURHOLM</t>
        </is>
      </c>
      <c r="H23" t="inlineStr">
        <is>
          <t>Kyrkan</t>
        </is>
      </c>
      <c r="I23" t="n">
        <v>3.1</v>
      </c>
      <c r="J23" t="n">
        <v>2</v>
      </c>
      <c r="K23" t="n">
        <v>2</v>
      </c>
      <c r="L23" t="n">
        <v>2</v>
      </c>
      <c r="M23" t="n">
        <v>0</v>
      </c>
      <c r="N23" t="n">
        <v>0</v>
      </c>
      <c r="O23" t="n">
        <v>0</v>
      </c>
      <c r="P23" t="n">
        <v>0</v>
      </c>
      <c r="Q23" t="n">
        <v>2</v>
      </c>
      <c r="R23" t="n">
        <v>0</v>
      </c>
      <c r="S23" t="n">
        <v>5</v>
      </c>
      <c r="T23" t="n">
        <v>8</v>
      </c>
      <c r="U23" s="2" t="inlineStr">
        <is>
          <t>Talltita
Ullticka
Skinnlav
Vedticka
Revlummer</t>
        </is>
      </c>
      <c r="V23">
        <f>HYPERLINK("https://klasma.github.io/Logging_2403/artfynd/A 19644-2022 artfynd.xlsx", "A 19644-2022")</f>
        <v/>
      </c>
      <c r="W23">
        <f>HYPERLINK("https://klasma.github.io/Logging_2403/kartor/A 19644-2022 karta.png", "A 19644-2022")</f>
        <v/>
      </c>
      <c r="Y23">
        <f>HYPERLINK("https://klasma.github.io/Logging_2403/klagomål/A 19644-2022 FSC-klagomål.docx", "A 19644-2022")</f>
        <v/>
      </c>
      <c r="Z23">
        <f>HYPERLINK("https://klasma.github.io/Logging_2403/klagomålsmail/A 19644-2022 FSC-klagomål mail.docx", "A 19644-2022")</f>
        <v/>
      </c>
      <c r="AA23">
        <f>HYPERLINK("https://klasma.github.io/Logging_2403/tillsyn/A 19644-2022 tillsynsbegäran.docx", "A 19644-2022")</f>
        <v/>
      </c>
      <c r="AB23">
        <f>HYPERLINK("https://klasma.github.io/Logging_2403/tillsynsmail/A 19644-2022 tillsynsbegäran mail.docx", "A 19644-2022")</f>
        <v/>
      </c>
      <c r="AC23">
        <f>HYPERLINK("https://klasma.github.io/Logging_2403/fåglar/A 19644-2022 prioriterade fågelarter.docx", "A 19644-2022")</f>
        <v/>
      </c>
    </row>
    <row r="24" ht="15" customHeight="1">
      <c r="A24" t="inlineStr">
        <is>
          <t>A 55009-2022</t>
        </is>
      </c>
      <c r="B24" t="inlineStr">
        <is>
          <t>avverkningsanmälan</t>
        </is>
      </c>
      <c r="C24" t="inlineStr">
        <is>
          <t>Föryngringsavverkning</t>
        </is>
      </c>
      <c r="D24" s="1" t="n">
        <v>44881</v>
      </c>
      <c r="E24" s="1" t="n">
        <v>46216</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s="2" t="inlineStr">
        <is>
          <t>Lunglav
Mörk kolflarnlav
Skinnlav
Stuplav
Vedticka</t>
        </is>
      </c>
      <c r="V24">
        <f>HYPERLINK("https://klasma.github.io/Logging_2403/artfynd/A 55009-2022 artfynd.xlsx", "A 55009-2022")</f>
        <v/>
      </c>
      <c r="W24">
        <f>HYPERLINK("https://klasma.github.io/Logging_2403/kartor/A 55009-2022 karta.png", "A 55009-2022")</f>
        <v/>
      </c>
      <c r="Y24">
        <f>HYPERLINK("https://klasma.github.io/Logging_2403/klagomål/A 55009-2022 FSC-klagomål.docx", "A 55009-2022")</f>
        <v/>
      </c>
      <c r="Z24">
        <f>HYPERLINK("https://klasma.github.io/Logging_2403/klagomålsmail/A 55009-2022 FSC-klagomål mail.docx", "A 55009-2022")</f>
        <v/>
      </c>
      <c r="AA24">
        <f>HYPERLINK("https://klasma.github.io/Logging_2403/tillsyn/A 55009-2022 tillsynsbegäran.docx", "A 55009-2022")</f>
        <v/>
      </c>
      <c r="AB24">
        <f>HYPERLINK("https://klasma.github.io/Logging_2403/tillsynsmail/A 55009-2022 tillsynsbegäran mail.docx", "A 55009-2022")</f>
        <v/>
      </c>
    </row>
    <row r="25" ht="15" customHeight="1">
      <c r="A25" t="inlineStr">
        <is>
          <t>A 61089-2025</t>
        </is>
      </c>
      <c r="B25" t="inlineStr">
        <is>
          <t>avverkningsanmälan</t>
        </is>
      </c>
      <c r="C25" t="inlineStr">
        <is>
          <t>Föryngringsavverkning</t>
        </is>
      </c>
      <c r="D25" s="1" t="n">
        <v>46000</v>
      </c>
      <c r="E25" s="1" t="n">
        <v>46216</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s="2" t="inlineStr">
        <is>
          <t>Mörk kolflarnlav
Talltita
Vedskivlav
Tjäder</t>
        </is>
      </c>
      <c r="V25">
        <f>HYPERLINK("https://klasma.github.io/Logging_2403/artfynd/A 61089-2025 artfynd.xlsx", "A 61089-2025")</f>
        <v/>
      </c>
      <c r="W25">
        <f>HYPERLINK("https://klasma.github.io/Logging_2403/kartor/A 61089-2025 karta.png", "A 61089-2025")</f>
        <v/>
      </c>
      <c r="Y25">
        <f>HYPERLINK("https://klasma.github.io/Logging_2403/klagomål/A 61089-2025 FSC-klagomål.docx", "A 61089-2025")</f>
        <v/>
      </c>
      <c r="Z25">
        <f>HYPERLINK("https://klasma.github.io/Logging_2403/klagomålsmail/A 61089-2025 FSC-klagomål mail.docx", "A 61089-2025")</f>
        <v/>
      </c>
      <c r="AA25">
        <f>HYPERLINK("https://klasma.github.io/Logging_2403/tillsyn/A 61089-2025 tillsynsbegäran.docx", "A 61089-2025")</f>
        <v/>
      </c>
      <c r="AB25">
        <f>HYPERLINK("https://klasma.github.io/Logging_2403/tillsynsmail/A 61089-2025 tillsynsbegäran mail.docx", "A 61089-2025")</f>
        <v/>
      </c>
      <c r="AC25">
        <f>HYPERLINK("https://klasma.github.io/Logging_2403/fåglar/A 61089-2025 prioriterade fågelarter.docx", "A 61089-2025")</f>
        <v/>
      </c>
    </row>
    <row r="26" ht="15" customHeight="1">
      <c r="A26" t="inlineStr">
        <is>
          <t>A 14407-2024</t>
        </is>
      </c>
      <c r="B26" t="inlineStr">
        <is>
          <t>avverkningsanmälan</t>
        </is>
      </c>
      <c r="C26" t="inlineStr">
        <is>
          <t>Föryngringsavverkning</t>
        </is>
      </c>
      <c r="D26" s="1" t="n">
        <v>45394</v>
      </c>
      <c r="E26" s="1" t="n">
        <v>46216</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s="2" t="inlineStr">
        <is>
          <t>Garnlav
Järnsparv
Torta
Fläcknycklar</t>
        </is>
      </c>
      <c r="V26">
        <f>HYPERLINK("https://klasma.github.io/Logging_2403/artfynd/A 14407-2024 artfynd.xlsx", "A 14407-2024")</f>
        <v/>
      </c>
      <c r="W26">
        <f>HYPERLINK("https://klasma.github.io/Logging_2403/kartor/A 14407-2024 karta.png", "A 14407-2024")</f>
        <v/>
      </c>
      <c r="Y26">
        <f>HYPERLINK("https://klasma.github.io/Logging_2403/klagomål/A 14407-2024 FSC-klagomål.docx", "A 14407-2024")</f>
        <v/>
      </c>
      <c r="Z26">
        <f>HYPERLINK("https://klasma.github.io/Logging_2403/klagomålsmail/A 14407-2024 FSC-klagomål mail.docx", "A 14407-2024")</f>
        <v/>
      </c>
      <c r="AA26">
        <f>HYPERLINK("https://klasma.github.io/Logging_2403/tillsyn/A 14407-2024 tillsynsbegäran.docx", "A 14407-2024")</f>
        <v/>
      </c>
      <c r="AB26">
        <f>HYPERLINK("https://klasma.github.io/Logging_2403/tillsynsmail/A 14407-2024 tillsynsbegäran mail.docx", "A 14407-2024")</f>
        <v/>
      </c>
      <c r="AC26">
        <f>HYPERLINK("https://klasma.github.io/Logging_2403/fåglar/A 14407-2024 prioriterade fågelarter.docx", "A 14407-2024")</f>
        <v/>
      </c>
    </row>
    <row r="27" ht="15" customHeight="1">
      <c r="A27" t="inlineStr">
        <is>
          <t>A 4365-2022</t>
        </is>
      </c>
      <c r="B27" t="inlineStr">
        <is>
          <t>avverkningsanmälan</t>
        </is>
      </c>
      <c r="C27" t="inlineStr">
        <is>
          <t>Föryngringsavverkning</t>
        </is>
      </c>
      <c r="D27" s="1" t="n">
        <v>44588</v>
      </c>
      <c r="E27" s="1" t="n">
        <v>46216</v>
      </c>
      <c r="F27" t="inlineStr">
        <is>
          <t>VÄSTERBOTTENS LÄN</t>
        </is>
      </c>
      <c r="G27" t="inlineStr">
        <is>
          <t>BJURHOLM</t>
        </is>
      </c>
      <c r="I27" t="n">
        <v>14</v>
      </c>
      <c r="J27" t="n">
        <v>1</v>
      </c>
      <c r="K27" t="n">
        <v>0</v>
      </c>
      <c r="L27" t="n">
        <v>2</v>
      </c>
      <c r="M27" t="n">
        <v>1</v>
      </c>
      <c r="N27" t="n">
        <v>0</v>
      </c>
      <c r="O27" t="n">
        <v>0</v>
      </c>
      <c r="P27" t="n">
        <v>0</v>
      </c>
      <c r="Q27" t="n">
        <v>3</v>
      </c>
      <c r="R27" t="n">
        <v>1</v>
      </c>
      <c r="S27" t="n">
        <v>4</v>
      </c>
      <c r="T27" t="n">
        <v>9</v>
      </c>
      <c r="U27" s="2" t="inlineStr">
        <is>
          <t>Garnlav
Rynkskinn
Ullticka
Spillkråka</t>
        </is>
      </c>
      <c r="V27">
        <f>HYPERLINK("https://klasma.github.io/Logging_2403/artfynd/A 4365-2022 artfynd.xlsx", "A 4365-2022")</f>
        <v/>
      </c>
      <c r="W27">
        <f>HYPERLINK("https://klasma.github.io/Logging_2403/kartor/A 4365-2022 karta.png", "A 4365-2022")</f>
        <v/>
      </c>
      <c r="Y27">
        <f>HYPERLINK("https://klasma.github.io/Logging_2403/klagomål/A 4365-2022 FSC-klagomål.docx", "A 4365-2022")</f>
        <v/>
      </c>
      <c r="Z27">
        <f>HYPERLINK("https://klasma.github.io/Logging_2403/klagomålsmail/A 4365-2022 FSC-klagomål mail.docx", "A 4365-2022")</f>
        <v/>
      </c>
      <c r="AA27">
        <f>HYPERLINK("https://klasma.github.io/Logging_2403/tillsyn/A 4365-2022 tillsynsbegäran.docx", "A 4365-2022")</f>
        <v/>
      </c>
      <c r="AB27">
        <f>HYPERLINK("https://klasma.github.io/Logging_2403/tillsynsmail/A 4365-2022 tillsynsbegäran mail.docx", "A 4365-2022")</f>
        <v/>
      </c>
      <c r="AC27">
        <f>HYPERLINK("https://klasma.github.io/Logging_2403/fåglar/A 4365-2022 prioriterade fågelarter.docx", "A 4365-2022")</f>
        <v/>
      </c>
    </row>
    <row r="28" ht="15" customHeight="1">
      <c r="A28" t="inlineStr">
        <is>
          <t>A 47593-2024</t>
        </is>
      </c>
      <c r="B28" t="inlineStr">
        <is>
          <t>avverkningsanmälan</t>
        </is>
      </c>
      <c r="C28" t="inlineStr">
        <is>
          <t>Föryngringsavverkning</t>
        </is>
      </c>
      <c r="D28" s="1" t="n">
        <v>45587</v>
      </c>
      <c r="E28" s="1" t="n">
        <v>46216</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s="2" t="inlineStr">
        <is>
          <t>Lavskrika
Talltita
Kungsfågel</t>
        </is>
      </c>
      <c r="V28">
        <f>HYPERLINK("https://klasma.github.io/Logging_2403/artfynd/A 47593-2024 artfynd.xlsx", "A 47593-2024")</f>
        <v/>
      </c>
      <c r="W28">
        <f>HYPERLINK("https://klasma.github.io/Logging_2403/kartor/A 47593-2024 karta.png", "A 47593-2024")</f>
        <v/>
      </c>
      <c r="Y28">
        <f>HYPERLINK("https://klasma.github.io/Logging_2403/klagomål/A 47593-2024 FSC-klagomål.docx", "A 47593-2024")</f>
        <v/>
      </c>
      <c r="Z28">
        <f>HYPERLINK("https://klasma.github.io/Logging_2403/klagomålsmail/A 47593-2024 FSC-klagomål mail.docx", "A 47593-2024")</f>
        <v/>
      </c>
      <c r="AA28">
        <f>HYPERLINK("https://klasma.github.io/Logging_2403/tillsyn/A 47593-2024 tillsynsbegäran.docx", "A 47593-2024")</f>
        <v/>
      </c>
      <c r="AB28">
        <f>HYPERLINK("https://klasma.github.io/Logging_2403/tillsynsmail/A 47593-2024 tillsynsbegäran mail.docx", "A 47593-2024")</f>
        <v/>
      </c>
      <c r="AC28">
        <f>HYPERLINK("https://klasma.github.io/Logging_2403/fåglar/A 47593-2024 prioriterade fågelarter.docx", "A 47593-2024")</f>
        <v/>
      </c>
    </row>
    <row r="29" ht="15" customHeight="1">
      <c r="A29" t="inlineStr">
        <is>
          <t>S 853-2025</t>
        </is>
      </c>
      <c r="B29" t="inlineStr">
        <is>
          <t>samrådsanmälan</t>
        </is>
      </c>
      <c r="C29" t="inlineStr">
        <is>
          <t>Annan skogsbruksåtgärd</t>
        </is>
      </c>
      <c r="D29" s="1" t="n">
        <v>45734</v>
      </c>
      <c r="E29" s="1" t="n">
        <v>46216</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s="2" t="inlineStr">
        <is>
          <t>Garnlav
Gräddporing
Dropptaggsvamp</t>
        </is>
      </c>
      <c r="V29">
        <f>HYPERLINK("https://klasma.github.io/Logging_2403/artfynd/S 853-2025 artfynd.xlsx", "S 853-2025")</f>
        <v/>
      </c>
      <c r="W29">
        <f>HYPERLINK("https://klasma.github.io/Logging_2403/kartor/S 853-2025 karta.png", "S 853-2025")</f>
        <v/>
      </c>
      <c r="Y29">
        <f>HYPERLINK("https://klasma.github.io/Logging_2403/klagomål/S 853-2025 FSC-klagomål.docx", "S 853-2025")</f>
        <v/>
      </c>
      <c r="Z29">
        <f>HYPERLINK("https://klasma.github.io/Logging_2403/klagomålsmail/S 853-2025 FSC-klagomål mail.docx", "S 853-2025")</f>
        <v/>
      </c>
      <c r="AA29">
        <f>HYPERLINK("https://klasma.github.io/Logging_2403/tillsyn/S 853-2025 tillsynsbegäran.docx", "S 853-2025")</f>
        <v/>
      </c>
      <c r="AB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46216</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s="2" t="inlineStr">
        <is>
          <t>Lunglav
Spillkråka</t>
        </is>
      </c>
      <c r="V30">
        <f>HYPERLINK("https://klasma.github.io/Logging_2403/artfynd/A 6053-2022 artfynd.xlsx", "A 6053-2022")</f>
        <v/>
      </c>
      <c r="W30">
        <f>HYPERLINK("https://klasma.github.io/Logging_2403/kartor/A 6053-2022 karta.png", "A 6053-2022")</f>
        <v/>
      </c>
      <c r="Y30">
        <f>HYPERLINK("https://klasma.github.io/Logging_2403/klagomål/A 6053-2022 FSC-klagomål.docx", "A 6053-2022")</f>
        <v/>
      </c>
      <c r="Z30">
        <f>HYPERLINK("https://klasma.github.io/Logging_2403/klagomålsmail/A 6053-2022 FSC-klagomål mail.docx", "A 6053-2022")</f>
        <v/>
      </c>
      <c r="AA30">
        <f>HYPERLINK("https://klasma.github.io/Logging_2403/tillsyn/A 6053-2022 tillsynsbegäran.docx", "A 6053-2022")</f>
        <v/>
      </c>
      <c r="AB30">
        <f>HYPERLINK("https://klasma.github.io/Logging_2403/tillsynsmail/A 6053-2022 tillsynsbegäran mail.docx", "A 6053-2022")</f>
        <v/>
      </c>
      <c r="AC30">
        <f>HYPERLINK("https://klasma.github.io/Logging_2403/fåglar/A 6053-2022 prioriterade fågelarter.docx", "A 6053-2022")</f>
        <v/>
      </c>
    </row>
    <row r="31" ht="15" customHeight="1">
      <c r="A31" t="inlineStr">
        <is>
          <t>A 62082-2022</t>
        </is>
      </c>
      <c r="B31" t="inlineStr">
        <is>
          <t>avverkningsanmälan</t>
        </is>
      </c>
      <c r="C31" t="inlineStr">
        <is>
          <t>Föryngringsavverkning</t>
        </is>
      </c>
      <c r="D31" s="1" t="n">
        <v>44918</v>
      </c>
      <c r="E31" s="1" t="n">
        <v>46216</v>
      </c>
      <c r="F31" t="inlineStr">
        <is>
          <t>VÄSTERBOTTENS LÄN</t>
        </is>
      </c>
      <c r="G31" t="inlineStr">
        <is>
          <t>BJURHOLM</t>
        </is>
      </c>
      <c r="H31" t="inlineStr">
        <is>
          <t>SCA</t>
        </is>
      </c>
      <c r="I31" t="n">
        <v>3.8</v>
      </c>
      <c r="J31" t="n">
        <v>1</v>
      </c>
      <c r="K31" t="n">
        <v>0</v>
      </c>
      <c r="L31" t="n">
        <v>1</v>
      </c>
      <c r="M31" t="n">
        <v>1</v>
      </c>
      <c r="N31" t="n">
        <v>0</v>
      </c>
      <c r="O31" t="n">
        <v>0</v>
      </c>
      <c r="P31" t="n">
        <v>0</v>
      </c>
      <c r="Q31" t="n">
        <v>2</v>
      </c>
      <c r="R31" t="n">
        <v>1</v>
      </c>
      <c r="S31" t="n">
        <v>2</v>
      </c>
      <c r="T31" t="n">
        <v>2</v>
      </c>
      <c r="U31" s="2" t="inlineStr">
        <is>
          <t>Knärot
Älg</t>
        </is>
      </c>
      <c r="V31">
        <f>HYPERLINK("https://klasma.github.io/Logging_2403/artfynd/A 62082-2022 artfynd.xlsx", "A 62082-2022")</f>
        <v/>
      </c>
      <c r="W31">
        <f>HYPERLINK("https://klasma.github.io/Logging_2403/kartor/A 62082-2022 karta.png", "A 62082-2022")</f>
        <v/>
      </c>
      <c r="X31">
        <f>HYPERLINK("https://klasma.github.io/Logging_2403/knärot/A 62082-2022 karta knärot.png", "A 62082-2022")</f>
        <v/>
      </c>
      <c r="Y31">
        <f>HYPERLINK("https://klasma.github.io/Logging_2403/klagomål/A 62082-2022 FSC-klagomål.docx", "A 62082-2022")</f>
        <v/>
      </c>
      <c r="Z31">
        <f>HYPERLINK("https://klasma.github.io/Logging_2403/klagomålsmail/A 62082-2022 FSC-klagomål mail.docx", "A 62082-2022")</f>
        <v/>
      </c>
      <c r="AA31">
        <f>HYPERLINK("https://klasma.github.io/Logging_2403/tillsyn/A 62082-2022 tillsynsbegäran.docx", "A 62082-2022")</f>
        <v/>
      </c>
      <c r="AB31">
        <f>HYPERLINK("https://klasma.github.io/Logging_2403/tillsynsmail/A 62082-2022 tillsynsbegäran mail.docx", "A 62082-2022")</f>
        <v/>
      </c>
    </row>
    <row r="32" ht="15" customHeight="1">
      <c r="A32" t="inlineStr">
        <is>
          <t>A 40911-2025</t>
        </is>
      </c>
      <c r="B32" t="inlineStr">
        <is>
          <t>avverkningsanmälan</t>
        </is>
      </c>
      <c r="C32" t="inlineStr">
        <is>
          <t>Föryngringsavverkning</t>
        </is>
      </c>
      <c r="D32" s="1" t="n">
        <v>45897</v>
      </c>
      <c r="E32" s="1" t="n">
        <v>46216</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s="2" t="inlineStr">
        <is>
          <t>Blå taggsvamp
Vaddporing</t>
        </is>
      </c>
      <c r="V32">
        <f>HYPERLINK("https://klasma.github.io/Logging_2403/artfynd/A 40911-2025 artfynd.xlsx", "A 40911-2025")</f>
        <v/>
      </c>
      <c r="W32">
        <f>HYPERLINK("https://klasma.github.io/Logging_2403/kartor/A 40911-2025 karta.png", "A 40911-2025")</f>
        <v/>
      </c>
      <c r="Y32">
        <f>HYPERLINK("https://klasma.github.io/Logging_2403/klagomål/A 40911-2025 FSC-klagomål.docx", "A 40911-2025")</f>
        <v/>
      </c>
      <c r="Z32">
        <f>HYPERLINK("https://klasma.github.io/Logging_2403/klagomålsmail/A 40911-2025 FSC-klagomål mail.docx", "A 40911-2025")</f>
        <v/>
      </c>
      <c r="AA32">
        <f>HYPERLINK("https://klasma.github.io/Logging_2403/tillsyn/A 40911-2025 tillsynsbegäran.docx", "A 40911-2025")</f>
        <v/>
      </c>
      <c r="AB32">
        <f>HYPERLINK("https://klasma.github.io/Logging_2403/tillsynsmail/A 40911-2025 tillsynsbegäran mail.docx", "A 40911-2025")</f>
        <v/>
      </c>
    </row>
    <row r="33" ht="15" customHeight="1">
      <c r="A33" t="inlineStr">
        <is>
          <t>A 31116-2025</t>
        </is>
      </c>
      <c r="B33" t="inlineStr">
        <is>
          <t>avverkningsanmälan</t>
        </is>
      </c>
      <c r="C33" t="inlineStr">
        <is>
          <t>Föryngringsavverkning</t>
        </is>
      </c>
      <c r="D33" s="1" t="n">
        <v>45832</v>
      </c>
      <c r="E33" s="1" t="n">
        <v>46216</v>
      </c>
      <c r="F33" t="inlineStr">
        <is>
          <t>VÄSTERBOTTENS LÄN</t>
        </is>
      </c>
      <c r="G33" t="inlineStr">
        <is>
          <t>BJURHOLM</t>
        </is>
      </c>
      <c r="I33" t="n">
        <v>33.5</v>
      </c>
      <c r="J33" t="n">
        <v>0</v>
      </c>
      <c r="K33" t="n">
        <v>0</v>
      </c>
      <c r="L33" t="n">
        <v>2</v>
      </c>
      <c r="M33" t="n">
        <v>0</v>
      </c>
      <c r="N33" t="n">
        <v>0</v>
      </c>
      <c r="O33" t="n">
        <v>0</v>
      </c>
      <c r="P33" t="n">
        <v>0</v>
      </c>
      <c r="Q33" t="n">
        <v>2</v>
      </c>
      <c r="R33" t="n">
        <v>0</v>
      </c>
      <c r="S33" t="n">
        <v>2</v>
      </c>
      <c r="T33" t="n">
        <v>2</v>
      </c>
      <c r="U33" s="2" t="inlineStr">
        <is>
          <t>Brunpudrad nållav
Lunglav</t>
        </is>
      </c>
      <c r="V33">
        <f>HYPERLINK("https://klasma.github.io/Logging_2403/artfynd/A 31116-2025 artfynd.xlsx", "A 31116-2025")</f>
        <v/>
      </c>
      <c r="W33">
        <f>HYPERLINK("https://klasma.github.io/Logging_2403/kartor/A 31116-2025 karta.png", "A 31116-2025")</f>
        <v/>
      </c>
      <c r="Y33">
        <f>HYPERLINK("https://klasma.github.io/Logging_2403/klagomål/A 31116-2025 FSC-klagomål.docx", "A 31116-2025")</f>
        <v/>
      </c>
      <c r="Z33">
        <f>HYPERLINK("https://klasma.github.io/Logging_2403/klagomålsmail/A 31116-2025 FSC-klagomål mail.docx", "A 31116-2025")</f>
        <v/>
      </c>
      <c r="AA33">
        <f>HYPERLINK("https://klasma.github.io/Logging_2403/tillsyn/A 31116-2025 tillsynsbegäran.docx", "A 31116-2025")</f>
        <v/>
      </c>
      <c r="AB33">
        <f>HYPERLINK("https://klasma.github.io/Logging_2403/tillsynsmail/A 31116-2025 tillsynsbegäran mail.docx", "A 31116-2025")</f>
        <v/>
      </c>
    </row>
    <row r="34" ht="15" customHeight="1">
      <c r="A34" t="inlineStr">
        <is>
          <t>A 47592-2024</t>
        </is>
      </c>
      <c r="B34" t="inlineStr">
        <is>
          <t>avverkningsanmälan</t>
        </is>
      </c>
      <c r="C34" t="inlineStr">
        <is>
          <t>Föryngringsavverkning</t>
        </is>
      </c>
      <c r="D34" s="1" t="n">
        <v>45587</v>
      </c>
      <c r="E34" s="1" t="n">
        <v>46216</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s="2" t="inlineStr">
        <is>
          <t>Knärot
Lunglav</t>
        </is>
      </c>
      <c r="V34">
        <f>HYPERLINK("https://klasma.github.io/Logging_2403/artfynd/A 47592-2024 artfynd.xlsx", "A 47592-2024")</f>
        <v/>
      </c>
      <c r="W34">
        <f>HYPERLINK("https://klasma.github.io/Logging_2403/kartor/A 47592-2024 karta.png", "A 47592-2024")</f>
        <v/>
      </c>
      <c r="X34">
        <f>HYPERLINK("https://klasma.github.io/Logging_2403/knärot/A 47592-2024 karta knärot.png", "A 47592-2024")</f>
        <v/>
      </c>
      <c r="Y34">
        <f>HYPERLINK("https://klasma.github.io/Logging_2403/klagomål/A 47592-2024 FSC-klagomål.docx", "A 47592-2024")</f>
        <v/>
      </c>
      <c r="Z34">
        <f>HYPERLINK("https://klasma.github.io/Logging_2403/klagomålsmail/A 47592-2024 FSC-klagomål mail.docx", "A 47592-2024")</f>
        <v/>
      </c>
      <c r="AA34">
        <f>HYPERLINK("https://klasma.github.io/Logging_2403/tillsyn/A 47592-2024 tillsynsbegäran.docx", "A 47592-2024")</f>
        <v/>
      </c>
      <c r="AB34">
        <f>HYPERLINK("https://klasma.github.io/Logging_2403/tillsynsmail/A 47592-2024 tillsynsbegäran mail.docx", "A 47592-2024")</f>
        <v/>
      </c>
    </row>
    <row r="35" ht="15" customHeight="1">
      <c r="A35" t="inlineStr">
        <is>
          <t>A 53117-2025</t>
        </is>
      </c>
      <c r="B35" t="inlineStr">
        <is>
          <t>avverkningsanmälan</t>
        </is>
      </c>
      <c r="C35" t="inlineStr">
        <is>
          <t>Föryngringsavverkning</t>
        </is>
      </c>
      <c r="D35" s="1" t="n">
        <v>45958</v>
      </c>
      <c r="E35" s="1" t="n">
        <v>46216</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s="2" t="inlineStr">
        <is>
          <t>Rosenticka
Svart trolldruva</t>
        </is>
      </c>
      <c r="V35">
        <f>HYPERLINK("https://klasma.github.io/Logging_2403/artfynd/A 53117-2025 artfynd.xlsx", "A 53117-2025")</f>
        <v/>
      </c>
      <c r="W35">
        <f>HYPERLINK("https://klasma.github.io/Logging_2403/kartor/A 53117-2025 karta.png", "A 53117-2025")</f>
        <v/>
      </c>
      <c r="Y35">
        <f>HYPERLINK("https://klasma.github.io/Logging_2403/klagomål/A 53117-2025 FSC-klagomål.docx", "A 53117-2025")</f>
        <v/>
      </c>
      <c r="Z35">
        <f>HYPERLINK("https://klasma.github.io/Logging_2403/klagomålsmail/A 53117-2025 FSC-klagomål mail.docx", "A 53117-2025")</f>
        <v/>
      </c>
      <c r="AA35">
        <f>HYPERLINK("https://klasma.github.io/Logging_2403/tillsyn/A 53117-2025 tillsynsbegäran.docx", "A 53117-2025")</f>
        <v/>
      </c>
      <c r="AB35">
        <f>HYPERLINK("https://klasma.github.io/Logging_2403/tillsynsmail/A 53117-2025 tillsynsbegäran mail.docx", "A 53117-2025")</f>
        <v/>
      </c>
    </row>
    <row r="36" ht="15" customHeight="1">
      <c r="A36" t="inlineStr">
        <is>
          <t>A 11689-2026</t>
        </is>
      </c>
      <c r="B36" t="inlineStr">
        <is>
          <t>avverkningsanmälan</t>
        </is>
      </c>
      <c r="C36" t="inlineStr">
        <is>
          <t>Föryngringsavverkning</t>
        </is>
      </c>
      <c r="D36" s="1" t="n">
        <v>46084</v>
      </c>
      <c r="E36" s="1" t="n">
        <v>46216</v>
      </c>
      <c r="F36" t="inlineStr">
        <is>
          <t>VÄSTERBOTTENS LÄN</t>
        </is>
      </c>
      <c r="G36" t="inlineStr">
        <is>
          <t>BJURHOLM</t>
        </is>
      </c>
      <c r="I36" t="n">
        <v>3.9</v>
      </c>
      <c r="J36" t="n">
        <v>0</v>
      </c>
      <c r="K36" t="n">
        <v>0</v>
      </c>
      <c r="L36" t="n">
        <v>2</v>
      </c>
      <c r="M36" t="n">
        <v>0</v>
      </c>
      <c r="N36" t="n">
        <v>0</v>
      </c>
      <c r="O36" t="n">
        <v>0</v>
      </c>
      <c r="P36" t="n">
        <v>0</v>
      </c>
      <c r="Q36" t="n">
        <v>2</v>
      </c>
      <c r="R36" t="n">
        <v>0</v>
      </c>
      <c r="S36" t="n">
        <v>2</v>
      </c>
      <c r="T36" t="n">
        <v>2</v>
      </c>
      <c r="U36" s="2" t="inlineStr">
        <is>
          <t>Lunglav
Stiftgelélav</t>
        </is>
      </c>
      <c r="V36">
        <f>HYPERLINK("https://klasma.github.io/Logging_2403/artfynd/A 11689-2026 artfynd.xlsx", "A 11689-2026")</f>
        <v/>
      </c>
      <c r="W36">
        <f>HYPERLINK("https://klasma.github.io/Logging_2403/kartor/A 11689-2026 karta.png", "A 11689-2026")</f>
        <v/>
      </c>
      <c r="X36">
        <f>HYPERLINK("https://klasma.github.io/Logging_2403/knärot/A 11689-2026 karta knärot.png", "A 11689-2026")</f>
        <v/>
      </c>
      <c r="Y36">
        <f>HYPERLINK("https://klasma.github.io/Logging_2403/klagomål/A 11689-2026 FSC-klagomål.docx", "A 11689-2026")</f>
        <v/>
      </c>
      <c r="Z36">
        <f>HYPERLINK("https://klasma.github.io/Logging_2403/klagomålsmail/A 11689-2026 FSC-klagomål mail.docx", "A 11689-2026")</f>
        <v/>
      </c>
      <c r="AA36">
        <f>HYPERLINK("https://klasma.github.io/Logging_2403/tillsyn/A 11689-2026 tillsynsbegäran.docx", "A 11689-2026")</f>
        <v/>
      </c>
      <c r="AB36">
        <f>HYPERLINK("https://klasma.github.io/Logging_2403/tillsynsmail/A 11689-2026 tillsynsbegäran mail.docx", "A 11689-2026")</f>
        <v/>
      </c>
    </row>
    <row r="37" ht="15" customHeight="1">
      <c r="A37" t="inlineStr">
        <is>
          <t>A 20949-2023</t>
        </is>
      </c>
      <c r="B37" t="inlineStr">
        <is>
          <t>avverkningsanmälan</t>
        </is>
      </c>
      <c r="C37" t="inlineStr">
        <is>
          <t>Föryngringsavverkning</t>
        </is>
      </c>
      <c r="D37" s="1" t="n">
        <v>45056</v>
      </c>
      <c r="E37" s="1" t="n">
        <v>46216</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s="2" t="inlineStr">
        <is>
          <t>Silverblåvinge
Vitfläckig guldvinge</t>
        </is>
      </c>
      <c r="V37">
        <f>HYPERLINK("https://klasma.github.io/Logging_2403/artfynd/A 20949-2023 artfynd.xlsx", "A 20949-2023")</f>
        <v/>
      </c>
      <c r="W37">
        <f>HYPERLINK("https://klasma.github.io/Logging_2403/kartor/A 20949-2023 karta.png", "A 20949-2023")</f>
        <v/>
      </c>
      <c r="Y37">
        <f>HYPERLINK("https://klasma.github.io/Logging_2403/klagomål/A 20949-2023 FSC-klagomål.docx", "A 20949-2023")</f>
        <v/>
      </c>
      <c r="Z37">
        <f>HYPERLINK("https://klasma.github.io/Logging_2403/klagomålsmail/A 20949-2023 FSC-klagomål mail.docx", "A 20949-2023")</f>
        <v/>
      </c>
      <c r="AA37">
        <f>HYPERLINK("https://klasma.github.io/Logging_2403/tillsyn/A 20949-2023 tillsynsbegäran.docx", "A 20949-2023")</f>
        <v/>
      </c>
      <c r="AB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46216</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s="2" t="inlineStr">
        <is>
          <t>Spillkråka
Fläcknycklar</t>
        </is>
      </c>
      <c r="V38">
        <f>HYPERLINK("https://klasma.github.io/Logging_2403/artfynd/A 23181-2024 artfynd.xlsx", "A 23181-2024")</f>
        <v/>
      </c>
      <c r="W38">
        <f>HYPERLINK("https://klasma.github.io/Logging_2403/kartor/A 23181-2024 karta.png", "A 23181-2024")</f>
        <v/>
      </c>
      <c r="Y38">
        <f>HYPERLINK("https://klasma.github.io/Logging_2403/klagomål/A 23181-2024 FSC-klagomål.docx", "A 23181-2024")</f>
        <v/>
      </c>
      <c r="Z38">
        <f>HYPERLINK("https://klasma.github.io/Logging_2403/klagomålsmail/A 23181-2024 FSC-klagomål mail.docx", "A 23181-2024")</f>
        <v/>
      </c>
      <c r="AA38">
        <f>HYPERLINK("https://klasma.github.io/Logging_2403/tillsyn/A 23181-2024 tillsynsbegäran.docx", "A 23181-2024")</f>
        <v/>
      </c>
      <c r="AB38">
        <f>HYPERLINK("https://klasma.github.io/Logging_2403/tillsynsmail/A 23181-2024 tillsynsbegäran mail.docx", "A 23181-2024")</f>
        <v/>
      </c>
      <c r="AC38">
        <f>HYPERLINK("https://klasma.github.io/Logging_2403/fåglar/A 23181-2024 prioriterade fågelarter.docx", "A 23181-2024")</f>
        <v/>
      </c>
    </row>
    <row r="39" ht="15" customHeight="1">
      <c r="A39" t="inlineStr">
        <is>
          <t>A 21386-2024</t>
        </is>
      </c>
      <c r="B39" t="inlineStr">
        <is>
          <t>avverkningsanmälan</t>
        </is>
      </c>
      <c r="C39" t="inlineStr">
        <is>
          <t>Föryngringsavverkning</t>
        </is>
      </c>
      <c r="D39" s="1" t="n">
        <v>45440</v>
      </c>
      <c r="E39" s="1" t="n">
        <v>46216</v>
      </c>
      <c r="F39" t="inlineStr">
        <is>
          <t>VÄSTERBOTTENS LÄN</t>
        </is>
      </c>
      <c r="G39" t="inlineStr">
        <is>
          <t>BJURHOLM</t>
        </is>
      </c>
      <c r="H39" t="inlineStr">
        <is>
          <t>SCA</t>
        </is>
      </c>
      <c r="I39" t="n">
        <v>1.2</v>
      </c>
      <c r="J39" t="n">
        <v>0</v>
      </c>
      <c r="K39" t="n">
        <v>0</v>
      </c>
      <c r="L39" t="n">
        <v>2</v>
      </c>
      <c r="M39" t="n">
        <v>0</v>
      </c>
      <c r="N39" t="n">
        <v>0</v>
      </c>
      <c r="O39" t="n">
        <v>0</v>
      </c>
      <c r="P39" t="n">
        <v>0</v>
      </c>
      <c r="Q39" t="n">
        <v>2</v>
      </c>
      <c r="R39" t="n">
        <v>0</v>
      </c>
      <c r="S39" t="n">
        <v>2</v>
      </c>
      <c r="T39" t="n">
        <v>2</v>
      </c>
      <c r="U39" s="2" t="inlineStr">
        <is>
          <t>Gammelgransskål
Ullticka</t>
        </is>
      </c>
      <c r="V39">
        <f>HYPERLINK("https://klasma.github.io/Logging_2403/artfynd/A 21386-2024 artfynd.xlsx", "A 21386-2024")</f>
        <v/>
      </c>
      <c r="W39">
        <f>HYPERLINK("https://klasma.github.io/Logging_2403/kartor/A 21386-2024 karta.png", "A 21386-2024")</f>
        <v/>
      </c>
      <c r="Y39">
        <f>HYPERLINK("https://klasma.github.io/Logging_2403/klagomål/A 21386-2024 FSC-klagomål.docx", "A 21386-2024")</f>
        <v/>
      </c>
      <c r="Z39">
        <f>HYPERLINK("https://klasma.github.io/Logging_2403/klagomålsmail/A 21386-2024 FSC-klagomål mail.docx", "A 21386-2024")</f>
        <v/>
      </c>
      <c r="AA39">
        <f>HYPERLINK("https://klasma.github.io/Logging_2403/tillsyn/A 21386-2024 tillsynsbegäran.docx", "A 21386-2024")</f>
        <v/>
      </c>
      <c r="AB39">
        <f>HYPERLINK("https://klasma.github.io/Logging_2403/tillsynsmail/A 21386-2024 tillsynsbegäran mail.docx", "A 21386-2024")</f>
        <v/>
      </c>
    </row>
    <row r="40" ht="15" customHeight="1">
      <c r="A40" t="inlineStr">
        <is>
          <t>A 30801-2026</t>
        </is>
      </c>
      <c r="B40" t="inlineStr">
        <is>
          <t>avverkningsanmälan</t>
        </is>
      </c>
      <c r="C40" t="inlineStr">
        <is>
          <t>Föryngringsavverkning</t>
        </is>
      </c>
      <c r="D40" s="1" t="n">
        <v>46205</v>
      </c>
      <c r="E40" s="1" t="n">
        <v>46216</v>
      </c>
      <c r="F40" t="inlineStr">
        <is>
          <t>VÄSTERBOTTENS LÄN</t>
        </is>
      </c>
      <c r="G40" t="inlineStr">
        <is>
          <t>BJURHOLM</t>
        </is>
      </c>
      <c r="I40" t="n">
        <v>17.3</v>
      </c>
      <c r="J40" t="n">
        <v>0</v>
      </c>
      <c r="K40" t="n">
        <v>0</v>
      </c>
      <c r="L40" t="n">
        <v>2</v>
      </c>
      <c r="M40" t="n">
        <v>0</v>
      </c>
      <c r="N40" t="n">
        <v>0</v>
      </c>
      <c r="O40" t="n">
        <v>0</v>
      </c>
      <c r="P40" t="n">
        <v>0</v>
      </c>
      <c r="Q40" t="n">
        <v>2</v>
      </c>
      <c r="R40" t="n">
        <v>0</v>
      </c>
      <c r="S40" t="n">
        <v>2</v>
      </c>
      <c r="T40" t="n">
        <v>2</v>
      </c>
      <c r="U40" s="2" t="inlineStr">
        <is>
          <t>Blå taggsvamp
Skarp dropptaggsvamp</t>
        </is>
      </c>
      <c r="V40">
        <f>HYPERLINK("https://klasma.github.io/Logging_2403/artfynd/A 30801-2026 artfynd.xlsx", "A 30801-2026")</f>
        <v/>
      </c>
      <c r="W40">
        <f>HYPERLINK("https://klasma.github.io/Logging_2403/kartor/A 30801-2026 karta.png", "A 30801-2026")</f>
        <v/>
      </c>
      <c r="Y40">
        <f>HYPERLINK("https://klasma.github.io/Logging_2403/klagomål/A 30801-2026 FSC-klagomål.docx", "A 30801-2026")</f>
        <v/>
      </c>
      <c r="Z40">
        <f>HYPERLINK("https://klasma.github.io/Logging_2403/klagomålsmail/A 30801-2026 FSC-klagomål mail.docx", "A 30801-2026")</f>
        <v/>
      </c>
      <c r="AA40">
        <f>HYPERLINK("https://klasma.github.io/Logging_2403/tillsyn/A 30801-2026 tillsynsbegäran.docx", "A 30801-2026")</f>
        <v/>
      </c>
      <c r="AB40">
        <f>HYPERLINK("https://klasma.github.io/Logging_2403/tillsynsmail/A 30801-2026 tillsynsbegäran mail.docx", "A 30801-2026")</f>
        <v/>
      </c>
    </row>
    <row r="41" ht="15" customHeight="1">
      <c r="A41" t="inlineStr">
        <is>
          <t>A 7907-2022</t>
        </is>
      </c>
      <c r="B41" t="inlineStr">
        <is>
          <t>avverkningsanmälan</t>
        </is>
      </c>
      <c r="C41" t="inlineStr">
        <is>
          <t>Föryngringsavverkning</t>
        </is>
      </c>
      <c r="D41" s="1" t="n">
        <v>44608</v>
      </c>
      <c r="E41" s="1" t="n">
        <v>46216</v>
      </c>
      <c r="F41" t="inlineStr">
        <is>
          <t>VÄSTERBOTTENS LÄN</t>
        </is>
      </c>
      <c r="G41" t="inlineStr">
        <is>
          <t>BJURHOLM</t>
        </is>
      </c>
      <c r="I41" t="n">
        <v>3.4</v>
      </c>
      <c r="J41" t="n">
        <v>0</v>
      </c>
      <c r="K41" t="n">
        <v>0</v>
      </c>
      <c r="L41" t="n">
        <v>1</v>
      </c>
      <c r="M41" t="n">
        <v>0</v>
      </c>
      <c r="N41" t="n">
        <v>0</v>
      </c>
      <c r="O41" t="n">
        <v>0</v>
      </c>
      <c r="P41" t="n">
        <v>0</v>
      </c>
      <c r="Q41" t="n">
        <v>1</v>
      </c>
      <c r="R41" t="n">
        <v>0</v>
      </c>
      <c r="S41" t="n">
        <v>1</v>
      </c>
      <c r="T41" t="n">
        <v>1</v>
      </c>
      <c r="U41" s="2" t="inlineStr">
        <is>
          <t>Lunglav</t>
        </is>
      </c>
      <c r="V41">
        <f>HYPERLINK("https://klasma.github.io/Logging_2403/artfynd/A 7907-2022 artfynd.xlsx", "A 7907-2022")</f>
        <v/>
      </c>
      <c r="W41">
        <f>HYPERLINK("https://klasma.github.io/Logging_2403/kartor/A 7907-2022 karta.png", "A 7907-2022")</f>
        <v/>
      </c>
      <c r="Y41">
        <f>HYPERLINK("https://klasma.github.io/Logging_2403/klagomål/A 7907-2022 FSC-klagomål.docx", "A 7907-2022")</f>
        <v/>
      </c>
      <c r="Z41">
        <f>HYPERLINK("https://klasma.github.io/Logging_2403/klagomålsmail/A 7907-2022 FSC-klagomål mail.docx", "A 7907-2022")</f>
        <v/>
      </c>
      <c r="AA41">
        <f>HYPERLINK("https://klasma.github.io/Logging_2403/tillsyn/A 7907-2022 tillsynsbegäran.docx", "A 7907-2022")</f>
        <v/>
      </c>
      <c r="AB41">
        <f>HYPERLINK("https://klasma.github.io/Logging_2403/tillsynsmail/A 7907-2022 tillsynsbegäran mail.docx", "A 7907-2022")</f>
        <v/>
      </c>
    </row>
    <row r="42" ht="15" customHeight="1">
      <c r="A42" t="inlineStr">
        <is>
          <t>A 57653-2022</t>
        </is>
      </c>
      <c r="B42" t="inlineStr">
        <is>
          <t>avverkningsanmälan</t>
        </is>
      </c>
      <c r="C42" t="inlineStr">
        <is>
          <t>Föryngringsavverkning</t>
        </is>
      </c>
      <c r="D42" s="1" t="n">
        <v>44897</v>
      </c>
      <c r="E42" s="1" t="n">
        <v>46216</v>
      </c>
      <c r="F42" t="inlineStr">
        <is>
          <t>VÄSTERBOTTENS LÄN</t>
        </is>
      </c>
      <c r="G42" t="inlineStr">
        <is>
          <t>BJURHOLM</t>
        </is>
      </c>
      <c r="H42" t="inlineStr">
        <is>
          <t>Holmen skog AB</t>
        </is>
      </c>
      <c r="I42" t="n">
        <v>4.9</v>
      </c>
      <c r="J42" t="n">
        <v>0</v>
      </c>
      <c r="K42" t="n">
        <v>0</v>
      </c>
      <c r="L42" t="n">
        <v>0</v>
      </c>
      <c r="M42" t="n">
        <v>1</v>
      </c>
      <c r="N42" t="n">
        <v>0</v>
      </c>
      <c r="O42" t="n">
        <v>0</v>
      </c>
      <c r="P42" t="n">
        <v>0</v>
      </c>
      <c r="Q42" t="n">
        <v>1</v>
      </c>
      <c r="R42" t="n">
        <v>1</v>
      </c>
      <c r="S42" t="n">
        <v>1</v>
      </c>
      <c r="T42" t="n">
        <v>1</v>
      </c>
      <c r="U42" s="2" t="inlineStr">
        <is>
          <t>Garnlav</t>
        </is>
      </c>
      <c r="V42">
        <f>HYPERLINK("https://klasma.github.io/Logging_2403/artfynd/A 57653-2022 artfynd.xlsx", "A 57653-2022")</f>
        <v/>
      </c>
      <c r="W42">
        <f>HYPERLINK("https://klasma.github.io/Logging_2403/kartor/A 57653-2022 karta.png", "A 57653-2022")</f>
        <v/>
      </c>
      <c r="Y42">
        <f>HYPERLINK("https://klasma.github.io/Logging_2403/klagomål/A 57653-2022 FSC-klagomål.docx", "A 57653-2022")</f>
        <v/>
      </c>
      <c r="Z42">
        <f>HYPERLINK("https://klasma.github.io/Logging_2403/klagomålsmail/A 57653-2022 FSC-klagomål mail.docx", "A 57653-2022")</f>
        <v/>
      </c>
      <c r="AA42">
        <f>HYPERLINK("https://klasma.github.io/Logging_2403/tillsyn/A 57653-2022 tillsynsbegäran.docx", "A 57653-2022")</f>
        <v/>
      </c>
      <c r="AB42">
        <f>HYPERLINK("https://klasma.github.io/Logging_2403/tillsynsmail/A 57653-2022 tillsynsbegäran mail.docx", "A 57653-2022")</f>
        <v/>
      </c>
    </row>
    <row r="43" ht="15" customHeight="1">
      <c r="A43" t="inlineStr">
        <is>
          <t>A 15699-2024</t>
        </is>
      </c>
      <c r="B43" t="inlineStr">
        <is>
          <t>avverkningsanmälan</t>
        </is>
      </c>
      <c r="C43" t="inlineStr">
        <is>
          <t>Föryngringsavverkning</t>
        </is>
      </c>
      <c r="D43" s="1" t="n">
        <v>45404</v>
      </c>
      <c r="E43" s="1" t="n">
        <v>46216</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s="2" t="inlineStr">
        <is>
          <t>Dropptaggsvamp</t>
        </is>
      </c>
      <c r="V43">
        <f>HYPERLINK("https://klasma.github.io/Logging_2403/artfynd/A 15699-2024 artfynd.xlsx", "A 15699-2024")</f>
        <v/>
      </c>
      <c r="W43">
        <f>HYPERLINK("https://klasma.github.io/Logging_2403/kartor/A 15699-2024 karta.png", "A 15699-2024")</f>
        <v/>
      </c>
      <c r="Y43">
        <f>HYPERLINK("https://klasma.github.io/Logging_2403/klagomål/A 15699-2024 FSC-klagomål.docx", "A 15699-2024")</f>
        <v/>
      </c>
      <c r="Z43">
        <f>HYPERLINK("https://klasma.github.io/Logging_2403/klagomålsmail/A 15699-2024 FSC-klagomål mail.docx", "A 15699-2024")</f>
        <v/>
      </c>
      <c r="AA43">
        <f>HYPERLINK("https://klasma.github.io/Logging_2403/tillsyn/A 15699-2024 tillsynsbegäran.docx", "A 15699-2024")</f>
        <v/>
      </c>
      <c r="AB43">
        <f>HYPERLINK("https://klasma.github.io/Logging_2403/tillsynsmail/A 15699-2024 tillsynsbegäran mail.docx", "A 15699-2024")</f>
        <v/>
      </c>
    </row>
    <row r="44" ht="15" customHeight="1">
      <c r="A44" t="inlineStr">
        <is>
          <t>A 58948-2023</t>
        </is>
      </c>
      <c r="B44" t="inlineStr">
        <is>
          <t>avverkningsanmälan</t>
        </is>
      </c>
      <c r="C44" t="inlineStr">
        <is>
          <t>Föryngringsavverkning</t>
        </is>
      </c>
      <c r="D44" s="1" t="n">
        <v>45252</v>
      </c>
      <c r="E44" s="1" t="n">
        <v>46216</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s="2" t="inlineStr">
        <is>
          <t>Lunglav</t>
        </is>
      </c>
      <c r="V44">
        <f>HYPERLINK("https://klasma.github.io/Logging_2403/artfynd/A 58948-2023 artfynd.xlsx", "A 58948-2023")</f>
        <v/>
      </c>
      <c r="W44">
        <f>HYPERLINK("https://klasma.github.io/Logging_2403/kartor/A 58948-2023 karta.png", "A 58948-2023")</f>
        <v/>
      </c>
      <c r="Y44">
        <f>HYPERLINK("https://klasma.github.io/Logging_2403/klagomål/A 58948-2023 FSC-klagomål.docx", "A 58948-2023")</f>
        <v/>
      </c>
      <c r="Z44">
        <f>HYPERLINK("https://klasma.github.io/Logging_2403/klagomålsmail/A 58948-2023 FSC-klagomål mail.docx", "A 58948-2023")</f>
        <v/>
      </c>
      <c r="AA44">
        <f>HYPERLINK("https://klasma.github.io/Logging_2403/tillsyn/A 58948-2023 tillsynsbegäran.docx", "A 58948-2023")</f>
        <v/>
      </c>
      <c r="AB44">
        <f>HYPERLINK("https://klasma.github.io/Logging_2403/tillsynsmail/A 58948-2023 tillsynsbegäran mail.docx", "A 58948-2023")</f>
        <v/>
      </c>
    </row>
    <row r="45" ht="15" customHeight="1">
      <c r="A45" t="inlineStr">
        <is>
          <t>A 56442-2025</t>
        </is>
      </c>
      <c r="B45" t="inlineStr">
        <is>
          <t>avverkningsanmälan</t>
        </is>
      </c>
      <c r="C45" t="inlineStr">
        <is>
          <t>Föryngringsavverkning</t>
        </is>
      </c>
      <c r="D45" s="1" t="n">
        <v>45975</v>
      </c>
      <c r="E45" s="1" t="n">
        <v>46216</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s="2" t="inlineStr">
        <is>
          <t>Lunglav</t>
        </is>
      </c>
      <c r="V45">
        <f>HYPERLINK("https://klasma.github.io/Logging_2403/artfynd/A 56442-2025 artfynd.xlsx", "A 56442-2025")</f>
        <v/>
      </c>
      <c r="W45">
        <f>HYPERLINK("https://klasma.github.io/Logging_2403/kartor/A 56442-2025 karta.png", "A 56442-2025")</f>
        <v/>
      </c>
      <c r="Y45">
        <f>HYPERLINK("https://klasma.github.io/Logging_2403/klagomål/A 56442-2025 FSC-klagomål.docx", "A 56442-2025")</f>
        <v/>
      </c>
      <c r="Z45">
        <f>HYPERLINK("https://klasma.github.io/Logging_2403/klagomålsmail/A 56442-2025 FSC-klagomål mail.docx", "A 56442-2025")</f>
        <v/>
      </c>
      <c r="AA45">
        <f>HYPERLINK("https://klasma.github.io/Logging_2403/tillsyn/A 56442-2025 tillsynsbegäran.docx", "A 56442-2025")</f>
        <v/>
      </c>
      <c r="AB45">
        <f>HYPERLINK("https://klasma.github.io/Logging_2403/tillsynsmail/A 56442-2025 tillsynsbegäran mail.docx", "A 56442-2025")</f>
        <v/>
      </c>
    </row>
    <row r="46" ht="15" customHeight="1">
      <c r="A46" t="inlineStr">
        <is>
          <t>A 63528-2025</t>
        </is>
      </c>
      <c r="B46" t="inlineStr">
        <is>
          <t>avverkningsanmälan</t>
        </is>
      </c>
      <c r="C46" t="inlineStr">
        <is>
          <t>Föryngringsavverkning</t>
        </is>
      </c>
      <c r="D46" s="1" t="n">
        <v>46013</v>
      </c>
      <c r="E46" s="1" t="n">
        <v>46216</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s="2" t="inlineStr">
        <is>
          <t>Garnlav</t>
        </is>
      </c>
      <c r="V46">
        <f>HYPERLINK("https://klasma.github.io/Logging_2403/artfynd/A 63528-2025 artfynd.xlsx", "A 63528-2025")</f>
        <v/>
      </c>
      <c r="W46">
        <f>HYPERLINK("https://klasma.github.io/Logging_2403/kartor/A 63528-2025 karta.png", "A 63528-2025")</f>
        <v/>
      </c>
      <c r="Y46">
        <f>HYPERLINK("https://klasma.github.io/Logging_2403/klagomål/A 63528-2025 FSC-klagomål.docx", "A 63528-2025")</f>
        <v/>
      </c>
      <c r="Z46">
        <f>HYPERLINK("https://klasma.github.io/Logging_2403/klagomålsmail/A 63528-2025 FSC-klagomål mail.docx", "A 63528-2025")</f>
        <v/>
      </c>
      <c r="AA46">
        <f>HYPERLINK("https://klasma.github.io/Logging_2403/tillsyn/A 63528-2025 tillsynsbegäran.docx", "A 63528-2025")</f>
        <v/>
      </c>
      <c r="AB46">
        <f>HYPERLINK("https://klasma.github.io/Logging_2403/tillsynsmail/A 63528-2025 tillsynsbegäran mail.docx", "A 63528-2025")</f>
        <v/>
      </c>
    </row>
    <row r="47" ht="15" customHeight="1">
      <c r="A47" t="inlineStr">
        <is>
          <t>A 63205-2025</t>
        </is>
      </c>
      <c r="B47" t="inlineStr">
        <is>
          <t>avverkningsanmälan</t>
        </is>
      </c>
      <c r="C47" t="inlineStr">
        <is>
          <t>Föryngringsavverkning</t>
        </is>
      </c>
      <c r="D47" s="1" t="n">
        <v>46010</v>
      </c>
      <c r="E47" s="1" t="n">
        <v>46216</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s="2" t="inlineStr">
        <is>
          <t>Stor aspticka</t>
        </is>
      </c>
      <c r="V47">
        <f>HYPERLINK("https://klasma.github.io/Logging_2403/artfynd/A 63205-2025 artfynd.xlsx", "A 63205-2025")</f>
        <v/>
      </c>
      <c r="W47">
        <f>HYPERLINK("https://klasma.github.io/Logging_2403/kartor/A 63205-2025 karta.png", "A 63205-2025")</f>
        <v/>
      </c>
      <c r="Y47">
        <f>HYPERLINK("https://klasma.github.io/Logging_2403/klagomål/A 63205-2025 FSC-klagomål.docx", "A 63205-2025")</f>
        <v/>
      </c>
      <c r="Z47">
        <f>HYPERLINK("https://klasma.github.io/Logging_2403/klagomålsmail/A 63205-2025 FSC-klagomål mail.docx", "A 63205-2025")</f>
        <v/>
      </c>
      <c r="AA47">
        <f>HYPERLINK("https://klasma.github.io/Logging_2403/tillsyn/A 63205-2025 tillsynsbegäran.docx", "A 63205-2025")</f>
        <v/>
      </c>
      <c r="AB47">
        <f>HYPERLINK("https://klasma.github.io/Logging_2403/tillsynsmail/A 63205-2025 tillsynsbegäran mail.docx", "A 63205-2025")</f>
        <v/>
      </c>
    </row>
    <row r="48" ht="15" customHeight="1">
      <c r="A48" t="inlineStr">
        <is>
          <t>A 12403-2026</t>
        </is>
      </c>
      <c r="B48" t="inlineStr">
        <is>
          <t>avverkningsanmälan</t>
        </is>
      </c>
      <c r="C48" t="inlineStr">
        <is>
          <t>Föryngringsavverkning</t>
        </is>
      </c>
      <c r="D48" s="1" t="n">
        <v>46090</v>
      </c>
      <c r="E48" s="1" t="n">
        <v>46216</v>
      </c>
      <c r="F48" t="inlineStr">
        <is>
          <t>VÄSTERBOTTENS LÄN</t>
        </is>
      </c>
      <c r="G48" t="inlineStr">
        <is>
          <t>BJURHOLM</t>
        </is>
      </c>
      <c r="I48" t="n">
        <v>4</v>
      </c>
      <c r="J48" t="n">
        <v>0</v>
      </c>
      <c r="K48" t="n">
        <v>1</v>
      </c>
      <c r="L48" t="n">
        <v>0</v>
      </c>
      <c r="M48" t="n">
        <v>0</v>
      </c>
      <c r="N48" t="n">
        <v>0</v>
      </c>
      <c r="O48" t="n">
        <v>0</v>
      </c>
      <c r="P48" t="n">
        <v>0</v>
      </c>
      <c r="Q48" t="n">
        <v>0</v>
      </c>
      <c r="R48" t="n">
        <v>0</v>
      </c>
      <c r="S48" t="n">
        <v>1</v>
      </c>
      <c r="T48" t="n">
        <v>7</v>
      </c>
      <c r="U48" s="2" t="inlineStr">
        <is>
          <t>Skinnlav</t>
        </is>
      </c>
      <c r="V48">
        <f>HYPERLINK("https://klasma.github.io/Logging_2403/artfynd/A 12403-2026 artfynd.xlsx", "A 12403-2026")</f>
        <v/>
      </c>
      <c r="W48">
        <f>HYPERLINK("https://klasma.github.io/Logging_2403/kartor/A 12403-2026 karta.png", "A 12403-2026")</f>
        <v/>
      </c>
      <c r="Y48">
        <f>HYPERLINK("https://klasma.github.io/Logging_2403/klagomål/A 12403-2026 FSC-klagomål.docx", "A 12403-2026")</f>
        <v/>
      </c>
      <c r="Z48">
        <f>HYPERLINK("https://klasma.github.io/Logging_2403/klagomålsmail/A 12403-2026 FSC-klagomål mail.docx", "A 12403-2026")</f>
        <v/>
      </c>
      <c r="AA48">
        <f>HYPERLINK("https://klasma.github.io/Logging_2403/tillsyn/A 12403-2026 tillsynsbegäran.docx", "A 12403-2026")</f>
        <v/>
      </c>
      <c r="AB48">
        <f>HYPERLINK("https://klasma.github.io/Logging_2403/tillsynsmail/A 12403-2026 tillsynsbegäran mail.docx", "A 12403-2026")</f>
        <v/>
      </c>
    </row>
    <row r="49" ht="15" customHeight="1">
      <c r="A49" t="inlineStr">
        <is>
          <t>A 13629-2026</t>
        </is>
      </c>
      <c r="B49" t="inlineStr">
        <is>
          <t>avverkningsanmälan</t>
        </is>
      </c>
      <c r="C49" t="inlineStr">
        <is>
          <t>Föryngringsavverkning</t>
        </is>
      </c>
      <c r="D49" s="1" t="n">
        <v>46094</v>
      </c>
      <c r="E49" s="1" t="n">
        <v>46216</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s="2" t="inlineStr">
        <is>
          <t>Sotvaxskivling</t>
        </is>
      </c>
      <c r="V49">
        <f>HYPERLINK("https://klasma.github.io/Logging_2403/artfynd/A 13629-2026 artfynd.xlsx", "A 13629-2026")</f>
        <v/>
      </c>
      <c r="W49">
        <f>HYPERLINK("https://klasma.github.io/Logging_2403/kartor/A 13629-2026 karta.png", "A 13629-2026")</f>
        <v/>
      </c>
      <c r="Y49">
        <f>HYPERLINK("https://klasma.github.io/Logging_2403/klagomål/A 13629-2026 FSC-klagomål.docx", "A 13629-2026")</f>
        <v/>
      </c>
      <c r="Z49">
        <f>HYPERLINK("https://klasma.github.io/Logging_2403/klagomålsmail/A 13629-2026 FSC-klagomål mail.docx", "A 13629-2026")</f>
        <v/>
      </c>
      <c r="AA49">
        <f>HYPERLINK("https://klasma.github.io/Logging_2403/tillsyn/A 13629-2026 tillsynsbegäran.docx", "A 13629-2026")</f>
        <v/>
      </c>
      <c r="AB49">
        <f>HYPERLINK("https://klasma.github.io/Logging_2403/tillsynsmail/A 13629-2026 tillsynsbegäran mail.docx", "A 13629-2026")</f>
        <v/>
      </c>
    </row>
    <row r="50" ht="15" customHeight="1">
      <c r="A50" t="inlineStr">
        <is>
          <t>A 53127-2024</t>
        </is>
      </c>
      <c r="B50" t="inlineStr">
        <is>
          <t>avverkningsanmälan</t>
        </is>
      </c>
      <c r="C50" t="inlineStr">
        <is>
          <t>Föryngringsavverkning</t>
        </is>
      </c>
      <c r="D50" s="1" t="n">
        <v>45611</v>
      </c>
      <c r="E50" s="1" t="n">
        <v>46216</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s="2" t="inlineStr">
        <is>
          <t>Gammelgransskål</t>
        </is>
      </c>
      <c r="V50">
        <f>HYPERLINK("https://klasma.github.io/Logging_2403/artfynd/A 53127-2024 artfynd.xlsx", "A 53127-2024")</f>
        <v/>
      </c>
      <c r="W50">
        <f>HYPERLINK("https://klasma.github.io/Logging_2403/kartor/A 53127-2024 karta.png", "A 53127-2024")</f>
        <v/>
      </c>
      <c r="Y50">
        <f>HYPERLINK("https://klasma.github.io/Logging_2403/klagomål/A 53127-2024 FSC-klagomål.docx", "A 53127-2024")</f>
        <v/>
      </c>
      <c r="Z50">
        <f>HYPERLINK("https://klasma.github.io/Logging_2403/klagomålsmail/A 53127-2024 FSC-klagomål mail.docx", "A 53127-2024")</f>
        <v/>
      </c>
      <c r="AA50">
        <f>HYPERLINK("https://klasma.github.io/Logging_2403/tillsyn/A 53127-2024 tillsynsbegäran.docx", "A 53127-2024")</f>
        <v/>
      </c>
      <c r="AB50">
        <f>HYPERLINK("https://klasma.github.io/Logging_2403/tillsynsmail/A 53127-2024 tillsynsbegäran mail.docx", "A 53127-2024")</f>
        <v/>
      </c>
    </row>
    <row r="51" ht="15" customHeight="1">
      <c r="A51" t="inlineStr">
        <is>
          <t>A 16145-2022</t>
        </is>
      </c>
      <c r="B51" t="inlineStr">
        <is>
          <t>avverkningsanmälan</t>
        </is>
      </c>
      <c r="C51" t="inlineStr">
        <is>
          <t>Föryngringsavverkning</t>
        </is>
      </c>
      <c r="D51" s="1" t="n">
        <v>44665</v>
      </c>
      <c r="E51" s="1" t="n">
        <v>46216</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s="2" t="inlineStr">
        <is>
          <t>Stor aspticka</t>
        </is>
      </c>
      <c r="V51">
        <f>HYPERLINK("https://klasma.github.io/Logging_2403/artfynd/A 16145-2022 artfynd.xlsx", "A 16145-2022")</f>
        <v/>
      </c>
      <c r="W51">
        <f>HYPERLINK("https://klasma.github.io/Logging_2403/kartor/A 16145-2022 karta.png", "A 16145-2022")</f>
        <v/>
      </c>
      <c r="Y51">
        <f>HYPERLINK("https://klasma.github.io/Logging_2403/klagomål/A 16145-2022 FSC-klagomål.docx", "A 16145-2022")</f>
        <v/>
      </c>
      <c r="Z51">
        <f>HYPERLINK("https://klasma.github.io/Logging_2403/klagomålsmail/A 16145-2022 FSC-klagomål mail.docx", "A 16145-2022")</f>
        <v/>
      </c>
      <c r="AA51">
        <f>HYPERLINK("https://klasma.github.io/Logging_2403/tillsyn/A 16145-2022 tillsynsbegäran.docx", "A 16145-2022")</f>
        <v/>
      </c>
      <c r="AB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46216</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s="2" t="inlineStr">
        <is>
          <t>Tretåig hackspett</t>
        </is>
      </c>
      <c r="V52">
        <f>HYPERLINK("https://klasma.github.io/Logging_2403/artfynd/A 32506-2024 artfynd.xlsx", "A 32506-2024")</f>
        <v/>
      </c>
      <c r="W52">
        <f>HYPERLINK("https://klasma.github.io/Logging_2403/kartor/A 32506-2024 karta.png", "A 32506-2024")</f>
        <v/>
      </c>
      <c r="Y52">
        <f>HYPERLINK("https://klasma.github.io/Logging_2403/klagomål/A 32506-2024 FSC-klagomål.docx", "A 32506-2024")</f>
        <v/>
      </c>
      <c r="Z52">
        <f>HYPERLINK("https://klasma.github.io/Logging_2403/klagomålsmail/A 32506-2024 FSC-klagomål mail.docx", "A 32506-2024")</f>
        <v/>
      </c>
      <c r="AA52">
        <f>HYPERLINK("https://klasma.github.io/Logging_2403/tillsyn/A 32506-2024 tillsynsbegäran.docx", "A 32506-2024")</f>
        <v/>
      </c>
      <c r="AB52">
        <f>HYPERLINK("https://klasma.github.io/Logging_2403/tillsynsmail/A 32506-2024 tillsynsbegäran mail.docx", "A 32506-2024")</f>
        <v/>
      </c>
      <c r="AC52">
        <f>HYPERLINK("https://klasma.github.io/Logging_2403/fåglar/A 32506-2024 prioriterade fågelarter.docx", "A 32506-2024")</f>
        <v/>
      </c>
    </row>
    <row r="53" ht="15" customHeight="1">
      <c r="A53" t="inlineStr">
        <is>
          <t>A 26919-2026</t>
        </is>
      </c>
      <c r="B53" t="inlineStr">
        <is>
          <t>avverkningsanmälan</t>
        </is>
      </c>
      <c r="C53" t="inlineStr">
        <is>
          <t>Föryngringsavverkning</t>
        </is>
      </c>
      <c r="D53" s="1" t="n">
        <v>46185</v>
      </c>
      <c r="E53" s="1" t="n">
        <v>46216</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s="2" t="inlineStr">
        <is>
          <t>Älg</t>
        </is>
      </c>
      <c r="V53">
        <f>HYPERLINK("https://klasma.github.io/Logging_2403/artfynd/A 26919-2026 artfynd.xlsx", "A 26919-2026")</f>
        <v/>
      </c>
      <c r="W53">
        <f>HYPERLINK("https://klasma.github.io/Logging_2403/kartor/A 26919-2026 karta.png", "A 26919-2026")</f>
        <v/>
      </c>
      <c r="Y53">
        <f>HYPERLINK("https://klasma.github.io/Logging_2403/klagomål/A 26919-2026 FSC-klagomål.docx", "A 26919-2026")</f>
        <v/>
      </c>
      <c r="Z53">
        <f>HYPERLINK("https://klasma.github.io/Logging_2403/klagomålsmail/A 26919-2026 FSC-klagomål mail.docx", "A 26919-2026")</f>
        <v/>
      </c>
      <c r="AA53">
        <f>HYPERLINK("https://klasma.github.io/Logging_2403/tillsyn/A 26919-2026 tillsynsbegäran.docx", "A 26919-2026")</f>
        <v/>
      </c>
      <c r="AB53">
        <f>HYPERLINK("https://klasma.github.io/Logging_2403/tillsynsmail/A 26919-2026 tillsynsbegäran mail.docx", "A 26919-2026")</f>
        <v/>
      </c>
    </row>
    <row r="54" ht="15" customHeight="1">
      <c r="A54" t="inlineStr">
        <is>
          <t>A 7897-2022</t>
        </is>
      </c>
      <c r="B54" t="inlineStr">
        <is>
          <t>avverkningsanmälan</t>
        </is>
      </c>
      <c r="C54" t="inlineStr">
        <is>
          <t>Föryngringsavverkning</t>
        </is>
      </c>
      <c r="D54" s="1" t="n">
        <v>44608</v>
      </c>
      <c r="E54" s="1" t="n">
        <v>46216</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s="2" t="inlineStr">
        <is>
          <t>Mjälgrävare</t>
        </is>
      </c>
      <c r="V54">
        <f>HYPERLINK("https://klasma.github.io/Logging_2403/artfynd/A 7897-2022 artfynd.xlsx", "A 7897-2022")</f>
        <v/>
      </c>
      <c r="W54">
        <f>HYPERLINK("https://klasma.github.io/Logging_2403/kartor/A 7897-2022 karta.png", "A 7897-2022")</f>
        <v/>
      </c>
      <c r="Y54">
        <f>HYPERLINK("https://klasma.github.io/Logging_2403/klagomål/A 7897-2022 FSC-klagomål.docx", "A 7897-2022")</f>
        <v/>
      </c>
      <c r="Z54">
        <f>HYPERLINK("https://klasma.github.io/Logging_2403/klagomålsmail/A 7897-2022 FSC-klagomål mail.docx", "A 7897-2022")</f>
        <v/>
      </c>
      <c r="AA54">
        <f>HYPERLINK("https://klasma.github.io/Logging_2403/tillsyn/A 7897-2022 tillsynsbegäran.docx", "A 7897-2022")</f>
        <v/>
      </c>
      <c r="AB54">
        <f>HYPERLINK("https://klasma.github.io/Logging_2403/tillsynsmail/A 7897-2022 tillsynsbegäran mail.docx", "A 7897-2022")</f>
        <v/>
      </c>
    </row>
    <row r="55" ht="15" customHeight="1">
      <c r="A55" t="inlineStr">
        <is>
          <t>A 94-2025</t>
        </is>
      </c>
      <c r="B55" t="inlineStr">
        <is>
          <t>avverkningsanmälan</t>
        </is>
      </c>
      <c r="C55" t="inlineStr">
        <is>
          <t>Föryngringsavverkning</t>
        </is>
      </c>
      <c r="D55" s="1" t="n">
        <v>45659</v>
      </c>
      <c r="E55" s="1" t="n">
        <v>46216</v>
      </c>
      <c r="F55" t="inlineStr">
        <is>
          <t>VÄSTERBOTTENS LÄN</t>
        </is>
      </c>
      <c r="G55" t="inlineStr">
        <is>
          <t>BJURHOLM</t>
        </is>
      </c>
      <c r="I55" t="n">
        <v>1.5</v>
      </c>
      <c r="J55" t="n">
        <v>0</v>
      </c>
      <c r="K55" t="n">
        <v>0</v>
      </c>
      <c r="L55" t="n">
        <v>1</v>
      </c>
      <c r="M55" t="n">
        <v>0</v>
      </c>
      <c r="N55" t="n">
        <v>0</v>
      </c>
      <c r="O55" t="n">
        <v>0</v>
      </c>
      <c r="P55" t="n">
        <v>0</v>
      </c>
      <c r="Q55" t="n">
        <v>1</v>
      </c>
      <c r="R55" t="n">
        <v>0</v>
      </c>
      <c r="S55" t="n">
        <v>1</v>
      </c>
      <c r="T55" t="n">
        <v>2</v>
      </c>
      <c r="U55" s="2" t="inlineStr">
        <is>
          <t>Violettgrå tagellav</t>
        </is>
      </c>
      <c r="V55">
        <f>HYPERLINK("https://klasma.github.io/Logging_2403/artfynd/A 94-2025 artfynd.xlsx", "A 94-2025")</f>
        <v/>
      </c>
      <c r="W55">
        <f>HYPERLINK("https://klasma.github.io/Logging_2403/kartor/A 94-2025 karta.png", "A 94-2025")</f>
        <v/>
      </c>
      <c r="Y55">
        <f>HYPERLINK("https://klasma.github.io/Logging_2403/klagomål/A 94-2025 FSC-klagomål.docx", "A 94-2025")</f>
        <v/>
      </c>
      <c r="Z55">
        <f>HYPERLINK("https://klasma.github.io/Logging_2403/klagomålsmail/A 94-2025 FSC-klagomål mail.docx", "A 94-2025")</f>
        <v/>
      </c>
      <c r="AA55">
        <f>HYPERLINK("https://klasma.github.io/Logging_2403/tillsyn/A 94-2025 tillsynsbegäran.docx", "A 94-2025")</f>
        <v/>
      </c>
      <c r="AB55">
        <f>HYPERLINK("https://klasma.github.io/Logging_2403/tillsynsmail/A 94-2025 tillsynsbegäran mail.docx", "A 94-2025")</f>
        <v/>
      </c>
    </row>
    <row r="56" ht="15" customHeight="1">
      <c r="A56" t="inlineStr">
        <is>
          <t>A 29352-2026</t>
        </is>
      </c>
      <c r="B56" t="inlineStr">
        <is>
          <t>avverkningsanmälan</t>
        </is>
      </c>
      <c r="C56" t="inlineStr">
        <is>
          <t>Föryngringsavverkning</t>
        </is>
      </c>
      <c r="D56" s="1" t="n">
        <v>46203</v>
      </c>
      <c r="E56" s="1" t="n">
        <v>46216</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s="2" t="inlineStr">
        <is>
          <t>Utter</t>
        </is>
      </c>
      <c r="V56">
        <f>HYPERLINK("https://klasma.github.io/Logging_2403/artfynd/A 29352-2026 artfynd.xlsx", "A 29352-2026")</f>
        <v/>
      </c>
      <c r="W56">
        <f>HYPERLINK("https://klasma.github.io/Logging_2403/kartor/A 29352-2026 karta.png", "A 29352-2026")</f>
        <v/>
      </c>
      <c r="Y56">
        <f>HYPERLINK("https://klasma.github.io/Logging_2403/klagomål/A 29352-2026 FSC-klagomål.docx", "A 29352-2026")</f>
        <v/>
      </c>
      <c r="Z56">
        <f>HYPERLINK("https://klasma.github.io/Logging_2403/klagomålsmail/A 29352-2026 FSC-klagomål mail.docx", "A 29352-2026")</f>
        <v/>
      </c>
      <c r="AA56">
        <f>HYPERLINK("https://klasma.github.io/Logging_2403/tillsyn/A 29352-2026 tillsynsbegäran.docx", "A 29352-2026")</f>
        <v/>
      </c>
      <c r="AB56">
        <f>HYPERLINK("https://klasma.github.io/Logging_2403/tillsynsmail/A 29352-2026 tillsynsbegäran mail.docx", "A 29352-2026")</f>
        <v/>
      </c>
    </row>
    <row r="57" ht="15" customHeight="1">
      <c r="A57" t="inlineStr">
        <is>
          <t>A 23993-2026</t>
        </is>
      </c>
      <c r="B57" t="inlineStr">
        <is>
          <t>avverkningsanmälan</t>
        </is>
      </c>
      <c r="C57" t="inlineStr">
        <is>
          <t>Föryngringsavverkning</t>
        </is>
      </c>
      <c r="D57" s="1" t="n">
        <v>46167</v>
      </c>
      <c r="E57" s="1" t="n">
        <v>46216</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s="2" t="inlineStr">
        <is>
          <t>Dropptaggsvamp</t>
        </is>
      </c>
      <c r="V57">
        <f>HYPERLINK("https://klasma.github.io/Logging_2403/artfynd/A 23993-2026 artfynd.xlsx", "A 23993-2026")</f>
        <v/>
      </c>
      <c r="W57">
        <f>HYPERLINK("https://klasma.github.io/Logging_2403/kartor/A 23993-2026 karta.png", "A 23993-2026")</f>
        <v/>
      </c>
      <c r="Y57">
        <f>HYPERLINK("https://klasma.github.io/Logging_2403/klagomål/A 23993-2026 FSC-klagomål.docx", "A 23993-2026")</f>
        <v/>
      </c>
      <c r="Z57">
        <f>HYPERLINK("https://klasma.github.io/Logging_2403/klagomålsmail/A 23993-2026 FSC-klagomål mail.docx", "A 23993-2026")</f>
        <v/>
      </c>
      <c r="AA57">
        <f>HYPERLINK("https://klasma.github.io/Logging_2403/tillsyn/A 23993-2026 tillsynsbegäran.docx", "A 23993-2026")</f>
        <v/>
      </c>
      <c r="AB57">
        <f>HYPERLINK("https://klasma.github.io/Logging_2403/tillsynsmail/A 23993-2026 tillsynsbegäran mail.docx", "A 23993-2026")</f>
        <v/>
      </c>
    </row>
    <row r="58" ht="15" customHeight="1">
      <c r="A58" t="inlineStr">
        <is>
          <t>S 831-2022</t>
        </is>
      </c>
      <c r="B58" t="inlineStr">
        <is>
          <t>samrådsanmälan</t>
        </is>
      </c>
      <c r="C58" t="inlineStr">
        <is>
          <t>Skogsgödsling</t>
        </is>
      </c>
      <c r="D58" s="1" t="n">
        <v>44603</v>
      </c>
      <c r="E58" s="1" t="n">
        <v>46216</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s="2" t="inlineStr">
        <is>
          <t>Gammelgransskål</t>
        </is>
      </c>
      <c r="V58">
        <f>HYPERLINK("https://klasma.github.io/Logging_2403/artfynd/S 831-2022 artfynd.xlsx", "S 831-2022")</f>
        <v/>
      </c>
      <c r="W58">
        <f>HYPERLINK("https://klasma.github.io/Logging_2403/kartor/S 831-2022 karta.png", "S 831-2022")</f>
        <v/>
      </c>
      <c r="Y58">
        <f>HYPERLINK("https://klasma.github.io/Logging_2403/klagomål/S 831-2022 FSC-klagomål.docx", "S 831-2022")</f>
        <v/>
      </c>
      <c r="Z58">
        <f>HYPERLINK("https://klasma.github.io/Logging_2403/klagomålsmail/S 831-2022 FSC-klagomål mail.docx", "S 831-2022")</f>
        <v/>
      </c>
      <c r="AA58">
        <f>HYPERLINK("https://klasma.github.io/Logging_2403/tillsyn/S 831-2022 tillsynsbegäran.docx", "S 831-2022")</f>
        <v/>
      </c>
      <c r="AB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46216</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s="2" t="inlineStr">
        <is>
          <t>Tallticka</t>
        </is>
      </c>
      <c r="V59">
        <f>HYPERLINK("https://klasma.github.io/Logging_2403/artfynd/S 1195-2025 artfynd.xlsx", "S 1195-2025")</f>
        <v/>
      </c>
      <c r="W59">
        <f>HYPERLINK("https://klasma.github.io/Logging_2403/kartor/S 1195-2025 karta.png", "S 1195-2025")</f>
        <v/>
      </c>
      <c r="Y59">
        <f>HYPERLINK("https://klasma.github.io/Logging_2403/klagomål/S 1195-2025 FSC-klagomål.docx", "S 1195-2025")</f>
        <v/>
      </c>
      <c r="Z59">
        <f>HYPERLINK("https://klasma.github.io/Logging_2403/klagomålsmail/S 1195-2025 FSC-klagomål mail.docx", "S 1195-2025")</f>
        <v/>
      </c>
      <c r="AA59">
        <f>HYPERLINK("https://klasma.github.io/Logging_2403/tillsyn/S 1195-2025 tillsynsbegäran.docx", "S 1195-2025")</f>
        <v/>
      </c>
      <c r="AB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46216</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s="2" t="inlineStr">
        <is>
          <t>Tretåig hackspett</t>
        </is>
      </c>
      <c r="V60">
        <f>HYPERLINK("https://klasma.github.io/Logging_2403/artfynd/S 435-2026 artfynd.xlsx", "S 435-2026")</f>
        <v/>
      </c>
      <c r="W60">
        <f>HYPERLINK("https://klasma.github.io/Logging_2403/kartor/S 435-2026 karta.png", "S 435-2026")</f>
        <v/>
      </c>
      <c r="Y60">
        <f>HYPERLINK("https://klasma.github.io/Logging_2403/klagomål/S 435-2026 FSC-klagomål.docx", "S 435-2026")</f>
        <v/>
      </c>
      <c r="Z60">
        <f>HYPERLINK("https://klasma.github.io/Logging_2403/klagomålsmail/S 435-2026 FSC-klagomål mail.docx", "S 435-2026")</f>
        <v/>
      </c>
      <c r="AA60">
        <f>HYPERLINK("https://klasma.github.io/Logging_2403/tillsyn/S 435-2026 tillsynsbegäran.docx", "S 435-2026")</f>
        <v/>
      </c>
      <c r="AB60">
        <f>HYPERLINK("https://klasma.github.io/Logging_2403/tillsynsmail/S 435-2026 tillsynsbegäran mail.docx", "S 435-2026")</f>
        <v/>
      </c>
      <c r="AC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46216</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s="2" t="inlineStr"/>
    </row>
    <row r="62" ht="15" customHeight="1">
      <c r="A62" t="inlineStr">
        <is>
          <t>A 28040-2022</t>
        </is>
      </c>
      <c r="B62" t="inlineStr">
        <is>
          <t>avverkningsanmälan</t>
        </is>
      </c>
      <c r="C62" t="inlineStr">
        <is>
          <t>Föryngringsavverkning</t>
        </is>
      </c>
      <c r="D62" s="1" t="n">
        <v>44746</v>
      </c>
      <c r="E62" s="1" t="n">
        <v>46216</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s="2" t="inlineStr"/>
    </row>
    <row r="63" ht="15" customHeight="1">
      <c r="A63" t="inlineStr">
        <is>
          <t>A 31412-2022</t>
        </is>
      </c>
      <c r="B63" t="inlineStr">
        <is>
          <t>avverkningsanmälan</t>
        </is>
      </c>
      <c r="C63" t="inlineStr">
        <is>
          <t>Föryngringsavverkning</t>
        </is>
      </c>
      <c r="D63" s="1" t="n">
        <v>44774</v>
      </c>
      <c r="E63" s="1" t="n">
        <v>46216</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s="2" t="inlineStr"/>
    </row>
    <row r="64" ht="15" customHeight="1">
      <c r="A64" t="inlineStr">
        <is>
          <t>A 42403-2022</t>
        </is>
      </c>
      <c r="B64" t="inlineStr">
        <is>
          <t>avverkningsanmälan</t>
        </is>
      </c>
      <c r="C64" t="inlineStr">
        <is>
          <t>Föryngringsavverkning</t>
        </is>
      </c>
      <c r="D64" s="1" t="n">
        <v>44831</v>
      </c>
      <c r="E64" s="1" t="n">
        <v>46216</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s="2" t="inlineStr"/>
    </row>
    <row r="65" ht="15" customHeight="1">
      <c r="A65" t="inlineStr">
        <is>
          <t>A 40000-2022</t>
        </is>
      </c>
      <c r="B65" t="inlineStr">
        <is>
          <t>avverkningsanmälan</t>
        </is>
      </c>
      <c r="C65" t="inlineStr">
        <is>
          <t>Föryngringsavverkning</t>
        </is>
      </c>
      <c r="D65" s="1" t="n">
        <v>44818</v>
      </c>
      <c r="E65" s="1" t="n">
        <v>46216</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s="2" t="inlineStr"/>
    </row>
    <row r="66" ht="15" customHeight="1">
      <c r="A66" t="inlineStr">
        <is>
          <t>A 60862-2023</t>
        </is>
      </c>
      <c r="B66" t="inlineStr">
        <is>
          <t>avverkningsanmälan</t>
        </is>
      </c>
      <c r="C66" t="inlineStr">
        <is>
          <t>Avverkning för att bevara och utveckla /försöksver</t>
        </is>
      </c>
      <c r="D66" s="1" t="n">
        <v>45260</v>
      </c>
      <c r="E66" s="1" t="n">
        <v>46216</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s="2" t="inlineStr"/>
    </row>
    <row r="67" ht="15" customHeight="1">
      <c r="A67" t="inlineStr">
        <is>
          <t>A 45418-2022</t>
        </is>
      </c>
      <c r="B67" t="inlineStr">
        <is>
          <t>avverkningsanmälan</t>
        </is>
      </c>
      <c r="C67" t="inlineStr">
        <is>
          <t>Föryngringsavverkning</t>
        </is>
      </c>
      <c r="D67" s="1" t="n">
        <v>44844</v>
      </c>
      <c r="E67" s="1" t="n">
        <v>46216</v>
      </c>
      <c r="F67" t="inlineStr">
        <is>
          <t>VÄSTERBOTTENS LÄN</t>
        </is>
      </c>
      <c r="G67" t="inlineStr">
        <is>
          <t>BJURHOLM</t>
        </is>
      </c>
      <c r="I67" t="n">
        <v>1.5</v>
      </c>
      <c r="J67" t="n">
        <v>0</v>
      </c>
      <c r="K67" t="n">
        <v>0</v>
      </c>
      <c r="L67" t="n">
        <v>0</v>
      </c>
      <c r="M67" t="n">
        <v>0</v>
      </c>
      <c r="N67" t="n">
        <v>0</v>
      </c>
      <c r="O67" t="n">
        <v>0</v>
      </c>
      <c r="P67" t="n">
        <v>0</v>
      </c>
      <c r="Q67" t="n">
        <v>0</v>
      </c>
      <c r="R67" t="n">
        <v>0</v>
      </c>
      <c r="S67" t="n">
        <v>0</v>
      </c>
      <c r="T67" t="n">
        <v>0</v>
      </c>
      <c r="U67" s="2" t="inlineStr"/>
    </row>
    <row r="68" ht="15" customHeight="1">
      <c r="A68" t="inlineStr">
        <is>
          <t>A 37332-2021</t>
        </is>
      </c>
      <c r="B68" t="inlineStr">
        <is>
          <t>avverkningsanmälan</t>
        </is>
      </c>
      <c r="C68" t="inlineStr">
        <is>
          <t>Avverkning för annat ändamål</t>
        </is>
      </c>
      <c r="D68" s="1" t="n">
        <v>44397</v>
      </c>
      <c r="E68" s="1" t="n">
        <v>46216</v>
      </c>
      <c r="F68" t="inlineStr">
        <is>
          <t>VÄSTERBOTTENS LÄN</t>
        </is>
      </c>
      <c r="G68" t="inlineStr">
        <is>
          <t>BJURHOLM</t>
        </is>
      </c>
      <c r="I68" t="n">
        <v>0.1</v>
      </c>
      <c r="J68" t="n">
        <v>0</v>
      </c>
      <c r="K68" t="n">
        <v>0</v>
      </c>
      <c r="L68" t="n">
        <v>0</v>
      </c>
      <c r="M68" t="n">
        <v>0</v>
      </c>
      <c r="N68" t="n">
        <v>0</v>
      </c>
      <c r="O68" t="n">
        <v>0</v>
      </c>
      <c r="P68" t="n">
        <v>0</v>
      </c>
      <c r="Q68" t="n">
        <v>0</v>
      </c>
      <c r="R68" t="n">
        <v>0</v>
      </c>
      <c r="S68" t="n">
        <v>0</v>
      </c>
      <c r="T68" t="n">
        <v>0</v>
      </c>
      <c r="U68" s="2" t="inlineStr"/>
    </row>
    <row r="69" ht="15" customHeight="1">
      <c r="A69" t="inlineStr">
        <is>
          <t>A 42391-2022</t>
        </is>
      </c>
      <c r="B69" t="inlineStr">
        <is>
          <t>avverkningsanmälan</t>
        </is>
      </c>
      <c r="C69" t="inlineStr">
        <is>
          <t>Föryngringsavverkning</t>
        </is>
      </c>
      <c r="D69" s="1" t="n">
        <v>44831</v>
      </c>
      <c r="E69" s="1" t="n">
        <v>46216</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s="2" t="inlineStr"/>
    </row>
    <row r="70" ht="15" customHeight="1">
      <c r="A70" t="inlineStr">
        <is>
          <t>A 49887-2022</t>
        </is>
      </c>
      <c r="B70" t="inlineStr">
        <is>
          <t>avverkningsanmälan</t>
        </is>
      </c>
      <c r="C70" t="inlineStr">
        <is>
          <t>Föryngringsavverkning</t>
        </is>
      </c>
      <c r="D70" s="1" t="n">
        <v>44864</v>
      </c>
      <c r="E70" s="1" t="n">
        <v>46216</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s="2" t="inlineStr"/>
    </row>
    <row r="71" ht="15" customHeight="1">
      <c r="A71" t="inlineStr">
        <is>
          <t>A 51361-2021</t>
        </is>
      </c>
      <c r="B71" t="inlineStr">
        <is>
          <t>avverkningsanmälan</t>
        </is>
      </c>
      <c r="C71" t="inlineStr">
        <is>
          <t>Avverkning för annat ändamål</t>
        </is>
      </c>
      <c r="D71" s="1" t="n">
        <v>44461</v>
      </c>
      <c r="E71" s="1" t="n">
        <v>46216</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s="2" t="inlineStr"/>
    </row>
    <row r="72" ht="15" customHeight="1">
      <c r="A72" t="inlineStr">
        <is>
          <t>A 51368-2021</t>
        </is>
      </c>
      <c r="B72" t="inlineStr">
        <is>
          <t>avverkningsanmälan</t>
        </is>
      </c>
      <c r="C72" t="inlineStr">
        <is>
          <t>Avverkning för annat ändamål</t>
        </is>
      </c>
      <c r="D72" s="1" t="n">
        <v>44461</v>
      </c>
      <c r="E72" s="1" t="n">
        <v>46216</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52111-2021</t>
        </is>
      </c>
      <c r="B73" t="inlineStr">
        <is>
          <t>avverkningsanmälan</t>
        </is>
      </c>
      <c r="C73" t="inlineStr">
        <is>
          <t>Föryngringsavverkning</t>
        </is>
      </c>
      <c r="D73" s="1" t="n">
        <v>44462</v>
      </c>
      <c r="E73" s="1" t="n">
        <v>46216</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s="2" t="inlineStr"/>
    </row>
    <row r="74" ht="15" customHeight="1">
      <c r="A74" t="inlineStr">
        <is>
          <t>A 62807-2021</t>
        </is>
      </c>
      <c r="B74" t="inlineStr">
        <is>
          <t>avverkningsanmälan</t>
        </is>
      </c>
      <c r="C74" t="inlineStr">
        <is>
          <t>Föryngringsavverkning</t>
        </is>
      </c>
      <c r="D74" s="1" t="n">
        <v>44504</v>
      </c>
      <c r="E74" s="1" t="n">
        <v>46216</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s="2" t="inlineStr"/>
    </row>
    <row r="75" ht="15" customHeight="1">
      <c r="A75" t="inlineStr">
        <is>
          <t>A 7910-2022</t>
        </is>
      </c>
      <c r="B75" t="inlineStr">
        <is>
          <t>avverkningsanmälan</t>
        </is>
      </c>
      <c r="C75" t="inlineStr">
        <is>
          <t>Föryngringsavverkning</t>
        </is>
      </c>
      <c r="D75" s="1" t="n">
        <v>44608</v>
      </c>
      <c r="E75" s="1" t="n">
        <v>46216</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s="2" t="inlineStr"/>
    </row>
    <row r="76" ht="15" customHeight="1">
      <c r="A76" t="inlineStr">
        <is>
          <t>A 73665-2021</t>
        </is>
      </c>
      <c r="B76" t="inlineStr">
        <is>
          <t>avverkningsanmälan</t>
        </is>
      </c>
      <c r="C76" t="inlineStr">
        <is>
          <t>Föryngringsavverkning</t>
        </is>
      </c>
      <c r="D76" s="1" t="n">
        <v>44551</v>
      </c>
      <c r="E76" s="1" t="n">
        <v>46216</v>
      </c>
      <c r="F76" t="inlineStr">
        <is>
          <t>VÄSTERBOTTENS LÄN</t>
        </is>
      </c>
      <c r="G76" t="inlineStr">
        <is>
          <t>BJURHOLM</t>
        </is>
      </c>
      <c r="I76" t="n">
        <v>11.7</v>
      </c>
      <c r="J76" t="n">
        <v>0</v>
      </c>
      <c r="K76" t="n">
        <v>0</v>
      </c>
      <c r="L76" t="n">
        <v>0</v>
      </c>
      <c r="M76" t="n">
        <v>0</v>
      </c>
      <c r="N76" t="n">
        <v>0</v>
      </c>
      <c r="O76" t="n">
        <v>0</v>
      </c>
      <c r="P76" t="n">
        <v>0</v>
      </c>
      <c r="Q76" t="n">
        <v>0</v>
      </c>
      <c r="R76" t="n">
        <v>0</v>
      </c>
      <c r="S76" t="n">
        <v>0</v>
      </c>
      <c r="T76" t="n">
        <v>0</v>
      </c>
      <c r="U76" s="2" t="inlineStr"/>
    </row>
    <row r="77" ht="15" customHeight="1">
      <c r="A77" t="inlineStr">
        <is>
          <t>A 20830-2022</t>
        </is>
      </c>
      <c r="B77" t="inlineStr">
        <is>
          <t>avverkningsanmälan</t>
        </is>
      </c>
      <c r="C77" t="inlineStr">
        <is>
          <t>Föryngringsavverkning</t>
        </is>
      </c>
      <c r="D77" s="1" t="n">
        <v>44701</v>
      </c>
      <c r="E77" s="1" t="n">
        <v>46216</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s="2" t="inlineStr"/>
    </row>
    <row r="78" ht="15" customHeight="1">
      <c r="A78" t="inlineStr">
        <is>
          <t>A 37328-2021</t>
        </is>
      </c>
      <c r="B78" t="inlineStr">
        <is>
          <t>avverkningsanmälan</t>
        </is>
      </c>
      <c r="C78" t="inlineStr">
        <is>
          <t>Föryngringsavverkning</t>
        </is>
      </c>
      <c r="D78" s="1" t="n">
        <v>44397</v>
      </c>
      <c r="E78" s="1" t="n">
        <v>46216</v>
      </c>
      <c r="F78" t="inlineStr">
        <is>
          <t>VÄSTERBOTTENS LÄN</t>
        </is>
      </c>
      <c r="G78" t="inlineStr">
        <is>
          <t>BJURHOLM</t>
        </is>
      </c>
      <c r="I78" t="n">
        <v>3.4</v>
      </c>
      <c r="J78" t="n">
        <v>0</v>
      </c>
      <c r="K78" t="n">
        <v>0</v>
      </c>
      <c r="L78" t="n">
        <v>0</v>
      </c>
      <c r="M78" t="n">
        <v>0</v>
      </c>
      <c r="N78" t="n">
        <v>0</v>
      </c>
      <c r="O78" t="n">
        <v>0</v>
      </c>
      <c r="P78" t="n">
        <v>0</v>
      </c>
      <c r="Q78" t="n">
        <v>0</v>
      </c>
      <c r="R78" t="n">
        <v>0</v>
      </c>
      <c r="S78" t="n">
        <v>0</v>
      </c>
      <c r="T78" t="n">
        <v>0</v>
      </c>
      <c r="U78" s="2" t="inlineStr"/>
    </row>
    <row r="79" ht="15" customHeight="1">
      <c r="A79" t="inlineStr">
        <is>
          <t>A 9928-2022</t>
        </is>
      </c>
      <c r="B79" t="inlineStr">
        <is>
          <t>avverkningsanmälan</t>
        </is>
      </c>
      <c r="C79" t="inlineStr">
        <is>
          <t>Föryngringsavverkning</t>
        </is>
      </c>
      <c r="D79" s="1" t="n">
        <v>44620</v>
      </c>
      <c r="E79" s="1" t="n">
        <v>46216</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s="2" t="inlineStr"/>
    </row>
    <row r="80" ht="15" customHeight="1">
      <c r="A80" t="inlineStr">
        <is>
          <t>A 31177-2022</t>
        </is>
      </c>
      <c r="B80" t="inlineStr">
        <is>
          <t>avverkningsanmälan</t>
        </is>
      </c>
      <c r="C80" t="inlineStr">
        <is>
          <t>Föryngringsavverkning</t>
        </is>
      </c>
      <c r="D80" s="1" t="n">
        <v>44770</v>
      </c>
      <c r="E80" s="1" t="n">
        <v>46216</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s="2" t="inlineStr"/>
    </row>
    <row r="81" ht="15" customHeight="1">
      <c r="A81" t="inlineStr">
        <is>
          <t>A 7915-2022</t>
        </is>
      </c>
      <c r="B81" t="inlineStr">
        <is>
          <t>avverkningsanmälan</t>
        </is>
      </c>
      <c r="C81" t="inlineStr">
        <is>
          <t>Föryngringsavverkning</t>
        </is>
      </c>
      <c r="D81" s="1" t="n">
        <v>44608</v>
      </c>
      <c r="E81" s="1" t="n">
        <v>46216</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s="2" t="inlineStr"/>
    </row>
    <row r="82" ht="15" customHeight="1">
      <c r="A82" t="inlineStr">
        <is>
          <t>A 2706-2022</t>
        </is>
      </c>
      <c r="B82" t="inlineStr">
        <is>
          <t>avverkningsanmälan</t>
        </is>
      </c>
      <c r="C82" t="inlineStr">
        <is>
          <t>Avverkning för annat ändamål</t>
        </is>
      </c>
      <c r="D82" s="1" t="n">
        <v>44580</v>
      </c>
      <c r="E82" s="1" t="n">
        <v>46216</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s="2" t="inlineStr"/>
    </row>
    <row r="83" ht="15" customHeight="1">
      <c r="A83" t="inlineStr">
        <is>
          <t>A 41388-2022</t>
        </is>
      </c>
      <c r="B83" t="inlineStr">
        <is>
          <t>avverkningsanmälan</t>
        </is>
      </c>
      <c r="C83" t="inlineStr">
        <is>
          <t>Föryngringsavverkning</t>
        </is>
      </c>
      <c r="D83" s="1" t="n">
        <v>44826</v>
      </c>
      <c r="E83" s="1" t="n">
        <v>46216</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s="2" t="inlineStr"/>
    </row>
    <row r="84" ht="15" customHeight="1">
      <c r="A84" t="inlineStr">
        <is>
          <t>A 49648-2022</t>
        </is>
      </c>
      <c r="B84" t="inlineStr">
        <is>
          <t>avverkningsanmälan</t>
        </is>
      </c>
      <c r="C84" t="inlineStr">
        <is>
          <t>Föryngringsavverkning</t>
        </is>
      </c>
      <c r="D84" s="1" t="n">
        <v>44862</v>
      </c>
      <c r="E84" s="1" t="n">
        <v>46216</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s="2" t="inlineStr"/>
    </row>
    <row r="85" ht="15" customHeight="1">
      <c r="A85" t="inlineStr">
        <is>
          <t>A 9926-2022</t>
        </is>
      </c>
      <c r="B85" t="inlineStr">
        <is>
          <t>avverkningsanmälan</t>
        </is>
      </c>
      <c r="C85" t="inlineStr">
        <is>
          <t>Föryngringsavverkning</t>
        </is>
      </c>
      <c r="D85" s="1" t="n">
        <v>44620</v>
      </c>
      <c r="E85" s="1" t="n">
        <v>46216</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s="2" t="inlineStr"/>
    </row>
    <row r="86" ht="15" customHeight="1">
      <c r="A86" t="inlineStr">
        <is>
          <t>A 9927-2022</t>
        </is>
      </c>
      <c r="B86" t="inlineStr">
        <is>
          <t>avverkningsanmälan</t>
        </is>
      </c>
      <c r="C86" t="inlineStr">
        <is>
          <t>Föryngringsavverkning</t>
        </is>
      </c>
      <c r="D86" s="1" t="n">
        <v>44620</v>
      </c>
      <c r="E86" s="1" t="n">
        <v>46216</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s="2" t="inlineStr"/>
    </row>
    <row r="87" ht="15" customHeight="1">
      <c r="A87" t="inlineStr">
        <is>
          <t>A 67775-2021</t>
        </is>
      </c>
      <c r="B87" t="inlineStr">
        <is>
          <t>avverkningsanmälan</t>
        </is>
      </c>
      <c r="C87" t="inlineStr">
        <is>
          <t>Avverkning för att bevara och utveckla /försöksver</t>
        </is>
      </c>
      <c r="D87" s="1" t="n">
        <v>44524</v>
      </c>
      <c r="E87" s="1" t="n">
        <v>46216</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s="2" t="inlineStr"/>
    </row>
    <row r="88" ht="15" customHeight="1">
      <c r="A88" t="inlineStr">
        <is>
          <t>A 67762-2021</t>
        </is>
      </c>
      <c r="B88" t="inlineStr">
        <is>
          <t>avverkningsanmälan</t>
        </is>
      </c>
      <c r="C88" t="inlineStr">
        <is>
          <t>Föryngringsavverkning</t>
        </is>
      </c>
      <c r="D88" s="1" t="n">
        <v>44524</v>
      </c>
      <c r="E88" s="1" t="n">
        <v>46216</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s="2" t="inlineStr"/>
    </row>
    <row r="89" ht="15" customHeight="1">
      <c r="A89" t="inlineStr">
        <is>
          <t>A 31381-2022</t>
        </is>
      </c>
      <c r="B89" t="inlineStr">
        <is>
          <t>avverkningsanmälan</t>
        </is>
      </c>
      <c r="C89" t="inlineStr">
        <is>
          <t>Föryngringsavverkning</t>
        </is>
      </c>
      <c r="D89" s="1" t="n">
        <v>44774</v>
      </c>
      <c r="E89" s="1" t="n">
        <v>46216</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s="2" t="inlineStr"/>
    </row>
    <row r="90" ht="15" customHeight="1">
      <c r="A90" t="inlineStr">
        <is>
          <t>A 59178-2021</t>
        </is>
      </c>
      <c r="B90" t="inlineStr">
        <is>
          <t>avverkningsanmälan</t>
        </is>
      </c>
      <c r="C90" t="inlineStr">
        <is>
          <t>Föryngringsavverkning</t>
        </is>
      </c>
      <c r="D90" s="1" t="n">
        <v>44490</v>
      </c>
      <c r="E90" s="1" t="n">
        <v>46216</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s="2" t="inlineStr"/>
    </row>
    <row r="91" ht="15" customHeight="1">
      <c r="A91" t="inlineStr">
        <is>
          <t>A 57867-2021</t>
        </is>
      </c>
      <c r="B91" t="inlineStr">
        <is>
          <t>avverkningsanmälan</t>
        </is>
      </c>
      <c r="C91" t="inlineStr">
        <is>
          <t>Föryngringsavverkning</t>
        </is>
      </c>
      <c r="D91" s="1" t="n">
        <v>44484</v>
      </c>
      <c r="E91" s="1" t="n">
        <v>46216</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s="2" t="inlineStr"/>
    </row>
    <row r="92" ht="15" customHeight="1">
      <c r="A92" t="inlineStr">
        <is>
          <t>A 50441-2024</t>
        </is>
      </c>
      <c r="B92" t="inlineStr">
        <is>
          <t>avverkningsanmälan</t>
        </is>
      </c>
      <c r="C92" t="inlineStr">
        <is>
          <t>Föryngringsavverkning</t>
        </is>
      </c>
      <c r="D92" s="1" t="n">
        <v>45601</v>
      </c>
      <c r="E92" s="1" t="n">
        <v>46216</v>
      </c>
      <c r="F92" t="inlineStr">
        <is>
          <t>VÄSTERBOTTENS LÄN</t>
        </is>
      </c>
      <c r="G92" t="inlineStr">
        <is>
          <t>BJURHOLM</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26459-2024</t>
        </is>
      </c>
      <c r="B93" t="inlineStr">
        <is>
          <t>avverkningsanmälan</t>
        </is>
      </c>
      <c r="C93" t="inlineStr">
        <is>
          <t>Avverkning för annat ändamål</t>
        </is>
      </c>
      <c r="D93" s="1" t="n">
        <v>45469</v>
      </c>
      <c r="E93" s="1" t="n">
        <v>46216</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s="2" t="inlineStr"/>
    </row>
    <row r="94" ht="15" customHeight="1">
      <c r="A94" t="inlineStr">
        <is>
          <t>A 27297-2024</t>
        </is>
      </c>
      <c r="B94" t="inlineStr">
        <is>
          <t>avverkningsanmälan</t>
        </is>
      </c>
      <c r="C94" t="inlineStr">
        <is>
          <t>Föryngringsavverkning</t>
        </is>
      </c>
      <c r="D94" s="1" t="n">
        <v>45471</v>
      </c>
      <c r="E94" s="1" t="n">
        <v>46216</v>
      </c>
      <c r="F94" t="inlineStr">
        <is>
          <t>VÄSTERBOTTENS LÄN</t>
        </is>
      </c>
      <c r="G94" t="inlineStr">
        <is>
          <t>BJURHOLM</t>
        </is>
      </c>
      <c r="H94" t="inlineStr">
        <is>
          <t>SCA</t>
        </is>
      </c>
      <c r="I94" t="n">
        <v>1.1</v>
      </c>
      <c r="J94" t="n">
        <v>0</v>
      </c>
      <c r="K94" t="n">
        <v>0</v>
      </c>
      <c r="L94" t="n">
        <v>0</v>
      </c>
      <c r="M94" t="n">
        <v>0</v>
      </c>
      <c r="N94" t="n">
        <v>0</v>
      </c>
      <c r="O94" t="n">
        <v>0</v>
      </c>
      <c r="P94" t="n">
        <v>0</v>
      </c>
      <c r="Q94" t="n">
        <v>0</v>
      </c>
      <c r="R94" t="n">
        <v>0</v>
      </c>
      <c r="S94" t="n">
        <v>0</v>
      </c>
      <c r="T94" t="n">
        <v>0</v>
      </c>
      <c r="U94" s="2" t="inlineStr"/>
    </row>
    <row r="95" ht="15" customHeight="1">
      <c r="A95" t="inlineStr">
        <is>
          <t>A 61044-2022</t>
        </is>
      </c>
      <c r="B95" t="inlineStr">
        <is>
          <t>avverkningsanmälan</t>
        </is>
      </c>
      <c r="C95" t="inlineStr">
        <is>
          <t>Föryngringsavverkning</t>
        </is>
      </c>
      <c r="D95" s="1" t="n">
        <v>44914</v>
      </c>
      <c r="E95" s="1" t="n">
        <v>46216</v>
      </c>
      <c r="F95" t="inlineStr">
        <is>
          <t>VÄSTERBOTTENS LÄN</t>
        </is>
      </c>
      <c r="G95" t="inlineStr">
        <is>
          <t>BJURHOLM</t>
        </is>
      </c>
      <c r="H95" t="inlineStr">
        <is>
          <t>SCA</t>
        </is>
      </c>
      <c r="I95" t="n">
        <v>3.9</v>
      </c>
      <c r="J95" t="n">
        <v>0</v>
      </c>
      <c r="K95" t="n">
        <v>0</v>
      </c>
      <c r="L95" t="n">
        <v>0</v>
      </c>
      <c r="M95" t="n">
        <v>0</v>
      </c>
      <c r="N95" t="n">
        <v>0</v>
      </c>
      <c r="O95" t="n">
        <v>0</v>
      </c>
      <c r="P95" t="n">
        <v>0</v>
      </c>
      <c r="Q95" t="n">
        <v>0</v>
      </c>
      <c r="R95" t="n">
        <v>0</v>
      </c>
      <c r="S95" t="n">
        <v>0</v>
      </c>
      <c r="T95" t="n">
        <v>0</v>
      </c>
      <c r="U95" s="2" t="inlineStr"/>
    </row>
    <row r="96" ht="15" customHeight="1">
      <c r="A96" t="inlineStr">
        <is>
          <t>A 46743-2023</t>
        </is>
      </c>
      <c r="B96" t="inlineStr">
        <is>
          <t>avverkningsanmälan</t>
        </is>
      </c>
      <c r="C96" t="inlineStr">
        <is>
          <t>Föryngringsavverkning</t>
        </is>
      </c>
      <c r="D96" s="1" t="n">
        <v>45195</v>
      </c>
      <c r="E96" s="1" t="n">
        <v>46216</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s="2" t="inlineStr"/>
    </row>
    <row r="97" ht="15" customHeight="1">
      <c r="A97" t="inlineStr">
        <is>
          <t>A 31738-2023</t>
        </is>
      </c>
      <c r="B97" t="inlineStr">
        <is>
          <t>avverkningsanmälan</t>
        </is>
      </c>
      <c r="C97" t="inlineStr">
        <is>
          <t>Föryngringsavverkning</t>
        </is>
      </c>
      <c r="D97" s="1" t="n">
        <v>45117</v>
      </c>
      <c r="E97" s="1" t="n">
        <v>46216</v>
      </c>
      <c r="F97" t="inlineStr">
        <is>
          <t>VÄSTERBOTTENS LÄN</t>
        </is>
      </c>
      <c r="G97" t="inlineStr">
        <is>
          <t>BJURHOLM</t>
        </is>
      </c>
      <c r="H97" t="inlineStr">
        <is>
          <t>SCA</t>
        </is>
      </c>
      <c r="I97" t="n">
        <v>4.8</v>
      </c>
      <c r="J97" t="n">
        <v>0</v>
      </c>
      <c r="K97" t="n">
        <v>0</v>
      </c>
      <c r="L97" t="n">
        <v>0</v>
      </c>
      <c r="M97" t="n">
        <v>0</v>
      </c>
      <c r="N97" t="n">
        <v>0</v>
      </c>
      <c r="O97" t="n">
        <v>0</v>
      </c>
      <c r="P97" t="n">
        <v>0</v>
      </c>
      <c r="Q97" t="n">
        <v>0</v>
      </c>
      <c r="R97" t="n">
        <v>0</v>
      </c>
      <c r="S97" t="n">
        <v>0</v>
      </c>
      <c r="T97" t="n">
        <v>0</v>
      </c>
      <c r="U97" s="2" t="inlineStr"/>
    </row>
    <row r="98" ht="15" customHeight="1">
      <c r="A98" t="inlineStr">
        <is>
          <t>A 50726-2024</t>
        </is>
      </c>
      <c r="B98" t="inlineStr">
        <is>
          <t>avverkningsanmälan</t>
        </is>
      </c>
      <c r="C98" t="inlineStr">
        <is>
          <t>Föryngringsavverkning</t>
        </is>
      </c>
      <c r="D98" s="1" t="n">
        <v>45602</v>
      </c>
      <c r="E98" s="1" t="n">
        <v>46216</v>
      </c>
      <c r="F98" t="inlineStr">
        <is>
          <t>VÄSTERBOTTENS LÄN</t>
        </is>
      </c>
      <c r="G98" t="inlineStr">
        <is>
          <t>BJURHOLM</t>
        </is>
      </c>
      <c r="I98" t="n">
        <v>3.1</v>
      </c>
      <c r="J98" t="n">
        <v>0</v>
      </c>
      <c r="K98" t="n">
        <v>0</v>
      </c>
      <c r="L98" t="n">
        <v>0</v>
      </c>
      <c r="M98" t="n">
        <v>0</v>
      </c>
      <c r="N98" t="n">
        <v>0</v>
      </c>
      <c r="O98" t="n">
        <v>0</v>
      </c>
      <c r="P98" t="n">
        <v>0</v>
      </c>
      <c r="Q98" t="n">
        <v>0</v>
      </c>
      <c r="R98" t="n">
        <v>0</v>
      </c>
      <c r="S98" t="n">
        <v>0</v>
      </c>
      <c r="T98" t="n">
        <v>0</v>
      </c>
      <c r="U98" s="2" t="inlineStr"/>
    </row>
    <row r="99" ht="15" customHeight="1">
      <c r="A99" t="inlineStr">
        <is>
          <t>A 36416-2024</t>
        </is>
      </c>
      <c r="B99" t="inlineStr">
        <is>
          <t>avverkningsanmälan</t>
        </is>
      </c>
      <c r="C99" t="inlineStr">
        <is>
          <t>Avverkning för annat ändamål</t>
        </is>
      </c>
      <c r="D99" s="1" t="n">
        <v>45536</v>
      </c>
      <c r="E99" s="1" t="n">
        <v>46216</v>
      </c>
      <c r="F99" t="inlineStr">
        <is>
          <t>VÄSTERBOTTENS LÄN</t>
        </is>
      </c>
      <c r="G99" t="inlineStr">
        <is>
          <t>BJURHOLM</t>
        </is>
      </c>
      <c r="I99" t="n">
        <v>0</v>
      </c>
      <c r="J99" t="n">
        <v>0</v>
      </c>
      <c r="K99" t="n">
        <v>0</v>
      </c>
      <c r="L99" t="n">
        <v>0</v>
      </c>
      <c r="M99" t="n">
        <v>0</v>
      </c>
      <c r="N99" t="n">
        <v>0</v>
      </c>
      <c r="O99" t="n">
        <v>0</v>
      </c>
      <c r="P99" t="n">
        <v>0</v>
      </c>
      <c r="Q99" t="n">
        <v>0</v>
      </c>
      <c r="R99" t="n">
        <v>0</v>
      </c>
      <c r="S99" t="n">
        <v>0</v>
      </c>
      <c r="T99" t="n">
        <v>0</v>
      </c>
      <c r="U99" s="2" t="inlineStr"/>
    </row>
    <row r="100" ht="15" customHeight="1">
      <c r="A100" t="inlineStr">
        <is>
          <t>A 42004-2022</t>
        </is>
      </c>
      <c r="B100" t="inlineStr">
        <is>
          <t>avverkningsanmälan</t>
        </is>
      </c>
      <c r="C100" t="inlineStr">
        <is>
          <t>Föryngringsavverkning</t>
        </is>
      </c>
      <c r="D100" s="1" t="n">
        <v>44827</v>
      </c>
      <c r="E100" s="1" t="n">
        <v>46216</v>
      </c>
      <c r="F100" t="inlineStr">
        <is>
          <t>VÄSTERBOTTENS LÄN</t>
        </is>
      </c>
      <c r="G100" t="inlineStr">
        <is>
          <t>BJURHOLM</t>
        </is>
      </c>
      <c r="I100" t="n">
        <v>5.9</v>
      </c>
      <c r="J100" t="n">
        <v>0</v>
      </c>
      <c r="K100" t="n">
        <v>0</v>
      </c>
      <c r="L100" t="n">
        <v>0</v>
      </c>
      <c r="M100" t="n">
        <v>0</v>
      </c>
      <c r="N100" t="n">
        <v>0</v>
      </c>
      <c r="O100" t="n">
        <v>0</v>
      </c>
      <c r="P100" t="n">
        <v>0</v>
      </c>
      <c r="Q100" t="n">
        <v>0</v>
      </c>
      <c r="R100" t="n">
        <v>0</v>
      </c>
      <c r="S100" t="n">
        <v>0</v>
      </c>
      <c r="T100" t="n">
        <v>0</v>
      </c>
      <c r="U100" s="2" t="inlineStr"/>
    </row>
    <row r="101" ht="15" customHeight="1">
      <c r="A101" t="inlineStr">
        <is>
          <t>A 57886-2023</t>
        </is>
      </c>
      <c r="B101" t="inlineStr">
        <is>
          <t>avverkningsanmälan</t>
        </is>
      </c>
      <c r="C101" t="inlineStr">
        <is>
          <t>Föryngringsavverkning</t>
        </is>
      </c>
      <c r="D101" s="1" t="n">
        <v>45247</v>
      </c>
      <c r="E101" s="1" t="n">
        <v>46216</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s="2" t="inlineStr"/>
    </row>
    <row r="102" ht="15" customHeight="1">
      <c r="A102" t="inlineStr">
        <is>
          <t>A 29095-2024</t>
        </is>
      </c>
      <c r="B102" t="inlineStr">
        <is>
          <t>avverkningsanmälan</t>
        </is>
      </c>
      <c r="C102" t="inlineStr">
        <is>
          <t>Föryngringsavverkning</t>
        </is>
      </c>
      <c r="D102" s="1" t="n">
        <v>45481</v>
      </c>
      <c r="E102" s="1" t="n">
        <v>46216</v>
      </c>
      <c r="F102" t="inlineStr">
        <is>
          <t>VÄSTERBOTTENS LÄN</t>
        </is>
      </c>
      <c r="G102" t="inlineStr">
        <is>
          <t>BJURHOLM</t>
        </is>
      </c>
      <c r="H102" t="inlineStr">
        <is>
          <t>SCA</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53900-2024</t>
        </is>
      </c>
      <c r="B103" t="inlineStr">
        <is>
          <t>avverkningsanmälan</t>
        </is>
      </c>
      <c r="C103" t="inlineStr">
        <is>
          <t>Föryngringsavverkning</t>
        </is>
      </c>
      <c r="D103" s="1" t="n">
        <v>45615</v>
      </c>
      <c r="E103" s="1" t="n">
        <v>46216</v>
      </c>
      <c r="F103" t="inlineStr">
        <is>
          <t>VÄSTERBOTTENS LÄN</t>
        </is>
      </c>
      <c r="G103" t="inlineStr">
        <is>
          <t>BJURHOLM</t>
        </is>
      </c>
      <c r="I103" t="n">
        <v>7.7</v>
      </c>
      <c r="J103" t="n">
        <v>0</v>
      </c>
      <c r="K103" t="n">
        <v>0</v>
      </c>
      <c r="L103" t="n">
        <v>0</v>
      </c>
      <c r="M103" t="n">
        <v>0</v>
      </c>
      <c r="N103" t="n">
        <v>0</v>
      </c>
      <c r="O103" t="n">
        <v>0</v>
      </c>
      <c r="P103" t="n">
        <v>0</v>
      </c>
      <c r="Q103" t="n">
        <v>0</v>
      </c>
      <c r="R103" t="n">
        <v>0</v>
      </c>
      <c r="S103" t="n">
        <v>0</v>
      </c>
      <c r="T103" t="n">
        <v>0</v>
      </c>
      <c r="U103" s="2" t="inlineStr"/>
    </row>
    <row r="104" ht="15" customHeight="1">
      <c r="A104" t="inlineStr">
        <is>
          <t>A 44629-2023</t>
        </is>
      </c>
      <c r="B104" t="inlineStr">
        <is>
          <t>avverkningsanmälan</t>
        </is>
      </c>
      <c r="C104" t="inlineStr">
        <is>
          <t>Föryngringsavverkning</t>
        </is>
      </c>
      <c r="D104" s="1" t="n">
        <v>45189</v>
      </c>
      <c r="E104" s="1" t="n">
        <v>46216</v>
      </c>
      <c r="F104" t="inlineStr">
        <is>
          <t>VÄSTERBOTTENS LÄN</t>
        </is>
      </c>
      <c r="G104" t="inlineStr">
        <is>
          <t>BJURHOLM</t>
        </is>
      </c>
      <c r="I104" t="n">
        <v>15.6</v>
      </c>
      <c r="J104" t="n">
        <v>0</v>
      </c>
      <c r="K104" t="n">
        <v>0</v>
      </c>
      <c r="L104" t="n">
        <v>0</v>
      </c>
      <c r="M104" t="n">
        <v>0</v>
      </c>
      <c r="N104" t="n">
        <v>0</v>
      </c>
      <c r="O104" t="n">
        <v>0</v>
      </c>
      <c r="P104" t="n">
        <v>0</v>
      </c>
      <c r="Q104" t="n">
        <v>0</v>
      </c>
      <c r="R104" t="n">
        <v>0</v>
      </c>
      <c r="S104" t="n">
        <v>0</v>
      </c>
      <c r="T104" t="n">
        <v>0</v>
      </c>
      <c r="U104" s="2" t="inlineStr"/>
    </row>
    <row r="105" ht="15" customHeight="1">
      <c r="A105" t="inlineStr">
        <is>
          <t>A 35251-2023</t>
        </is>
      </c>
      <c r="B105" t="inlineStr">
        <is>
          <t>avverkningsanmälan</t>
        </is>
      </c>
      <c r="C105" t="inlineStr">
        <is>
          <t>Föryngringsavverkning</t>
        </is>
      </c>
      <c r="D105" s="1" t="n">
        <v>45145</v>
      </c>
      <c r="E105" s="1" t="n">
        <v>46216</v>
      </c>
      <c r="F105" t="inlineStr">
        <is>
          <t>VÄSTERBOTTENS LÄN</t>
        </is>
      </c>
      <c r="G105" t="inlineStr">
        <is>
          <t>BJURHOLM</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44274-2023</t>
        </is>
      </c>
      <c r="B106" t="inlineStr">
        <is>
          <t>avverkningsanmälan</t>
        </is>
      </c>
      <c r="C106" t="inlineStr">
        <is>
          <t>Föryngringsavverkning</t>
        </is>
      </c>
      <c r="D106" s="1" t="n">
        <v>45188</v>
      </c>
      <c r="E106" s="1" t="n">
        <v>46216</v>
      </c>
      <c r="F106" t="inlineStr">
        <is>
          <t>VÄSTERBOTTENS LÄN</t>
        </is>
      </c>
      <c r="G106" t="inlineStr">
        <is>
          <t>BJURHOLM</t>
        </is>
      </c>
      <c r="H106" t="inlineStr">
        <is>
          <t>Holmen skog AB</t>
        </is>
      </c>
      <c r="I106" t="n">
        <v>6.6</v>
      </c>
      <c r="J106" t="n">
        <v>0</v>
      </c>
      <c r="K106" t="n">
        <v>0</v>
      </c>
      <c r="L106" t="n">
        <v>0</v>
      </c>
      <c r="M106" t="n">
        <v>0</v>
      </c>
      <c r="N106" t="n">
        <v>0</v>
      </c>
      <c r="O106" t="n">
        <v>0</v>
      </c>
      <c r="P106" t="n">
        <v>0</v>
      </c>
      <c r="Q106" t="n">
        <v>0</v>
      </c>
      <c r="R106" t="n">
        <v>0</v>
      </c>
      <c r="S106" t="n">
        <v>0</v>
      </c>
      <c r="T106" t="n">
        <v>0</v>
      </c>
      <c r="U106" s="2" t="inlineStr"/>
    </row>
    <row r="107" ht="15" customHeight="1">
      <c r="A107" t="inlineStr">
        <is>
          <t>A 59712-2023</t>
        </is>
      </c>
      <c r="B107" t="inlineStr">
        <is>
          <t>avverkningsanmälan</t>
        </is>
      </c>
      <c r="C107" t="inlineStr">
        <is>
          <t>Föryngringsavverkning</t>
        </is>
      </c>
      <c r="D107" s="1" t="n">
        <v>45257</v>
      </c>
      <c r="E107" s="1" t="n">
        <v>46216</v>
      </c>
      <c r="F107" t="inlineStr">
        <is>
          <t>VÄSTERBOTTENS LÄN</t>
        </is>
      </c>
      <c r="G107" t="inlineStr">
        <is>
          <t>BJURHOLM</t>
        </is>
      </c>
      <c r="I107" t="n">
        <v>2.4</v>
      </c>
      <c r="J107" t="n">
        <v>0</v>
      </c>
      <c r="K107" t="n">
        <v>0</v>
      </c>
      <c r="L107" t="n">
        <v>0</v>
      </c>
      <c r="M107" t="n">
        <v>0</v>
      </c>
      <c r="N107" t="n">
        <v>0</v>
      </c>
      <c r="O107" t="n">
        <v>0</v>
      </c>
      <c r="P107" t="n">
        <v>0</v>
      </c>
      <c r="Q107" t="n">
        <v>0</v>
      </c>
      <c r="R107" t="n">
        <v>0</v>
      </c>
      <c r="S107" t="n">
        <v>0</v>
      </c>
      <c r="T107" t="n">
        <v>0</v>
      </c>
      <c r="U107" s="2" t="inlineStr"/>
    </row>
    <row r="108" ht="15" customHeight="1">
      <c r="A108" t="inlineStr">
        <is>
          <t>A 22408-2024</t>
        </is>
      </c>
      <c r="B108" t="inlineStr">
        <is>
          <t>avverkningsanmälan</t>
        </is>
      </c>
      <c r="C108" t="inlineStr">
        <is>
          <t>Föryngringsavverkning</t>
        </is>
      </c>
      <c r="D108" s="1" t="n">
        <v>45446</v>
      </c>
      <c r="E108" s="1" t="n">
        <v>46216</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15054-2024</t>
        </is>
      </c>
      <c r="B109" t="inlineStr">
        <is>
          <t>avverkningsanmälan</t>
        </is>
      </c>
      <c r="C109" t="inlineStr">
        <is>
          <t>Föryngringsavverkning</t>
        </is>
      </c>
      <c r="D109" s="1" t="n">
        <v>45399</v>
      </c>
      <c r="E109" s="1" t="n">
        <v>46216</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7418-2024</t>
        </is>
      </c>
      <c r="B110" t="inlineStr">
        <is>
          <t>avverkningsanmälan</t>
        </is>
      </c>
      <c r="C110" t="inlineStr">
        <is>
          <t>Föryngringsavverkning</t>
        </is>
      </c>
      <c r="D110" s="1" t="n">
        <v>45345</v>
      </c>
      <c r="E110" s="1" t="n">
        <v>46216</v>
      </c>
      <c r="F110" t="inlineStr">
        <is>
          <t>VÄSTERBOTTENS LÄN</t>
        </is>
      </c>
      <c r="G110" t="inlineStr">
        <is>
          <t>BJURHOLM</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17740-2024</t>
        </is>
      </c>
      <c r="B111" t="inlineStr">
        <is>
          <t>avverkningsanmälan</t>
        </is>
      </c>
      <c r="C111" t="inlineStr">
        <is>
          <t>Föryngringsavverkning</t>
        </is>
      </c>
      <c r="D111" s="1" t="n">
        <v>45418</v>
      </c>
      <c r="E111" s="1" t="n">
        <v>46216</v>
      </c>
      <c r="F111" t="inlineStr">
        <is>
          <t>VÄSTERBOTTENS LÄN</t>
        </is>
      </c>
      <c r="G111" t="inlineStr">
        <is>
          <t>BJURHOLM</t>
        </is>
      </c>
      <c r="H111" t="inlineStr">
        <is>
          <t>Holmen skog AB</t>
        </is>
      </c>
      <c r="I111" t="n">
        <v>3.1</v>
      </c>
      <c r="J111" t="n">
        <v>0</v>
      </c>
      <c r="K111" t="n">
        <v>0</v>
      </c>
      <c r="L111" t="n">
        <v>0</v>
      </c>
      <c r="M111" t="n">
        <v>0</v>
      </c>
      <c r="N111" t="n">
        <v>0</v>
      </c>
      <c r="O111" t="n">
        <v>0</v>
      </c>
      <c r="P111" t="n">
        <v>0</v>
      </c>
      <c r="Q111" t="n">
        <v>0</v>
      </c>
      <c r="R111" t="n">
        <v>0</v>
      </c>
      <c r="S111" t="n">
        <v>0</v>
      </c>
      <c r="T111" t="n">
        <v>0</v>
      </c>
      <c r="U111" s="2" t="inlineStr"/>
    </row>
    <row r="112" ht="15" customHeight="1">
      <c r="A112" t="inlineStr">
        <is>
          <t>A 25405-2025</t>
        </is>
      </c>
      <c r="B112" t="inlineStr">
        <is>
          <t>avverkningsanmälan</t>
        </is>
      </c>
      <c r="C112" t="inlineStr">
        <is>
          <t>Föryngringsavverkning</t>
        </is>
      </c>
      <c r="D112" s="1" t="n">
        <v>45800</v>
      </c>
      <c r="E112" s="1" t="n">
        <v>46216</v>
      </c>
      <c r="F112" t="inlineStr">
        <is>
          <t>VÄSTERBOTTENS LÄN</t>
        </is>
      </c>
      <c r="G112" t="inlineStr">
        <is>
          <t>BJURHOLM</t>
        </is>
      </c>
      <c r="I112" t="n">
        <v>3.6</v>
      </c>
      <c r="J112" t="n">
        <v>0</v>
      </c>
      <c r="K112" t="n">
        <v>0</v>
      </c>
      <c r="L112" t="n">
        <v>0</v>
      </c>
      <c r="M112" t="n">
        <v>0</v>
      </c>
      <c r="N112" t="n">
        <v>0</v>
      </c>
      <c r="O112" t="n">
        <v>0</v>
      </c>
      <c r="P112" t="n">
        <v>0</v>
      </c>
      <c r="Q112" t="n">
        <v>0</v>
      </c>
      <c r="R112" t="n">
        <v>0</v>
      </c>
      <c r="S112" t="n">
        <v>0</v>
      </c>
      <c r="T112" t="n">
        <v>0</v>
      </c>
      <c r="U112" s="2" t="inlineStr"/>
    </row>
    <row r="113" ht="15" customHeight="1">
      <c r="A113" t="inlineStr">
        <is>
          <t>A 58489-2023</t>
        </is>
      </c>
      <c r="B113" t="inlineStr">
        <is>
          <t>avverkningsanmälan</t>
        </is>
      </c>
      <c r="C113" t="inlineStr">
        <is>
          <t>Föryngringsavverkning</t>
        </is>
      </c>
      <c r="D113" s="1" t="n">
        <v>45251</v>
      </c>
      <c r="E113" s="1" t="n">
        <v>46216</v>
      </c>
      <c r="F113" t="inlineStr">
        <is>
          <t>VÄSTERBOTTENS LÄN</t>
        </is>
      </c>
      <c r="G113" t="inlineStr">
        <is>
          <t>BJURHOLM</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32129-2024</t>
        </is>
      </c>
      <c r="B114" t="inlineStr">
        <is>
          <t>avverkningsanmälan</t>
        </is>
      </c>
      <c r="C114" t="inlineStr">
        <is>
          <t>Föryngringsavverkning</t>
        </is>
      </c>
      <c r="D114" s="1" t="n">
        <v>45511</v>
      </c>
      <c r="E114" s="1" t="n">
        <v>46216</v>
      </c>
      <c r="F114" t="inlineStr">
        <is>
          <t>VÄSTERBOTTENS LÄN</t>
        </is>
      </c>
      <c r="G114" t="inlineStr">
        <is>
          <t>BJURHOLM</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393-2026</t>
        </is>
      </c>
      <c r="B115" t="inlineStr">
        <is>
          <t>avverkningsanmälan</t>
        </is>
      </c>
      <c r="C115" t="inlineStr">
        <is>
          <t>Föryngringsavverkning</t>
        </is>
      </c>
      <c r="D115" s="1" t="n">
        <v>46028</v>
      </c>
      <c r="E115" s="1" t="n">
        <v>46216</v>
      </c>
      <c r="F115" t="inlineStr">
        <is>
          <t>VÄSTERBOTTENS LÄN</t>
        </is>
      </c>
      <c r="G115" t="inlineStr">
        <is>
          <t>BJURHOLM</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33395-2023</t>
        </is>
      </c>
      <c r="B116" t="inlineStr">
        <is>
          <t>avverkningsanmälan</t>
        </is>
      </c>
      <c r="C116" t="inlineStr">
        <is>
          <t>Föryngringsavverkning</t>
        </is>
      </c>
      <c r="D116" s="1" t="n">
        <v>45128</v>
      </c>
      <c r="E116" s="1" t="n">
        <v>46216</v>
      </c>
      <c r="F116" t="inlineStr">
        <is>
          <t>VÄSTERBOTTENS LÄN</t>
        </is>
      </c>
      <c r="G116" t="inlineStr">
        <is>
          <t>BJURHOLM</t>
        </is>
      </c>
      <c r="H116" t="inlineStr">
        <is>
          <t>Holmen skog AB</t>
        </is>
      </c>
      <c r="I116" t="n">
        <v>5.8</v>
      </c>
      <c r="J116" t="n">
        <v>0</v>
      </c>
      <c r="K116" t="n">
        <v>0</v>
      </c>
      <c r="L116" t="n">
        <v>0</v>
      </c>
      <c r="M116" t="n">
        <v>0</v>
      </c>
      <c r="N116" t="n">
        <v>0</v>
      </c>
      <c r="O116" t="n">
        <v>0</v>
      </c>
      <c r="P116" t="n">
        <v>0</v>
      </c>
      <c r="Q116" t="n">
        <v>0</v>
      </c>
      <c r="R116" t="n">
        <v>0</v>
      </c>
      <c r="S116" t="n">
        <v>0</v>
      </c>
      <c r="T116" t="n">
        <v>0</v>
      </c>
      <c r="U116" s="2" t="inlineStr"/>
    </row>
    <row r="117" ht="15" customHeight="1">
      <c r="A117" t="inlineStr">
        <is>
          <t>A 38818-2025</t>
        </is>
      </c>
      <c r="B117" t="inlineStr">
        <is>
          <t>avverkningsanmälan</t>
        </is>
      </c>
      <c r="C117" t="inlineStr">
        <is>
          <t>Föryngringsavverkning</t>
        </is>
      </c>
      <c r="D117" s="1" t="n">
        <v>45887</v>
      </c>
      <c r="E117" s="1" t="n">
        <v>46216</v>
      </c>
      <c r="F117" t="inlineStr">
        <is>
          <t>VÄSTERBOTTENS LÄN</t>
        </is>
      </c>
      <c r="G117" t="inlineStr">
        <is>
          <t>BJURHOLM</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62088-2022</t>
        </is>
      </c>
      <c r="B118" t="inlineStr">
        <is>
          <t>avverkningsanmälan</t>
        </is>
      </c>
      <c r="C118" t="inlineStr">
        <is>
          <t>Föryngringsavverkning</t>
        </is>
      </c>
      <c r="D118" s="1" t="n">
        <v>44919</v>
      </c>
      <c r="E118" s="1" t="n">
        <v>46216</v>
      </c>
      <c r="F118" t="inlineStr">
        <is>
          <t>VÄSTERBOTTENS LÄN</t>
        </is>
      </c>
      <c r="G118" t="inlineStr">
        <is>
          <t>BJURHOLM</t>
        </is>
      </c>
      <c r="I118" t="n">
        <v>4.8</v>
      </c>
      <c r="J118" t="n">
        <v>0</v>
      </c>
      <c r="K118" t="n">
        <v>0</v>
      </c>
      <c r="L118" t="n">
        <v>0</v>
      </c>
      <c r="M118" t="n">
        <v>0</v>
      </c>
      <c r="N118" t="n">
        <v>0</v>
      </c>
      <c r="O118" t="n">
        <v>0</v>
      </c>
      <c r="P118" t="n">
        <v>0</v>
      </c>
      <c r="Q118" t="n">
        <v>0</v>
      </c>
      <c r="R118" t="n">
        <v>0</v>
      </c>
      <c r="S118" t="n">
        <v>0</v>
      </c>
      <c r="T118" t="n">
        <v>0</v>
      </c>
      <c r="U118" s="2" t="inlineStr"/>
    </row>
    <row r="119" ht="15" customHeight="1">
      <c r="A119" t="inlineStr">
        <is>
          <t>A 43321-2024</t>
        </is>
      </c>
      <c r="B119" t="inlineStr">
        <is>
          <t>avverkningsanmälan</t>
        </is>
      </c>
      <c r="C119" t="inlineStr">
        <is>
          <t>Föryngringsavverkning</t>
        </is>
      </c>
      <c r="D119" s="1" t="n">
        <v>45568</v>
      </c>
      <c r="E119" s="1" t="n">
        <v>46216</v>
      </c>
      <c r="F119" t="inlineStr">
        <is>
          <t>VÄSTERBOTTENS LÄN</t>
        </is>
      </c>
      <c r="G119" t="inlineStr">
        <is>
          <t>BJURHOLM</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26883-2025</t>
        </is>
      </c>
      <c r="B120" t="inlineStr">
        <is>
          <t>avverkningsanmälan</t>
        </is>
      </c>
      <c r="C120" t="inlineStr">
        <is>
          <t>Föryngringsavverkning</t>
        </is>
      </c>
      <c r="D120" s="1" t="n">
        <v>45810</v>
      </c>
      <c r="E120" s="1" t="n">
        <v>46216</v>
      </c>
      <c r="F120" t="inlineStr">
        <is>
          <t>VÄSTERBOTTENS LÄN</t>
        </is>
      </c>
      <c r="G120" t="inlineStr">
        <is>
          <t>BJURHOLM</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39267-2025</t>
        </is>
      </c>
      <c r="B121" t="inlineStr">
        <is>
          <t>avverkningsanmälan</t>
        </is>
      </c>
      <c r="C121" t="inlineStr">
        <is>
          <t>Föryngringsavverkning</t>
        </is>
      </c>
      <c r="D121" s="1" t="n">
        <v>45889</v>
      </c>
      <c r="E121" s="1" t="n">
        <v>46216</v>
      </c>
      <c r="F121" t="inlineStr">
        <is>
          <t>VÄSTERBOTTENS LÄN</t>
        </is>
      </c>
      <c r="G121" t="inlineStr">
        <is>
          <t>BJURHOLM</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55512-2021</t>
        </is>
      </c>
      <c r="B122" t="inlineStr">
        <is>
          <t>avverkningsanmälan</t>
        </is>
      </c>
      <c r="C122" t="inlineStr">
        <is>
          <t>Föryngringsavverkning</t>
        </is>
      </c>
      <c r="D122" s="1" t="n">
        <v>44475</v>
      </c>
      <c r="E122" s="1" t="n">
        <v>46216</v>
      </c>
      <c r="F122" t="inlineStr">
        <is>
          <t>VÄSTERBOTTENS LÄN</t>
        </is>
      </c>
      <c r="G122" t="inlineStr">
        <is>
          <t>BJURHOLM</t>
        </is>
      </c>
      <c r="H122" t="inlineStr">
        <is>
          <t>Holmen skog AB</t>
        </is>
      </c>
      <c r="I122" t="n">
        <v>28.3</v>
      </c>
      <c r="J122" t="n">
        <v>0</v>
      </c>
      <c r="K122" t="n">
        <v>0</v>
      </c>
      <c r="L122" t="n">
        <v>0</v>
      </c>
      <c r="M122" t="n">
        <v>0</v>
      </c>
      <c r="N122" t="n">
        <v>0</v>
      </c>
      <c r="O122" t="n">
        <v>0</v>
      </c>
      <c r="P122" t="n">
        <v>0</v>
      </c>
      <c r="Q122" t="n">
        <v>0</v>
      </c>
      <c r="R122" t="n">
        <v>0</v>
      </c>
      <c r="S122" t="n">
        <v>0</v>
      </c>
      <c r="T122" t="n">
        <v>0</v>
      </c>
      <c r="U122" s="2" t="inlineStr"/>
    </row>
    <row r="123" ht="15" customHeight="1">
      <c r="A123" t="inlineStr">
        <is>
          <t>A 39252-2025</t>
        </is>
      </c>
      <c r="B123" t="inlineStr">
        <is>
          <t>avverkningsanmälan</t>
        </is>
      </c>
      <c r="C123" t="inlineStr">
        <is>
          <t>Föryngringsavverkning</t>
        </is>
      </c>
      <c r="D123" s="1" t="n">
        <v>45889</v>
      </c>
      <c r="E123" s="1" t="n">
        <v>46216</v>
      </c>
      <c r="F123" t="inlineStr">
        <is>
          <t>VÄSTERBOTTENS LÄN</t>
        </is>
      </c>
      <c r="G123" t="inlineStr">
        <is>
          <t>BJURHOLM</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27612-2025</t>
        </is>
      </c>
      <c r="B124" t="inlineStr">
        <is>
          <t>avverkningsanmälan</t>
        </is>
      </c>
      <c r="C124" t="inlineStr">
        <is>
          <t>Föryngringsavverkning</t>
        </is>
      </c>
      <c r="D124" s="1" t="n">
        <v>45813</v>
      </c>
      <c r="E124" s="1" t="n">
        <v>46216</v>
      </c>
      <c r="F124" t="inlineStr">
        <is>
          <t>VÄSTERBOTTENS LÄN</t>
        </is>
      </c>
      <c r="G124" t="inlineStr">
        <is>
          <t>BJURHOLM</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39263-2025</t>
        </is>
      </c>
      <c r="B125" t="inlineStr">
        <is>
          <t>avverkningsanmälan</t>
        </is>
      </c>
      <c r="C125" t="inlineStr">
        <is>
          <t>Föryngringsavverkning</t>
        </is>
      </c>
      <c r="D125" s="1" t="n">
        <v>45889</v>
      </c>
      <c r="E125" s="1" t="n">
        <v>46216</v>
      </c>
      <c r="F125" t="inlineStr">
        <is>
          <t>VÄSTERBOTTENS LÄN</t>
        </is>
      </c>
      <c r="G125" t="inlineStr">
        <is>
          <t>BJURHOLM</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34751-2022</t>
        </is>
      </c>
      <c r="B126" t="inlineStr">
        <is>
          <t>avverkningsanmälan</t>
        </is>
      </c>
      <c r="C126" t="inlineStr">
        <is>
          <t>Föryngringsavverkning</t>
        </is>
      </c>
      <c r="D126" s="1" t="n">
        <v>44795</v>
      </c>
      <c r="E126" s="1" t="n">
        <v>46216</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39255-2025</t>
        </is>
      </c>
      <c r="B127" t="inlineStr">
        <is>
          <t>avverkningsanmälan</t>
        </is>
      </c>
      <c r="C127" t="inlineStr">
        <is>
          <t>Föryngringsavverkning</t>
        </is>
      </c>
      <c r="D127" s="1" t="n">
        <v>45889</v>
      </c>
      <c r="E127" s="1" t="n">
        <v>46216</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27614-2025</t>
        </is>
      </c>
      <c r="B128" t="inlineStr">
        <is>
          <t>avverkningsanmälan</t>
        </is>
      </c>
      <c r="C128" t="inlineStr">
        <is>
          <t>Föryngringsavverkning</t>
        </is>
      </c>
      <c r="D128" s="1" t="n">
        <v>45813</v>
      </c>
      <c r="E128" s="1" t="n">
        <v>46216</v>
      </c>
      <c r="F128" t="inlineStr">
        <is>
          <t>VÄSTERBOTTENS LÄN</t>
        </is>
      </c>
      <c r="G128" t="inlineStr">
        <is>
          <t>BJURHOLM</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27597-2025</t>
        </is>
      </c>
      <c r="B129" t="inlineStr">
        <is>
          <t>avverkningsanmälan</t>
        </is>
      </c>
      <c r="C129" t="inlineStr">
        <is>
          <t>Föryngringsavverkning</t>
        </is>
      </c>
      <c r="D129" s="1" t="n">
        <v>45813</v>
      </c>
      <c r="E129" s="1" t="n">
        <v>46216</v>
      </c>
      <c r="F129" t="inlineStr">
        <is>
          <t>VÄSTERBOTTENS LÄN</t>
        </is>
      </c>
      <c r="G129" t="inlineStr">
        <is>
          <t>BJURHOLM</t>
        </is>
      </c>
      <c r="I129" t="n">
        <v>3.4</v>
      </c>
      <c r="J129" t="n">
        <v>0</v>
      </c>
      <c r="K129" t="n">
        <v>0</v>
      </c>
      <c r="L129" t="n">
        <v>0</v>
      </c>
      <c r="M129" t="n">
        <v>0</v>
      </c>
      <c r="N129" t="n">
        <v>0</v>
      </c>
      <c r="O129" t="n">
        <v>0</v>
      </c>
      <c r="P129" t="n">
        <v>0</v>
      </c>
      <c r="Q129" t="n">
        <v>0</v>
      </c>
      <c r="R129" t="n">
        <v>0</v>
      </c>
      <c r="S129" t="n">
        <v>0</v>
      </c>
      <c r="T129" t="n">
        <v>0</v>
      </c>
      <c r="U129" s="2" t="inlineStr"/>
    </row>
    <row r="130" ht="15" customHeight="1">
      <c r="A130" t="inlineStr">
        <is>
          <t>A 27256-2025</t>
        </is>
      </c>
      <c r="B130" t="inlineStr">
        <is>
          <t>avverkningsanmälan</t>
        </is>
      </c>
      <c r="C130" t="inlineStr">
        <is>
          <t>Föryngringsavverkning</t>
        </is>
      </c>
      <c r="D130" s="1" t="n">
        <v>45812</v>
      </c>
      <c r="E130" s="1" t="n">
        <v>46216</v>
      </c>
      <c r="F130" t="inlineStr">
        <is>
          <t>VÄSTERBOTTENS LÄN</t>
        </is>
      </c>
      <c r="G130" t="inlineStr">
        <is>
          <t>BJURHOLM</t>
        </is>
      </c>
      <c r="I130" t="n">
        <v>48.1</v>
      </c>
      <c r="J130" t="n">
        <v>0</v>
      </c>
      <c r="K130" t="n">
        <v>0</v>
      </c>
      <c r="L130" t="n">
        <v>0</v>
      </c>
      <c r="M130" t="n">
        <v>0</v>
      </c>
      <c r="N130" t="n">
        <v>0</v>
      </c>
      <c r="O130" t="n">
        <v>0</v>
      </c>
      <c r="P130" t="n">
        <v>0</v>
      </c>
      <c r="Q130" t="n">
        <v>0</v>
      </c>
      <c r="R130" t="n">
        <v>0</v>
      </c>
      <c r="S130" t="n">
        <v>0</v>
      </c>
      <c r="T130" t="n">
        <v>0</v>
      </c>
      <c r="U130" s="2" t="inlineStr"/>
    </row>
    <row r="131" ht="15" customHeight="1">
      <c r="A131" t="inlineStr">
        <is>
          <t>A 40916-2025</t>
        </is>
      </c>
      <c r="B131" t="inlineStr">
        <is>
          <t>avverkningsanmälan</t>
        </is>
      </c>
      <c r="C131" t="inlineStr">
        <is>
          <t>Föryngringsavverkning</t>
        </is>
      </c>
      <c r="D131" s="1" t="n">
        <v>45897</v>
      </c>
      <c r="E131" s="1" t="n">
        <v>46216</v>
      </c>
      <c r="F131" t="inlineStr">
        <is>
          <t>VÄSTERBOTTENS LÄN</t>
        </is>
      </c>
      <c r="G131" t="inlineStr">
        <is>
          <t>BJURHOLM</t>
        </is>
      </c>
      <c r="H131" t="inlineStr">
        <is>
          <t>SCA</t>
        </is>
      </c>
      <c r="I131" t="n">
        <v>48.1</v>
      </c>
      <c r="J131" t="n">
        <v>0</v>
      </c>
      <c r="K131" t="n">
        <v>0</v>
      </c>
      <c r="L131" t="n">
        <v>0</v>
      </c>
      <c r="M131" t="n">
        <v>0</v>
      </c>
      <c r="N131" t="n">
        <v>0</v>
      </c>
      <c r="O131" t="n">
        <v>0</v>
      </c>
      <c r="P131" t="n">
        <v>0</v>
      </c>
      <c r="Q131" t="n">
        <v>0</v>
      </c>
      <c r="R131" t="n">
        <v>0</v>
      </c>
      <c r="S131" t="n">
        <v>0</v>
      </c>
      <c r="T131" t="n">
        <v>0</v>
      </c>
      <c r="U131" s="2" t="inlineStr"/>
    </row>
    <row r="132" ht="15" customHeight="1">
      <c r="A132" t="inlineStr">
        <is>
          <t>A 43992-2023</t>
        </is>
      </c>
      <c r="B132" t="inlineStr">
        <is>
          <t>avverkningsanmälan</t>
        </is>
      </c>
      <c r="C132" t="inlineStr">
        <is>
          <t>Föryngringsavverkning</t>
        </is>
      </c>
      <c r="D132" s="1" t="n">
        <v>45187</v>
      </c>
      <c r="E132" s="1" t="n">
        <v>46216</v>
      </c>
      <c r="F132" t="inlineStr">
        <is>
          <t>VÄSTERBOTTENS LÄN</t>
        </is>
      </c>
      <c r="G132" t="inlineStr">
        <is>
          <t>BJURHOLM</t>
        </is>
      </c>
      <c r="H132" t="inlineStr">
        <is>
          <t>SCA</t>
        </is>
      </c>
      <c r="I132" t="n">
        <v>10.9</v>
      </c>
      <c r="J132" t="n">
        <v>0</v>
      </c>
      <c r="K132" t="n">
        <v>0</v>
      </c>
      <c r="L132" t="n">
        <v>0</v>
      </c>
      <c r="M132" t="n">
        <v>0</v>
      </c>
      <c r="N132" t="n">
        <v>0</v>
      </c>
      <c r="O132" t="n">
        <v>0</v>
      </c>
      <c r="P132" t="n">
        <v>0</v>
      </c>
      <c r="Q132" t="n">
        <v>0</v>
      </c>
      <c r="R132" t="n">
        <v>0</v>
      </c>
      <c r="S132" t="n">
        <v>0</v>
      </c>
      <c r="T132" t="n">
        <v>0</v>
      </c>
      <c r="U132" s="2" t="inlineStr"/>
    </row>
    <row r="133" ht="15" customHeight="1">
      <c r="A133" t="inlineStr">
        <is>
          <t>A 70740-2021</t>
        </is>
      </c>
      <c r="B133" t="inlineStr">
        <is>
          <t>avverkningsanmälan</t>
        </is>
      </c>
      <c r="C133" t="inlineStr">
        <is>
          <t>Föryngringsavverkning</t>
        </is>
      </c>
      <c r="D133" s="1" t="n">
        <v>44536</v>
      </c>
      <c r="E133" s="1" t="n">
        <v>46216</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29712-2025</t>
        </is>
      </c>
      <c r="B134" t="inlineStr">
        <is>
          <t>avverkningsanmälan</t>
        </is>
      </c>
      <c r="C134" t="inlineStr">
        <is>
          <t>Föryngringsavverkning</t>
        </is>
      </c>
      <c r="D134" s="1" t="n">
        <v>45825</v>
      </c>
      <c r="E134" s="1" t="n">
        <v>46216</v>
      </c>
      <c r="F134" t="inlineStr">
        <is>
          <t>VÄSTERBOTTENS LÄN</t>
        </is>
      </c>
      <c r="G134" t="inlineStr">
        <is>
          <t>BJURHOLM</t>
        </is>
      </c>
      <c r="I134" t="n">
        <v>1.8</v>
      </c>
      <c r="J134" t="n">
        <v>0</v>
      </c>
      <c r="K134" t="n">
        <v>0</v>
      </c>
      <c r="L134" t="n">
        <v>0</v>
      </c>
      <c r="M134" t="n">
        <v>0</v>
      </c>
      <c r="N134" t="n">
        <v>0</v>
      </c>
      <c r="O134" t="n">
        <v>0</v>
      </c>
      <c r="P134" t="n">
        <v>0</v>
      </c>
      <c r="Q134" t="n">
        <v>0</v>
      </c>
      <c r="R134" t="n">
        <v>0</v>
      </c>
      <c r="S134" t="n">
        <v>0</v>
      </c>
      <c r="T134" t="n">
        <v>0</v>
      </c>
      <c r="U134" s="2" t="inlineStr"/>
    </row>
    <row r="135" ht="15" customHeight="1">
      <c r="A135" t="inlineStr">
        <is>
          <t>A 7312-2024</t>
        </is>
      </c>
      <c r="B135" t="inlineStr">
        <is>
          <t>avverkningsanmälan</t>
        </is>
      </c>
      <c r="C135" t="inlineStr">
        <is>
          <t>Föryngringsavverkning</t>
        </is>
      </c>
      <c r="D135" s="1" t="n">
        <v>45345</v>
      </c>
      <c r="E135" s="1" t="n">
        <v>46216</v>
      </c>
      <c r="F135" t="inlineStr">
        <is>
          <t>VÄSTERBOTTENS LÄN</t>
        </is>
      </c>
      <c r="G135" t="inlineStr">
        <is>
          <t>BJURHOLM</t>
        </is>
      </c>
      <c r="I135" t="n">
        <v>4.4</v>
      </c>
      <c r="J135" t="n">
        <v>0</v>
      </c>
      <c r="K135" t="n">
        <v>0</v>
      </c>
      <c r="L135" t="n">
        <v>0</v>
      </c>
      <c r="M135" t="n">
        <v>0</v>
      </c>
      <c r="N135" t="n">
        <v>0</v>
      </c>
      <c r="O135" t="n">
        <v>0</v>
      </c>
      <c r="P135" t="n">
        <v>0</v>
      </c>
      <c r="Q135" t="n">
        <v>0</v>
      </c>
      <c r="R135" t="n">
        <v>0</v>
      </c>
      <c r="S135" t="n">
        <v>0</v>
      </c>
      <c r="T135" t="n">
        <v>0</v>
      </c>
      <c r="U135" s="2" t="inlineStr"/>
    </row>
    <row r="136" ht="15" customHeight="1">
      <c r="A136" t="inlineStr">
        <is>
          <t>A 30672-2025</t>
        </is>
      </c>
      <c r="B136" t="inlineStr">
        <is>
          <t>avverkningsanmälan</t>
        </is>
      </c>
      <c r="C136" t="inlineStr">
        <is>
          <t>Föryngringsavverkning</t>
        </is>
      </c>
      <c r="D136" s="1" t="n">
        <v>45831</v>
      </c>
      <c r="E136" s="1" t="n">
        <v>46216</v>
      </c>
      <c r="F136" t="inlineStr">
        <is>
          <t>VÄSTERBOTTENS LÄN</t>
        </is>
      </c>
      <c r="G136" t="inlineStr">
        <is>
          <t>BJURHOLM</t>
        </is>
      </c>
      <c r="H136" t="inlineStr">
        <is>
          <t>Sveaskog</t>
        </is>
      </c>
      <c r="I136" t="n">
        <v>20.4</v>
      </c>
      <c r="J136" t="n">
        <v>0</v>
      </c>
      <c r="K136" t="n">
        <v>0</v>
      </c>
      <c r="L136" t="n">
        <v>0</v>
      </c>
      <c r="M136" t="n">
        <v>0</v>
      </c>
      <c r="N136" t="n">
        <v>0</v>
      </c>
      <c r="O136" t="n">
        <v>0</v>
      </c>
      <c r="P136" t="n">
        <v>0</v>
      </c>
      <c r="Q136" t="n">
        <v>0</v>
      </c>
      <c r="R136" t="n">
        <v>0</v>
      </c>
      <c r="S136" t="n">
        <v>0</v>
      </c>
      <c r="T136" t="n">
        <v>0</v>
      </c>
      <c r="U136" s="2" t="inlineStr"/>
    </row>
    <row r="137" ht="15" customHeight="1">
      <c r="A137" t="inlineStr">
        <is>
          <t>A 42779-2025</t>
        </is>
      </c>
      <c r="B137" t="inlineStr">
        <is>
          <t>avverkningsanmälan</t>
        </is>
      </c>
      <c r="C137" t="inlineStr">
        <is>
          <t>Föryngringsavverkning</t>
        </is>
      </c>
      <c r="D137" s="1" t="n">
        <v>45908</v>
      </c>
      <c r="E137" s="1" t="n">
        <v>46216</v>
      </c>
      <c r="F137" t="inlineStr">
        <is>
          <t>VÄSTERBOTTENS LÄN</t>
        </is>
      </c>
      <c r="G137" t="inlineStr">
        <is>
          <t>BJURHOLM</t>
        </is>
      </c>
      <c r="I137" t="n">
        <v>6.4</v>
      </c>
      <c r="J137" t="n">
        <v>0</v>
      </c>
      <c r="K137" t="n">
        <v>0</v>
      </c>
      <c r="L137" t="n">
        <v>0</v>
      </c>
      <c r="M137" t="n">
        <v>0</v>
      </c>
      <c r="N137" t="n">
        <v>0</v>
      </c>
      <c r="O137" t="n">
        <v>0</v>
      </c>
      <c r="P137" t="n">
        <v>0</v>
      </c>
      <c r="Q137" t="n">
        <v>0</v>
      </c>
      <c r="R137" t="n">
        <v>0</v>
      </c>
      <c r="S137" t="n">
        <v>0</v>
      </c>
      <c r="T137" t="n">
        <v>0</v>
      </c>
      <c r="U137" s="2" t="inlineStr"/>
    </row>
    <row r="138" ht="15" customHeight="1">
      <c r="A138" t="inlineStr">
        <is>
          <t>A 3493-2023</t>
        </is>
      </c>
      <c r="B138" t="inlineStr">
        <is>
          <t>avverkningsanmälan</t>
        </is>
      </c>
      <c r="C138" t="inlineStr">
        <is>
          <t>Föryngringsavverkning</t>
        </is>
      </c>
      <c r="D138" s="1" t="n">
        <v>44949</v>
      </c>
      <c r="E138" s="1" t="n">
        <v>46216</v>
      </c>
      <c r="F138" t="inlineStr">
        <is>
          <t>VÄSTERBOTTENS LÄN</t>
        </is>
      </c>
      <c r="G138" t="inlineStr">
        <is>
          <t>BJURHOLM</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59181-2023</t>
        </is>
      </c>
      <c r="B139" t="inlineStr">
        <is>
          <t>avverkningsanmälan</t>
        </is>
      </c>
      <c r="C139" t="inlineStr">
        <is>
          <t>Föryngringsavverkning</t>
        </is>
      </c>
      <c r="D139" s="1" t="n">
        <v>45251</v>
      </c>
      <c r="E139" s="1" t="n">
        <v>46216</v>
      </c>
      <c r="F139" t="inlineStr">
        <is>
          <t>VÄSTERBOTTENS LÄN</t>
        </is>
      </c>
      <c r="G139" t="inlineStr">
        <is>
          <t>BJURHOLM</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31637-2025</t>
        </is>
      </c>
      <c r="B140" t="inlineStr">
        <is>
          <t>avverkningsanmälan</t>
        </is>
      </c>
      <c r="C140" t="inlineStr">
        <is>
          <t>Avverkning för annat ändamål</t>
        </is>
      </c>
      <c r="D140" s="1" t="n">
        <v>45834</v>
      </c>
      <c r="E140" s="1" t="n">
        <v>46216</v>
      </c>
      <c r="F140" t="inlineStr">
        <is>
          <t>VÄSTERBOTTENS LÄN</t>
        </is>
      </c>
      <c r="G140" t="inlineStr">
        <is>
          <t>BJURHOLM</t>
        </is>
      </c>
      <c r="H140" t="inlineStr">
        <is>
          <t>Holmen skog AB</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44112-2025</t>
        </is>
      </c>
      <c r="B141" t="inlineStr">
        <is>
          <t>avverkningsanmälan</t>
        </is>
      </c>
      <c r="C141" t="inlineStr">
        <is>
          <t>Föryngringsavverkning</t>
        </is>
      </c>
      <c r="D141" s="1" t="n">
        <v>45915</v>
      </c>
      <c r="E141" s="1" t="n">
        <v>46216</v>
      </c>
      <c r="F141" t="inlineStr">
        <is>
          <t>VÄSTERBOTTENS LÄN</t>
        </is>
      </c>
      <c r="G141" t="inlineStr">
        <is>
          <t>BJURHOLM</t>
        </is>
      </c>
      <c r="H141" t="inlineStr">
        <is>
          <t>Sveaskog</t>
        </is>
      </c>
      <c r="I141" t="n">
        <v>5.7</v>
      </c>
      <c r="J141" t="n">
        <v>0</v>
      </c>
      <c r="K141" t="n">
        <v>0</v>
      </c>
      <c r="L141" t="n">
        <v>0</v>
      </c>
      <c r="M141" t="n">
        <v>0</v>
      </c>
      <c r="N141" t="n">
        <v>0</v>
      </c>
      <c r="O141" t="n">
        <v>0</v>
      </c>
      <c r="P141" t="n">
        <v>0</v>
      </c>
      <c r="Q141" t="n">
        <v>0</v>
      </c>
      <c r="R141" t="n">
        <v>0</v>
      </c>
      <c r="S141" t="n">
        <v>0</v>
      </c>
      <c r="T141" t="n">
        <v>0</v>
      </c>
      <c r="U141" s="2" t="inlineStr"/>
    </row>
    <row r="142" ht="15" customHeight="1">
      <c r="A142" t="inlineStr">
        <is>
          <t>A 44144-2025</t>
        </is>
      </c>
      <c r="B142" t="inlineStr">
        <is>
          <t>avverkningsanmälan</t>
        </is>
      </c>
      <c r="C142" t="inlineStr">
        <is>
          <t>Föryngringsavverkning</t>
        </is>
      </c>
      <c r="D142" s="1" t="n">
        <v>45915</v>
      </c>
      <c r="E142" s="1" t="n">
        <v>46216</v>
      </c>
      <c r="F142" t="inlineStr">
        <is>
          <t>VÄSTERBOTTENS LÄN</t>
        </is>
      </c>
      <c r="G142" t="inlineStr">
        <is>
          <t>BJURHOLM</t>
        </is>
      </c>
      <c r="H142" t="inlineStr">
        <is>
          <t>Sveaskog</t>
        </is>
      </c>
      <c r="I142" t="n">
        <v>5.5</v>
      </c>
      <c r="J142" t="n">
        <v>0</v>
      </c>
      <c r="K142" t="n">
        <v>0</v>
      </c>
      <c r="L142" t="n">
        <v>0</v>
      </c>
      <c r="M142" t="n">
        <v>0</v>
      </c>
      <c r="N142" t="n">
        <v>0</v>
      </c>
      <c r="O142" t="n">
        <v>0</v>
      </c>
      <c r="P142" t="n">
        <v>0</v>
      </c>
      <c r="Q142" t="n">
        <v>0</v>
      </c>
      <c r="R142" t="n">
        <v>0</v>
      </c>
      <c r="S142" t="n">
        <v>0</v>
      </c>
      <c r="T142" t="n">
        <v>0</v>
      </c>
      <c r="U142" s="2" t="inlineStr"/>
    </row>
    <row r="143" ht="15" customHeight="1">
      <c r="A143" t="inlineStr">
        <is>
          <t>A 43695-2025</t>
        </is>
      </c>
      <c r="B143" t="inlineStr">
        <is>
          <t>avverkningsanmälan</t>
        </is>
      </c>
      <c r="C143" t="inlineStr">
        <is>
          <t>Föryngringsavverkning</t>
        </is>
      </c>
      <c r="D143" s="1" t="n">
        <v>45912</v>
      </c>
      <c r="E143" s="1" t="n">
        <v>46216</v>
      </c>
      <c r="F143" t="inlineStr">
        <is>
          <t>VÄSTERBOTTENS LÄN</t>
        </is>
      </c>
      <c r="G143" t="inlineStr">
        <is>
          <t>BJURHOLM</t>
        </is>
      </c>
      <c r="H143" t="inlineStr">
        <is>
          <t>Holmen skog AB</t>
        </is>
      </c>
      <c r="I143" t="n">
        <v>12.9</v>
      </c>
      <c r="J143" t="n">
        <v>0</v>
      </c>
      <c r="K143" t="n">
        <v>0</v>
      </c>
      <c r="L143" t="n">
        <v>0</v>
      </c>
      <c r="M143" t="n">
        <v>0</v>
      </c>
      <c r="N143" t="n">
        <v>0</v>
      </c>
      <c r="O143" t="n">
        <v>0</v>
      </c>
      <c r="P143" t="n">
        <v>0</v>
      </c>
      <c r="Q143" t="n">
        <v>0</v>
      </c>
      <c r="R143" t="n">
        <v>0</v>
      </c>
      <c r="S143" t="n">
        <v>0</v>
      </c>
      <c r="T143" t="n">
        <v>0</v>
      </c>
      <c r="U143" s="2" t="inlineStr"/>
    </row>
    <row r="144" ht="15" customHeight="1">
      <c r="A144" t="inlineStr">
        <is>
          <t>A 39431-2021</t>
        </is>
      </c>
      <c r="B144" t="inlineStr">
        <is>
          <t>avverkningsanmälan</t>
        </is>
      </c>
      <c r="C144" t="inlineStr">
        <is>
          <t>Föryngringsavverkning</t>
        </is>
      </c>
      <c r="D144" s="1" t="n">
        <v>44414</v>
      </c>
      <c r="E144" s="1" t="n">
        <v>46216</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44487-2025</t>
        </is>
      </c>
      <c r="B145" t="inlineStr">
        <is>
          <t>avverkningsanmälan</t>
        </is>
      </c>
      <c r="C145" t="inlineStr">
        <is>
          <t>Föryngringsavverkning</t>
        </is>
      </c>
      <c r="D145" s="1" t="n">
        <v>45916</v>
      </c>
      <c r="E145" s="1" t="n">
        <v>46216</v>
      </c>
      <c r="F145" t="inlineStr">
        <is>
          <t>VÄSTERBOTTENS LÄN</t>
        </is>
      </c>
      <c r="G145" t="inlineStr">
        <is>
          <t>BJURHOLM</t>
        </is>
      </c>
      <c r="H145" t="inlineStr">
        <is>
          <t>SCA</t>
        </is>
      </c>
      <c r="I145" t="n">
        <v>2.5</v>
      </c>
      <c r="J145" t="n">
        <v>0</v>
      </c>
      <c r="K145" t="n">
        <v>0</v>
      </c>
      <c r="L145" t="n">
        <v>0</v>
      </c>
      <c r="M145" t="n">
        <v>0</v>
      </c>
      <c r="N145" t="n">
        <v>0</v>
      </c>
      <c r="O145" t="n">
        <v>0</v>
      </c>
      <c r="P145" t="n">
        <v>0</v>
      </c>
      <c r="Q145" t="n">
        <v>0</v>
      </c>
      <c r="R145" t="n">
        <v>0</v>
      </c>
      <c r="S145" t="n">
        <v>0</v>
      </c>
      <c r="T145" t="n">
        <v>0</v>
      </c>
      <c r="U145" s="2" t="inlineStr"/>
    </row>
    <row r="146" ht="15" customHeight="1">
      <c r="A146" t="inlineStr">
        <is>
          <t>A 32584-2025</t>
        </is>
      </c>
      <c r="B146" t="inlineStr">
        <is>
          <t>avverkningsanmälan</t>
        </is>
      </c>
      <c r="C146" t="inlineStr">
        <is>
          <t>Föryngringsavverkning</t>
        </is>
      </c>
      <c r="D146" s="1" t="n">
        <v>45838</v>
      </c>
      <c r="E146" s="1" t="n">
        <v>46216</v>
      </c>
      <c r="F146" t="inlineStr">
        <is>
          <t>VÄSTERBOTTENS LÄN</t>
        </is>
      </c>
      <c r="G146" t="inlineStr">
        <is>
          <t>BJURHOLM</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47594-2024</t>
        </is>
      </c>
      <c r="B147" t="inlineStr">
        <is>
          <t>avverkningsanmälan</t>
        </is>
      </c>
      <c r="C147" t="inlineStr">
        <is>
          <t>Föryngringsavverkning</t>
        </is>
      </c>
      <c r="D147" s="1" t="n">
        <v>45587</v>
      </c>
      <c r="E147" s="1" t="n">
        <v>46216</v>
      </c>
      <c r="F147" t="inlineStr">
        <is>
          <t>VÄSTERBOTTENS LÄN</t>
        </is>
      </c>
      <c r="G147" t="inlineStr">
        <is>
          <t>BJURHOLM</t>
        </is>
      </c>
      <c r="I147" t="n">
        <v>5</v>
      </c>
      <c r="J147" t="n">
        <v>0</v>
      </c>
      <c r="K147" t="n">
        <v>0</v>
      </c>
      <c r="L147" t="n">
        <v>0</v>
      </c>
      <c r="M147" t="n">
        <v>0</v>
      </c>
      <c r="N147" t="n">
        <v>0</v>
      </c>
      <c r="O147" t="n">
        <v>0</v>
      </c>
      <c r="P147" t="n">
        <v>0</v>
      </c>
      <c r="Q147" t="n">
        <v>0</v>
      </c>
      <c r="R147" t="n">
        <v>0</v>
      </c>
      <c r="S147" t="n">
        <v>0</v>
      </c>
      <c r="T147" t="n">
        <v>0</v>
      </c>
      <c r="U147" s="2" t="inlineStr"/>
    </row>
    <row r="148" ht="15" customHeight="1">
      <c r="A148" t="inlineStr">
        <is>
          <t>A 45163-2025</t>
        </is>
      </c>
      <c r="B148" t="inlineStr">
        <is>
          <t>avverkningsanmälan</t>
        </is>
      </c>
      <c r="C148" t="inlineStr">
        <is>
          <t>Föryngringsavverkning</t>
        </is>
      </c>
      <c r="D148" s="1" t="n">
        <v>45919</v>
      </c>
      <c r="E148" s="1" t="n">
        <v>46216</v>
      </c>
      <c r="F148" t="inlineStr">
        <is>
          <t>VÄSTERBOTTENS LÄN</t>
        </is>
      </c>
      <c r="G148" t="inlineStr">
        <is>
          <t>BJURHOLM</t>
        </is>
      </c>
      <c r="H148" t="inlineStr">
        <is>
          <t>SCA</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50773-2024</t>
        </is>
      </c>
      <c r="B149" t="inlineStr">
        <is>
          <t>avverkningsanmälan</t>
        </is>
      </c>
      <c r="C149" t="inlineStr">
        <is>
          <t>Föryngringsavverkning</t>
        </is>
      </c>
      <c r="D149" s="1" t="n">
        <v>45602</v>
      </c>
      <c r="E149" s="1" t="n">
        <v>46216</v>
      </c>
      <c r="F149" t="inlineStr">
        <is>
          <t>VÄSTERBOTTENS LÄN</t>
        </is>
      </c>
      <c r="G149" t="inlineStr">
        <is>
          <t>BJURHOLM</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3705-2023</t>
        </is>
      </c>
      <c r="B150" t="inlineStr">
        <is>
          <t>avverkningsanmälan</t>
        </is>
      </c>
      <c r="C150" t="inlineStr">
        <is>
          <t>Föryngringsavverkning</t>
        </is>
      </c>
      <c r="D150" s="1" t="n">
        <v>44950</v>
      </c>
      <c r="E150" s="1" t="n">
        <v>46216</v>
      </c>
      <c r="F150" t="inlineStr">
        <is>
          <t>VÄSTERBOTTENS LÄN</t>
        </is>
      </c>
      <c r="G150" t="inlineStr">
        <is>
          <t>BJURHOLM</t>
        </is>
      </c>
      <c r="I150" t="n">
        <v>3.7</v>
      </c>
      <c r="J150" t="n">
        <v>0</v>
      </c>
      <c r="K150" t="n">
        <v>0</v>
      </c>
      <c r="L150" t="n">
        <v>0</v>
      </c>
      <c r="M150" t="n">
        <v>0</v>
      </c>
      <c r="N150" t="n">
        <v>0</v>
      </c>
      <c r="O150" t="n">
        <v>0</v>
      </c>
      <c r="P150" t="n">
        <v>0</v>
      </c>
      <c r="Q150" t="n">
        <v>0</v>
      </c>
      <c r="R150" t="n">
        <v>0</v>
      </c>
      <c r="S150" t="n">
        <v>0</v>
      </c>
      <c r="T150" t="n">
        <v>0</v>
      </c>
      <c r="U150" s="2" t="inlineStr"/>
    </row>
    <row r="151" ht="15" customHeight="1">
      <c r="A151" t="inlineStr">
        <is>
          <t>A 34347-2025</t>
        </is>
      </c>
      <c r="B151" t="inlineStr">
        <is>
          <t>avverkningsanmälan</t>
        </is>
      </c>
      <c r="C151" t="inlineStr">
        <is>
          <t>Föryngringsavverkning</t>
        </is>
      </c>
      <c r="D151" s="1" t="n">
        <v>45846</v>
      </c>
      <c r="E151" s="1" t="n">
        <v>46216</v>
      </c>
      <c r="F151" t="inlineStr">
        <is>
          <t>VÄSTERBOTTENS LÄN</t>
        </is>
      </c>
      <c r="G151" t="inlineStr">
        <is>
          <t>BJURHOLM</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34336-2025</t>
        </is>
      </c>
      <c r="B152" t="inlineStr">
        <is>
          <t>avverkningsanmälan</t>
        </is>
      </c>
      <c r="C152" t="inlineStr">
        <is>
          <t>Föryngringsavverkning</t>
        </is>
      </c>
      <c r="D152" s="1" t="n">
        <v>45846</v>
      </c>
      <c r="E152" s="1" t="n">
        <v>46216</v>
      </c>
      <c r="F152" t="inlineStr">
        <is>
          <t>VÄSTERBOTTENS LÄN</t>
        </is>
      </c>
      <c r="G152" t="inlineStr">
        <is>
          <t>BJURHOLM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52535-2024</t>
        </is>
      </c>
      <c r="B153" t="inlineStr">
        <is>
          <t>avverkningsanmälan</t>
        </is>
      </c>
      <c r="C153" t="inlineStr">
        <is>
          <t>Föryngringsavverkning</t>
        </is>
      </c>
      <c r="D153" s="1" t="n">
        <v>45609</v>
      </c>
      <c r="E153" s="1" t="n">
        <v>46216</v>
      </c>
      <c r="F153" t="inlineStr">
        <is>
          <t>VÄSTERBOTTENS LÄN</t>
        </is>
      </c>
      <c r="G153" t="inlineStr">
        <is>
          <t>BJURHOLM</t>
        </is>
      </c>
      <c r="I153" t="n">
        <v>2.6</v>
      </c>
      <c r="J153" t="n">
        <v>0</v>
      </c>
      <c r="K153" t="n">
        <v>0</v>
      </c>
      <c r="L153" t="n">
        <v>0</v>
      </c>
      <c r="M153" t="n">
        <v>0</v>
      </c>
      <c r="N153" t="n">
        <v>0</v>
      </c>
      <c r="O153" t="n">
        <v>0</v>
      </c>
      <c r="P153" t="n">
        <v>0</v>
      </c>
      <c r="Q153" t="n">
        <v>0</v>
      </c>
      <c r="R153" t="n">
        <v>0</v>
      </c>
      <c r="S153" t="n">
        <v>0</v>
      </c>
      <c r="T153" t="n">
        <v>0</v>
      </c>
      <c r="U153" s="2" t="inlineStr"/>
    </row>
    <row r="154" ht="15" customHeight="1">
      <c r="A154" t="inlineStr">
        <is>
          <t>A 50727-2024</t>
        </is>
      </c>
      <c r="B154" t="inlineStr">
        <is>
          <t>avverkningsanmälan</t>
        </is>
      </c>
      <c r="C154" t="inlineStr">
        <is>
          <t>Föryngringsavverkning</t>
        </is>
      </c>
      <c r="D154" s="1" t="n">
        <v>45602</v>
      </c>
      <c r="E154" s="1" t="n">
        <v>46216</v>
      </c>
      <c r="F154" t="inlineStr">
        <is>
          <t>VÄSTERBOTTENS LÄN</t>
        </is>
      </c>
      <c r="G154" t="inlineStr">
        <is>
          <t>BJURHOLM</t>
        </is>
      </c>
      <c r="I154" t="n">
        <v>0.2</v>
      </c>
      <c r="J154" t="n">
        <v>0</v>
      </c>
      <c r="K154" t="n">
        <v>0</v>
      </c>
      <c r="L154" t="n">
        <v>0</v>
      </c>
      <c r="M154" t="n">
        <v>0</v>
      </c>
      <c r="N154" t="n">
        <v>0</v>
      </c>
      <c r="O154" t="n">
        <v>0</v>
      </c>
      <c r="P154" t="n">
        <v>0</v>
      </c>
      <c r="Q154" t="n">
        <v>0</v>
      </c>
      <c r="R154" t="n">
        <v>0</v>
      </c>
      <c r="S154" t="n">
        <v>0</v>
      </c>
      <c r="T154" t="n">
        <v>0</v>
      </c>
      <c r="U154" s="2" t="inlineStr"/>
    </row>
    <row r="155" ht="15" customHeight="1">
      <c r="A155" t="inlineStr">
        <is>
          <t>A 50729-2024</t>
        </is>
      </c>
      <c r="B155" t="inlineStr">
        <is>
          <t>avverkningsanmälan</t>
        </is>
      </c>
      <c r="C155" t="inlineStr">
        <is>
          <t>Föryngringsavverkning</t>
        </is>
      </c>
      <c r="D155" s="1" t="n">
        <v>45602</v>
      </c>
      <c r="E155" s="1" t="n">
        <v>46216</v>
      </c>
      <c r="F155" t="inlineStr">
        <is>
          <t>VÄSTERBOTTENS LÄN</t>
        </is>
      </c>
      <c r="G155" t="inlineStr">
        <is>
          <t>BJURHOLM</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46884-2025</t>
        </is>
      </c>
      <c r="B156" t="inlineStr">
        <is>
          <t>avverkningsanmälan</t>
        </is>
      </c>
      <c r="C156" t="inlineStr">
        <is>
          <t>Föryngringsavverkning</t>
        </is>
      </c>
      <c r="D156" s="1" t="n">
        <v>45929</v>
      </c>
      <c r="E156" s="1" t="n">
        <v>46216</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31782-2022</t>
        </is>
      </c>
      <c r="B157" t="inlineStr">
        <is>
          <t>avverkningsanmälan</t>
        </is>
      </c>
      <c r="C157" t="inlineStr">
        <is>
          <t>Föryngringsavverkning</t>
        </is>
      </c>
      <c r="D157" s="1" t="n">
        <v>44776</v>
      </c>
      <c r="E157" s="1" t="n">
        <v>46216</v>
      </c>
      <c r="F157" t="inlineStr">
        <is>
          <t>VÄSTERBOTTENS LÄN</t>
        </is>
      </c>
      <c r="G157" t="inlineStr">
        <is>
          <t>BJURHOLM</t>
        </is>
      </c>
      <c r="H157" t="inlineStr">
        <is>
          <t>Holmen skog AB</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47151-2025</t>
        </is>
      </c>
      <c r="B158" t="inlineStr">
        <is>
          <t>avverkningsanmälan</t>
        </is>
      </c>
      <c r="C158" t="inlineStr">
        <is>
          <t>Föryngringsavverkning</t>
        </is>
      </c>
      <c r="D158" s="1" t="n">
        <v>45929</v>
      </c>
      <c r="E158" s="1" t="n">
        <v>46216</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46885-2025</t>
        </is>
      </c>
      <c r="B159" t="inlineStr">
        <is>
          <t>avverkningsanmälan</t>
        </is>
      </c>
      <c r="C159" t="inlineStr">
        <is>
          <t>Föryngringsavverkning</t>
        </is>
      </c>
      <c r="D159" s="1" t="n">
        <v>45929</v>
      </c>
      <c r="E159" s="1" t="n">
        <v>46216</v>
      </c>
      <c r="F159" t="inlineStr">
        <is>
          <t>VÄSTERBOTTENS LÄN</t>
        </is>
      </c>
      <c r="G159" t="inlineStr">
        <is>
          <t>BJURHOLM</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47150-2025</t>
        </is>
      </c>
      <c r="B160" t="inlineStr">
        <is>
          <t>avverkningsanmälan</t>
        </is>
      </c>
      <c r="C160" t="inlineStr">
        <is>
          <t>Föryngringsavverkning</t>
        </is>
      </c>
      <c r="D160" s="1" t="n">
        <v>45929</v>
      </c>
      <c r="E160" s="1" t="n">
        <v>46216</v>
      </c>
      <c r="F160" t="inlineStr">
        <is>
          <t>VÄSTERBOTTENS LÄN</t>
        </is>
      </c>
      <c r="G160" t="inlineStr">
        <is>
          <t>BJURHOLM</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46614-2023</t>
        </is>
      </c>
      <c r="B161" t="inlineStr">
        <is>
          <t>avverkningsanmälan</t>
        </is>
      </c>
      <c r="C161" t="inlineStr">
        <is>
          <t>Föryngringsavverkning</t>
        </is>
      </c>
      <c r="D161" s="1" t="n">
        <v>45198</v>
      </c>
      <c r="E161" s="1" t="n">
        <v>46216</v>
      </c>
      <c r="F161" t="inlineStr">
        <is>
          <t>VÄSTERBOTTENS LÄN</t>
        </is>
      </c>
      <c r="G161" t="inlineStr">
        <is>
          <t>BJURHOLM</t>
        </is>
      </c>
      <c r="H161" t="inlineStr">
        <is>
          <t>Holmen skog AB</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57798-2024</t>
        </is>
      </c>
      <c r="B162" t="inlineStr">
        <is>
          <t>avverkningsanmälan</t>
        </is>
      </c>
      <c r="C162" t="inlineStr">
        <is>
          <t>Föryngringsavverkning</t>
        </is>
      </c>
      <c r="D162" s="1" t="n">
        <v>45631</v>
      </c>
      <c r="E162" s="1" t="n">
        <v>46216</v>
      </c>
      <c r="F162" t="inlineStr">
        <is>
          <t>VÄSTERBOTTENS LÄN</t>
        </is>
      </c>
      <c r="G162" t="inlineStr">
        <is>
          <t>BJURHOLM</t>
        </is>
      </c>
      <c r="H162" t="inlineStr">
        <is>
          <t>SCA</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25099-2025</t>
        </is>
      </c>
      <c r="B163" t="inlineStr">
        <is>
          <t>avverkningsanmälan</t>
        </is>
      </c>
      <c r="C163" t="inlineStr">
        <is>
          <t>Föryngringsavverkning</t>
        </is>
      </c>
      <c r="D163" s="1" t="n">
        <v>45800</v>
      </c>
      <c r="E163" s="1" t="n">
        <v>46216</v>
      </c>
      <c r="F163" t="inlineStr">
        <is>
          <t>VÄSTERBOTTENS LÄN</t>
        </is>
      </c>
      <c r="G163" t="inlineStr">
        <is>
          <t>BJURHOLM</t>
        </is>
      </c>
      <c r="H163" t="inlineStr">
        <is>
          <t>SCA</t>
        </is>
      </c>
      <c r="I163" t="n">
        <v>7.8</v>
      </c>
      <c r="J163" t="n">
        <v>0</v>
      </c>
      <c r="K163" t="n">
        <v>0</v>
      </c>
      <c r="L163" t="n">
        <v>0</v>
      </c>
      <c r="M163" t="n">
        <v>0</v>
      </c>
      <c r="N163" t="n">
        <v>0</v>
      </c>
      <c r="O163" t="n">
        <v>0</v>
      </c>
      <c r="P163" t="n">
        <v>0</v>
      </c>
      <c r="Q163" t="n">
        <v>0</v>
      </c>
      <c r="R163" t="n">
        <v>0</v>
      </c>
      <c r="S163" t="n">
        <v>0</v>
      </c>
      <c r="T163" t="n">
        <v>0</v>
      </c>
      <c r="U163" s="2" t="inlineStr"/>
    </row>
    <row r="164" ht="15" customHeight="1">
      <c r="A164" t="inlineStr">
        <is>
          <t>A 36809-2025</t>
        </is>
      </c>
      <c r="B164" t="inlineStr">
        <is>
          <t>avverkningsanmälan</t>
        </is>
      </c>
      <c r="C164" t="inlineStr">
        <is>
          <t>Föryngringsavverkning</t>
        </is>
      </c>
      <c r="D164" s="1" t="n">
        <v>45873</v>
      </c>
      <c r="E164" s="1" t="n">
        <v>46216</v>
      </c>
      <c r="F164" t="inlineStr">
        <is>
          <t>VÄSTERBOTTENS LÄN</t>
        </is>
      </c>
      <c r="G164" t="inlineStr">
        <is>
          <t>BJURHOLM</t>
        </is>
      </c>
      <c r="H164" t="inlineStr">
        <is>
          <t>SCA</t>
        </is>
      </c>
      <c r="I164" t="n">
        <v>5.3</v>
      </c>
      <c r="J164" t="n">
        <v>0</v>
      </c>
      <c r="K164" t="n">
        <v>0</v>
      </c>
      <c r="L164" t="n">
        <v>0</v>
      </c>
      <c r="M164" t="n">
        <v>0</v>
      </c>
      <c r="N164" t="n">
        <v>0</v>
      </c>
      <c r="O164" t="n">
        <v>0</v>
      </c>
      <c r="P164" t="n">
        <v>0</v>
      </c>
      <c r="Q164" t="n">
        <v>0</v>
      </c>
      <c r="R164" t="n">
        <v>0</v>
      </c>
      <c r="S164" t="n">
        <v>0</v>
      </c>
      <c r="T164" t="n">
        <v>0</v>
      </c>
      <c r="U164" s="2" t="inlineStr"/>
    </row>
    <row r="165" ht="15" customHeight="1">
      <c r="A165" t="inlineStr">
        <is>
          <t>A 57697-2024</t>
        </is>
      </c>
      <c r="B165" t="inlineStr">
        <is>
          <t>avverkningsanmälan</t>
        </is>
      </c>
      <c r="C165" t="inlineStr">
        <is>
          <t>Föryngringsavverkning</t>
        </is>
      </c>
      <c r="D165" s="1" t="n">
        <v>45630</v>
      </c>
      <c r="E165" s="1" t="n">
        <v>46216</v>
      </c>
      <c r="F165" t="inlineStr">
        <is>
          <t>VÄSTERBOTTENS LÄN</t>
        </is>
      </c>
      <c r="G165" t="inlineStr">
        <is>
          <t>BJURHOLM</t>
        </is>
      </c>
      <c r="H165" t="inlineStr">
        <is>
          <t>Sveaskog</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9688-2024</t>
        </is>
      </c>
      <c r="B166" t="inlineStr">
        <is>
          <t>avverkningsanmälan</t>
        </is>
      </c>
      <c r="C166" t="inlineStr">
        <is>
          <t>Föryngringsavverkning</t>
        </is>
      </c>
      <c r="D166" s="1" t="n">
        <v>45362</v>
      </c>
      <c r="E166" s="1" t="n">
        <v>46216</v>
      </c>
      <c r="F166" t="inlineStr">
        <is>
          <t>VÄSTERBOTTENS LÄN</t>
        </is>
      </c>
      <c r="G166" t="inlineStr">
        <is>
          <t>BJURHOLM</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3181-2025</t>
        </is>
      </c>
      <c r="B167" t="inlineStr">
        <is>
          <t>avverkningsanmälan</t>
        </is>
      </c>
      <c r="C167" t="inlineStr">
        <is>
          <t>Föryngringsavverkning</t>
        </is>
      </c>
      <c r="D167" s="1" t="n">
        <v>45679</v>
      </c>
      <c r="E167" s="1" t="n">
        <v>46216</v>
      </c>
      <c r="F167" t="inlineStr">
        <is>
          <t>VÄSTERBOTTENS LÄN</t>
        </is>
      </c>
      <c r="G167" t="inlineStr">
        <is>
          <t>BJURHOLM</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3116-2026</t>
        </is>
      </c>
      <c r="B168" t="inlineStr">
        <is>
          <t>avverkningsanmälan</t>
        </is>
      </c>
      <c r="C168" t="inlineStr">
        <is>
          <t>Föryngringsavverkning</t>
        </is>
      </c>
      <c r="D168" s="1" t="n">
        <v>46041</v>
      </c>
      <c r="E168" s="1" t="n">
        <v>46216</v>
      </c>
      <c r="F168" t="inlineStr">
        <is>
          <t>VÄSTERBOTTENS LÄN</t>
        </is>
      </c>
      <c r="G168" t="inlineStr">
        <is>
          <t>BJURHOLM</t>
        </is>
      </c>
      <c r="H168" t="inlineStr">
        <is>
          <t>Holmen skog AB</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49236-2025</t>
        </is>
      </c>
      <c r="B169" t="inlineStr">
        <is>
          <t>avverkningsanmälan</t>
        </is>
      </c>
      <c r="C169" t="inlineStr">
        <is>
          <t>Föryngringsavverkning</t>
        </is>
      </c>
      <c r="D169" s="1" t="n">
        <v>45938</v>
      </c>
      <c r="E169" s="1" t="n">
        <v>46216</v>
      </c>
      <c r="F169" t="inlineStr">
        <is>
          <t>VÄSTERBOTTENS LÄN</t>
        </is>
      </c>
      <c r="G169" t="inlineStr">
        <is>
          <t>BJURHOLM</t>
        </is>
      </c>
      <c r="H169" t="inlineStr">
        <is>
          <t>Sveaskog</t>
        </is>
      </c>
      <c r="I169" t="n">
        <v>3.8</v>
      </c>
      <c r="J169" t="n">
        <v>0</v>
      </c>
      <c r="K169" t="n">
        <v>0</v>
      </c>
      <c r="L169" t="n">
        <v>0</v>
      </c>
      <c r="M169" t="n">
        <v>0</v>
      </c>
      <c r="N169" t="n">
        <v>0</v>
      </c>
      <c r="O169" t="n">
        <v>0</v>
      </c>
      <c r="P169" t="n">
        <v>0</v>
      </c>
      <c r="Q169" t="n">
        <v>0</v>
      </c>
      <c r="R169" t="n">
        <v>0</v>
      </c>
      <c r="S169" t="n">
        <v>0</v>
      </c>
      <c r="T169" t="n">
        <v>0</v>
      </c>
      <c r="U169" s="2" t="inlineStr"/>
    </row>
    <row r="170" ht="15" customHeight="1">
      <c r="A170" t="inlineStr">
        <is>
          <t>A 37007-2025</t>
        </is>
      </c>
      <c r="B170" t="inlineStr">
        <is>
          <t>avverkningsanmälan</t>
        </is>
      </c>
      <c r="C170" t="inlineStr">
        <is>
          <t>Föryngringsavverkning</t>
        </is>
      </c>
      <c r="D170" s="1" t="n">
        <v>45874</v>
      </c>
      <c r="E170" s="1" t="n">
        <v>46216</v>
      </c>
      <c r="F170" t="inlineStr">
        <is>
          <t>VÄSTERBOTTENS LÄN</t>
        </is>
      </c>
      <c r="G170" t="inlineStr">
        <is>
          <t>BJURHOLM</t>
        </is>
      </c>
      <c r="H170" t="inlineStr">
        <is>
          <t>SCA</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61151-2024</t>
        </is>
      </c>
      <c r="B171" t="inlineStr">
        <is>
          <t>avverkningsanmälan</t>
        </is>
      </c>
      <c r="C171" t="inlineStr">
        <is>
          <t>Föryngringsavverkning</t>
        </is>
      </c>
      <c r="D171" s="1" t="n">
        <v>45645</v>
      </c>
      <c r="E171" s="1" t="n">
        <v>46216</v>
      </c>
      <c r="F171" t="inlineStr">
        <is>
          <t>VÄSTERBOTTENS LÄN</t>
        </is>
      </c>
      <c r="G171" t="inlineStr">
        <is>
          <t>BJURHOLM</t>
        </is>
      </c>
      <c r="I171" t="n">
        <v>8</v>
      </c>
      <c r="J171" t="n">
        <v>0</v>
      </c>
      <c r="K171" t="n">
        <v>0</v>
      </c>
      <c r="L171" t="n">
        <v>0</v>
      </c>
      <c r="M171" t="n">
        <v>0</v>
      </c>
      <c r="N171" t="n">
        <v>0</v>
      </c>
      <c r="O171" t="n">
        <v>0</v>
      </c>
      <c r="P171" t="n">
        <v>0</v>
      </c>
      <c r="Q171" t="n">
        <v>0</v>
      </c>
      <c r="R171" t="n">
        <v>0</v>
      </c>
      <c r="S171" t="n">
        <v>0</v>
      </c>
      <c r="T171" t="n">
        <v>0</v>
      </c>
      <c r="U171" s="2" t="inlineStr"/>
    </row>
    <row r="172" ht="15" customHeight="1">
      <c r="A172" t="inlineStr">
        <is>
          <t>A 37199-2025</t>
        </is>
      </c>
      <c r="B172" t="inlineStr">
        <is>
          <t>avverkningsanmälan</t>
        </is>
      </c>
      <c r="C172" t="inlineStr">
        <is>
          <t>Föryngringsavverkning</t>
        </is>
      </c>
      <c r="D172" s="1" t="n">
        <v>45875</v>
      </c>
      <c r="E172" s="1" t="n">
        <v>46216</v>
      </c>
      <c r="F172" t="inlineStr">
        <is>
          <t>VÄSTERBOTTENS LÄN</t>
        </is>
      </c>
      <c r="G172" t="inlineStr">
        <is>
          <t>BJURHOLM</t>
        </is>
      </c>
      <c r="H172" t="inlineStr">
        <is>
          <t>SCA</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17867-2025</t>
        </is>
      </c>
      <c r="B173" t="inlineStr">
        <is>
          <t>avverkningsanmälan</t>
        </is>
      </c>
      <c r="C173" t="inlineStr">
        <is>
          <t>Föryngringsavverkning</t>
        </is>
      </c>
      <c r="D173" s="1" t="n">
        <v>45758</v>
      </c>
      <c r="E173" s="1" t="n">
        <v>46216</v>
      </c>
      <c r="F173" t="inlineStr">
        <is>
          <t>VÄSTERBOTTENS LÄN</t>
        </is>
      </c>
      <c r="G173" t="inlineStr">
        <is>
          <t>BJURHOLM</t>
        </is>
      </c>
      <c r="I173" t="n">
        <v>4.6</v>
      </c>
      <c r="J173" t="n">
        <v>0</v>
      </c>
      <c r="K173" t="n">
        <v>0</v>
      </c>
      <c r="L173" t="n">
        <v>0</v>
      </c>
      <c r="M173" t="n">
        <v>0</v>
      </c>
      <c r="N173" t="n">
        <v>0</v>
      </c>
      <c r="O173" t="n">
        <v>0</v>
      </c>
      <c r="P173" t="n">
        <v>0</v>
      </c>
      <c r="Q173" t="n">
        <v>0</v>
      </c>
      <c r="R173" t="n">
        <v>0</v>
      </c>
      <c r="S173" t="n">
        <v>0</v>
      </c>
      <c r="T173" t="n">
        <v>0</v>
      </c>
      <c r="U173" s="2" t="inlineStr"/>
    </row>
    <row r="174" ht="15" customHeight="1">
      <c r="A174" t="inlineStr">
        <is>
          <t>A 36996-2025</t>
        </is>
      </c>
      <c r="B174" t="inlineStr">
        <is>
          <t>avverkningsanmälan</t>
        </is>
      </c>
      <c r="C174" t="inlineStr">
        <is>
          <t>Föryngringsavverkning</t>
        </is>
      </c>
      <c r="D174" s="1" t="n">
        <v>45874</v>
      </c>
      <c r="E174" s="1" t="n">
        <v>46216</v>
      </c>
      <c r="F174" t="inlineStr">
        <is>
          <t>VÄSTERBOTTENS LÄN</t>
        </is>
      </c>
      <c r="G174" t="inlineStr">
        <is>
          <t>BJURHOLM</t>
        </is>
      </c>
      <c r="H174" t="inlineStr">
        <is>
          <t>SCA</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49382-2025</t>
        </is>
      </c>
      <c r="B175" t="inlineStr">
        <is>
          <t>avverkningsanmälan</t>
        </is>
      </c>
      <c r="C175" t="inlineStr">
        <is>
          <t>Föryngringsavverkning</t>
        </is>
      </c>
      <c r="D175" s="1" t="n">
        <v>45938</v>
      </c>
      <c r="E175" s="1" t="n">
        <v>46216</v>
      </c>
      <c r="F175" t="inlineStr">
        <is>
          <t>VÄSTERBOTTENS LÄN</t>
        </is>
      </c>
      <c r="G175" t="inlineStr">
        <is>
          <t>BJURHOLM</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20777-2024</t>
        </is>
      </c>
      <c r="B176" t="inlineStr">
        <is>
          <t>avverkningsanmälan</t>
        </is>
      </c>
      <c r="C176" t="inlineStr">
        <is>
          <t>Föryngringsavverkning</t>
        </is>
      </c>
      <c r="D176" s="1" t="n">
        <v>45436</v>
      </c>
      <c r="E176" s="1" t="n">
        <v>46216</v>
      </c>
      <c r="F176" t="inlineStr">
        <is>
          <t>VÄSTERBOTTENS LÄN</t>
        </is>
      </c>
      <c r="G176" t="inlineStr">
        <is>
          <t>BJURHOLM</t>
        </is>
      </c>
      <c r="H176" t="inlineStr">
        <is>
          <t>SCA</t>
        </is>
      </c>
      <c r="I176" t="n">
        <v>4.2</v>
      </c>
      <c r="J176" t="n">
        <v>0</v>
      </c>
      <c r="K176" t="n">
        <v>0</v>
      </c>
      <c r="L176" t="n">
        <v>0</v>
      </c>
      <c r="M176" t="n">
        <v>0</v>
      </c>
      <c r="N176" t="n">
        <v>0</v>
      </c>
      <c r="O176" t="n">
        <v>0</v>
      </c>
      <c r="P176" t="n">
        <v>0</v>
      </c>
      <c r="Q176" t="n">
        <v>0</v>
      </c>
      <c r="R176" t="n">
        <v>0</v>
      </c>
      <c r="S176" t="n">
        <v>0</v>
      </c>
      <c r="T176" t="n">
        <v>0</v>
      </c>
      <c r="U176" s="2" t="inlineStr"/>
    </row>
    <row r="177" ht="15" customHeight="1">
      <c r="A177" t="inlineStr">
        <is>
          <t>A 50189-2024</t>
        </is>
      </c>
      <c r="B177" t="inlineStr">
        <is>
          <t>avverkningsanmälan</t>
        </is>
      </c>
      <c r="C177" t="inlineStr">
        <is>
          <t>Föryngringsavverkning</t>
        </is>
      </c>
      <c r="D177" s="1" t="n">
        <v>45600</v>
      </c>
      <c r="E177" s="1" t="n">
        <v>46216</v>
      </c>
      <c r="F177" t="inlineStr">
        <is>
          <t>VÄSTERBOTTENS LÄN</t>
        </is>
      </c>
      <c r="G177" t="inlineStr">
        <is>
          <t>BJURHOLM</t>
        </is>
      </c>
      <c r="H177" t="inlineStr">
        <is>
          <t>Holmen skog AB</t>
        </is>
      </c>
      <c r="I177" t="n">
        <v>5.9</v>
      </c>
      <c r="J177" t="n">
        <v>0</v>
      </c>
      <c r="K177" t="n">
        <v>0</v>
      </c>
      <c r="L177" t="n">
        <v>0</v>
      </c>
      <c r="M177" t="n">
        <v>0</v>
      </c>
      <c r="N177" t="n">
        <v>0</v>
      </c>
      <c r="O177" t="n">
        <v>0</v>
      </c>
      <c r="P177" t="n">
        <v>0</v>
      </c>
      <c r="Q177" t="n">
        <v>0</v>
      </c>
      <c r="R177" t="n">
        <v>0</v>
      </c>
      <c r="S177" t="n">
        <v>0</v>
      </c>
      <c r="T177" t="n">
        <v>0</v>
      </c>
      <c r="U177" s="2" t="inlineStr"/>
    </row>
    <row r="178" ht="15" customHeight="1">
      <c r="A178" t="inlineStr">
        <is>
          <t>A 50027-2025</t>
        </is>
      </c>
      <c r="B178" t="inlineStr">
        <is>
          <t>avverkningsanmälan</t>
        </is>
      </c>
      <c r="C178" t="inlineStr">
        <is>
          <t>Föryngringsavverkning</t>
        </is>
      </c>
      <c r="D178" s="1" t="n">
        <v>45943</v>
      </c>
      <c r="E178" s="1" t="n">
        <v>46216</v>
      </c>
      <c r="F178" t="inlineStr">
        <is>
          <t>VÄSTERBOTTENS LÄN</t>
        </is>
      </c>
      <c r="G178" t="inlineStr">
        <is>
          <t>BJURHOLM</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37826-2025</t>
        </is>
      </c>
      <c r="B179" t="inlineStr">
        <is>
          <t>avverkningsanmälan</t>
        </is>
      </c>
      <c r="C179" t="inlineStr">
        <is>
          <t>Föryngringsavverkning</t>
        </is>
      </c>
      <c r="D179" s="1" t="n">
        <v>45881</v>
      </c>
      <c r="E179" s="1" t="n">
        <v>46216</v>
      </c>
      <c r="F179" t="inlineStr">
        <is>
          <t>VÄSTERBOTTENS LÄN</t>
        </is>
      </c>
      <c r="G179" t="inlineStr">
        <is>
          <t>BJURHOLM</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38006-2025</t>
        </is>
      </c>
      <c r="B180" t="inlineStr">
        <is>
          <t>avverkningsanmälan</t>
        </is>
      </c>
      <c r="C180" t="inlineStr">
        <is>
          <t>Föryngringsavverkning</t>
        </is>
      </c>
      <c r="D180" s="1" t="n">
        <v>45882</v>
      </c>
      <c r="E180" s="1" t="n">
        <v>46216</v>
      </c>
      <c r="F180" t="inlineStr">
        <is>
          <t>VÄSTERBOTTENS LÄN</t>
        </is>
      </c>
      <c r="G180" t="inlineStr">
        <is>
          <t>BJURHOLM</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50494-2025</t>
        </is>
      </c>
      <c r="B181" t="inlineStr">
        <is>
          <t>avverkningsanmälan</t>
        </is>
      </c>
      <c r="C181" t="inlineStr">
        <is>
          <t>Föryngringsavverkning</t>
        </is>
      </c>
      <c r="D181" s="1" t="n">
        <v>45945</v>
      </c>
      <c r="E181" s="1" t="n">
        <v>46216</v>
      </c>
      <c r="F181" t="inlineStr">
        <is>
          <t>VÄSTERBOTTENS LÄN</t>
        </is>
      </c>
      <c r="G181" t="inlineStr">
        <is>
          <t>BJURHOLM</t>
        </is>
      </c>
      <c r="I181" t="n">
        <v>7.5</v>
      </c>
      <c r="J181" t="n">
        <v>0</v>
      </c>
      <c r="K181" t="n">
        <v>0</v>
      </c>
      <c r="L181" t="n">
        <v>0</v>
      </c>
      <c r="M181" t="n">
        <v>0</v>
      </c>
      <c r="N181" t="n">
        <v>0</v>
      </c>
      <c r="O181" t="n">
        <v>0</v>
      </c>
      <c r="P181" t="n">
        <v>0</v>
      </c>
      <c r="Q181" t="n">
        <v>0</v>
      </c>
      <c r="R181" t="n">
        <v>0</v>
      </c>
      <c r="S181" t="n">
        <v>0</v>
      </c>
      <c r="T181" t="n">
        <v>0</v>
      </c>
      <c r="U181" s="2" t="inlineStr"/>
    </row>
    <row r="182" ht="15" customHeight="1">
      <c r="A182" t="inlineStr">
        <is>
          <t>A 38426-2025</t>
        </is>
      </c>
      <c r="B182" t="inlineStr">
        <is>
          <t>avverkningsanmälan</t>
        </is>
      </c>
      <c r="C182" t="inlineStr">
        <is>
          <t>Föryngringsavverkning</t>
        </is>
      </c>
      <c r="D182" s="1" t="n">
        <v>45883</v>
      </c>
      <c r="E182" s="1" t="n">
        <v>46216</v>
      </c>
      <c r="F182" t="inlineStr">
        <is>
          <t>VÄSTERBOTTENS LÄN</t>
        </is>
      </c>
      <c r="G182" t="inlineStr">
        <is>
          <t>BJURHOLM</t>
        </is>
      </c>
      <c r="H182" t="inlineStr">
        <is>
          <t>SCA</t>
        </is>
      </c>
      <c r="I182" t="n">
        <v>3.9</v>
      </c>
      <c r="J182" t="n">
        <v>0</v>
      </c>
      <c r="K182" t="n">
        <v>0</v>
      </c>
      <c r="L182" t="n">
        <v>0</v>
      </c>
      <c r="M182" t="n">
        <v>0</v>
      </c>
      <c r="N182" t="n">
        <v>0</v>
      </c>
      <c r="O182" t="n">
        <v>0</v>
      </c>
      <c r="P182" t="n">
        <v>0</v>
      </c>
      <c r="Q182" t="n">
        <v>0</v>
      </c>
      <c r="R182" t="n">
        <v>0</v>
      </c>
      <c r="S182" t="n">
        <v>0</v>
      </c>
      <c r="T182" t="n">
        <v>0</v>
      </c>
      <c r="U182" s="2" t="inlineStr"/>
    </row>
    <row r="183" ht="15" customHeight="1">
      <c r="A183" t="inlineStr">
        <is>
          <t>A 38146-2025</t>
        </is>
      </c>
      <c r="B183" t="inlineStr">
        <is>
          <t>avverkningsanmälan</t>
        </is>
      </c>
      <c r="C183" t="inlineStr">
        <is>
          <t>Föryngringsavverkning</t>
        </is>
      </c>
      <c r="D183" s="1" t="n">
        <v>45882</v>
      </c>
      <c r="E183" s="1" t="n">
        <v>46216</v>
      </c>
      <c r="F183" t="inlineStr">
        <is>
          <t>VÄSTERBOTTENS LÄN</t>
        </is>
      </c>
      <c r="G183" t="inlineStr">
        <is>
          <t>BJURHOLM</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50810-2025</t>
        </is>
      </c>
      <c r="B184" t="inlineStr">
        <is>
          <t>avverkningsanmälan</t>
        </is>
      </c>
      <c r="C184" t="inlineStr">
        <is>
          <t>Föryngringsavverkning</t>
        </is>
      </c>
      <c r="D184" s="1" t="n">
        <v>45946</v>
      </c>
      <c r="E184" s="1" t="n">
        <v>46216</v>
      </c>
      <c r="F184" t="inlineStr">
        <is>
          <t>VÄSTERBOTTENS LÄN</t>
        </is>
      </c>
      <c r="G184" t="inlineStr">
        <is>
          <t>BJURHOLM</t>
        </is>
      </c>
      <c r="I184" t="n">
        <v>8.6</v>
      </c>
      <c r="J184" t="n">
        <v>0</v>
      </c>
      <c r="K184" t="n">
        <v>0</v>
      </c>
      <c r="L184" t="n">
        <v>0</v>
      </c>
      <c r="M184" t="n">
        <v>0</v>
      </c>
      <c r="N184" t="n">
        <v>0</v>
      </c>
      <c r="O184" t="n">
        <v>0</v>
      </c>
      <c r="P184" t="n">
        <v>0</v>
      </c>
      <c r="Q184" t="n">
        <v>0</v>
      </c>
      <c r="R184" t="n">
        <v>0</v>
      </c>
      <c r="S184" t="n">
        <v>0</v>
      </c>
      <c r="T184" t="n">
        <v>0</v>
      </c>
      <c r="U184" s="2" t="inlineStr"/>
    </row>
    <row r="185" ht="15" customHeight="1">
      <c r="A185" t="inlineStr">
        <is>
          <t>A 25794-2024</t>
        </is>
      </c>
      <c r="B185" t="inlineStr">
        <is>
          <t>avverkningsanmälan</t>
        </is>
      </c>
      <c r="C185" t="inlineStr">
        <is>
          <t>Föryngringsavverkning</t>
        </is>
      </c>
      <c r="D185" s="1" t="n">
        <v>45467</v>
      </c>
      <c r="E185" s="1" t="n">
        <v>46216</v>
      </c>
      <c r="F185" t="inlineStr">
        <is>
          <t>VÄSTERBOTTENS LÄN</t>
        </is>
      </c>
      <c r="G185" t="inlineStr">
        <is>
          <t>BJURHOLM</t>
        </is>
      </c>
      <c r="H185" t="inlineStr">
        <is>
          <t>Holmen skog AB</t>
        </is>
      </c>
      <c r="I185" t="n">
        <v>9</v>
      </c>
      <c r="J185" t="n">
        <v>0</v>
      </c>
      <c r="K185" t="n">
        <v>0</v>
      </c>
      <c r="L185" t="n">
        <v>0</v>
      </c>
      <c r="M185" t="n">
        <v>0</v>
      </c>
      <c r="N185" t="n">
        <v>0</v>
      </c>
      <c r="O185" t="n">
        <v>0</v>
      </c>
      <c r="P185" t="n">
        <v>0</v>
      </c>
      <c r="Q185" t="n">
        <v>0</v>
      </c>
      <c r="R185" t="n">
        <v>0</v>
      </c>
      <c r="S185" t="n">
        <v>0</v>
      </c>
      <c r="T185" t="n">
        <v>0</v>
      </c>
      <c r="U185" s="2" t="inlineStr"/>
    </row>
    <row r="186" ht="15" customHeight="1">
      <c r="A186" t="inlineStr">
        <is>
          <t>A 52235-2025</t>
        </is>
      </c>
      <c r="B186" t="inlineStr">
        <is>
          <t>avverkningsanmälan</t>
        </is>
      </c>
      <c r="C186" t="inlineStr">
        <is>
          <t>Föryngringsavverkning</t>
        </is>
      </c>
      <c r="D186" s="1" t="n">
        <v>45953</v>
      </c>
      <c r="E186" s="1" t="n">
        <v>46216</v>
      </c>
      <c r="F186" t="inlineStr">
        <is>
          <t>VÄSTERBOTTENS LÄN</t>
        </is>
      </c>
      <c r="G186" t="inlineStr">
        <is>
          <t>BJURHOLM</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52208-2025</t>
        </is>
      </c>
      <c r="B187" t="inlineStr">
        <is>
          <t>avverkningsanmälan</t>
        </is>
      </c>
      <c r="C187" t="inlineStr">
        <is>
          <t>Föryngringsavverkning</t>
        </is>
      </c>
      <c r="D187" s="1" t="n">
        <v>45953</v>
      </c>
      <c r="E187" s="1" t="n">
        <v>46216</v>
      </c>
      <c r="F187" t="inlineStr">
        <is>
          <t>VÄSTERBOTTENS LÄN</t>
        </is>
      </c>
      <c r="G187" t="inlineStr">
        <is>
          <t>BJURHOLM</t>
        </is>
      </c>
      <c r="I187" t="n">
        <v>5.9</v>
      </c>
      <c r="J187" t="n">
        <v>0</v>
      </c>
      <c r="K187" t="n">
        <v>0</v>
      </c>
      <c r="L187" t="n">
        <v>0</v>
      </c>
      <c r="M187" t="n">
        <v>0</v>
      </c>
      <c r="N187" t="n">
        <v>0</v>
      </c>
      <c r="O187" t="n">
        <v>0</v>
      </c>
      <c r="P187" t="n">
        <v>0</v>
      </c>
      <c r="Q187" t="n">
        <v>0</v>
      </c>
      <c r="R187" t="n">
        <v>0</v>
      </c>
      <c r="S187" t="n">
        <v>0</v>
      </c>
      <c r="T187" t="n">
        <v>0</v>
      </c>
      <c r="U187" s="2" t="inlineStr"/>
    </row>
    <row r="188" ht="15" customHeight="1">
      <c r="A188" t="inlineStr">
        <is>
          <t>A 3058-2025</t>
        </is>
      </c>
      <c r="B188" t="inlineStr">
        <is>
          <t>avverkningsanmälan</t>
        </is>
      </c>
      <c r="C188" t="inlineStr">
        <is>
          <t>Föryngringsavverkning</t>
        </is>
      </c>
      <c r="D188" s="1" t="n">
        <v>45678</v>
      </c>
      <c r="E188" s="1" t="n">
        <v>46216</v>
      </c>
      <c r="F188" t="inlineStr">
        <is>
          <t>VÄSTERBOTTENS LÄN</t>
        </is>
      </c>
      <c r="G188" t="inlineStr">
        <is>
          <t>BJURHOLM</t>
        </is>
      </c>
      <c r="H188" t="inlineStr">
        <is>
          <t>Sveaskog</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44812-2023</t>
        </is>
      </c>
      <c r="B189" t="inlineStr">
        <is>
          <t>avverkningsanmälan</t>
        </is>
      </c>
      <c r="C189" t="inlineStr">
        <is>
          <t>Föryngringsavverkning</t>
        </is>
      </c>
      <c r="D189" s="1" t="n">
        <v>45190</v>
      </c>
      <c r="E189" s="1" t="n">
        <v>46216</v>
      </c>
      <c r="F189" t="inlineStr">
        <is>
          <t>VÄSTERBOTTENS LÄN</t>
        </is>
      </c>
      <c r="G189" t="inlineStr">
        <is>
          <t>BJURHOLM</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4018-2026</t>
        </is>
      </c>
      <c r="B190" t="inlineStr">
        <is>
          <t>avverkningsanmälan</t>
        </is>
      </c>
      <c r="C190" t="inlineStr">
        <is>
          <t>Föryngringsavverkning</t>
        </is>
      </c>
      <c r="D190" s="1" t="n">
        <v>46044</v>
      </c>
      <c r="E190" s="1" t="n">
        <v>46216</v>
      </c>
      <c r="F190" t="inlineStr">
        <is>
          <t>VÄSTERBOTTENS LÄN</t>
        </is>
      </c>
      <c r="G190" t="inlineStr">
        <is>
          <t>BJURHOLM</t>
        </is>
      </c>
      <c r="I190" t="n">
        <v>3.2</v>
      </c>
      <c r="J190" t="n">
        <v>0</v>
      </c>
      <c r="K190" t="n">
        <v>0</v>
      </c>
      <c r="L190" t="n">
        <v>0</v>
      </c>
      <c r="M190" t="n">
        <v>0</v>
      </c>
      <c r="N190" t="n">
        <v>0</v>
      </c>
      <c r="O190" t="n">
        <v>0</v>
      </c>
      <c r="P190" t="n">
        <v>0</v>
      </c>
      <c r="Q190" t="n">
        <v>0</v>
      </c>
      <c r="R190" t="n">
        <v>0</v>
      </c>
      <c r="S190" t="n">
        <v>0</v>
      </c>
      <c r="T190" t="n">
        <v>0</v>
      </c>
      <c r="U190" s="2" t="inlineStr"/>
    </row>
    <row r="191" ht="15" customHeight="1">
      <c r="A191" t="inlineStr">
        <is>
          <t>A 22036-2023</t>
        </is>
      </c>
      <c r="B191" t="inlineStr">
        <is>
          <t>avverkningsanmälan</t>
        </is>
      </c>
      <c r="C191" t="inlineStr">
        <is>
          <t>Föryngringsavverkning</t>
        </is>
      </c>
      <c r="D191" s="1" t="n">
        <v>45069</v>
      </c>
      <c r="E191" s="1" t="n">
        <v>46216</v>
      </c>
      <c r="F191" t="inlineStr">
        <is>
          <t>VÄSTERBOTTENS LÄN</t>
        </is>
      </c>
      <c r="G191" t="inlineStr">
        <is>
          <t>BJURHOLM</t>
        </is>
      </c>
      <c r="H191" t="inlineStr">
        <is>
          <t>Holmen skog AB</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54123-2025</t>
        </is>
      </c>
      <c r="B192" t="inlineStr">
        <is>
          <t>avverkningsanmälan</t>
        </is>
      </c>
      <c r="C192" t="inlineStr">
        <is>
          <t>Föryngringsavverkning</t>
        </is>
      </c>
      <c r="D192" s="1" t="n">
        <v>45964</v>
      </c>
      <c r="E192" s="1" t="n">
        <v>46216</v>
      </c>
      <c r="F192" t="inlineStr">
        <is>
          <t>VÄSTERBOTTENS LÄN</t>
        </is>
      </c>
      <c r="G192" t="inlineStr">
        <is>
          <t>BJURHOLM</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14414-2024</t>
        </is>
      </c>
      <c r="B193" t="inlineStr">
        <is>
          <t>avverkningsanmälan</t>
        </is>
      </c>
      <c r="C193" t="inlineStr">
        <is>
          <t>Föryngringsavverkning</t>
        </is>
      </c>
      <c r="D193" s="1" t="n">
        <v>45393</v>
      </c>
      <c r="E193" s="1" t="n">
        <v>46216</v>
      </c>
      <c r="F193" t="inlineStr">
        <is>
          <t>VÄSTERBOTTENS LÄN</t>
        </is>
      </c>
      <c r="G193" t="inlineStr">
        <is>
          <t>BJURHOLM</t>
        </is>
      </c>
      <c r="I193" t="n">
        <v>7.1</v>
      </c>
      <c r="J193" t="n">
        <v>0</v>
      </c>
      <c r="K193" t="n">
        <v>0</v>
      </c>
      <c r="L193" t="n">
        <v>0</v>
      </c>
      <c r="M193" t="n">
        <v>0</v>
      </c>
      <c r="N193" t="n">
        <v>0</v>
      </c>
      <c r="O193" t="n">
        <v>0</v>
      </c>
      <c r="P193" t="n">
        <v>0</v>
      </c>
      <c r="Q193" t="n">
        <v>0</v>
      </c>
      <c r="R193" t="n">
        <v>0</v>
      </c>
      <c r="S193" t="n">
        <v>0</v>
      </c>
      <c r="T193" t="n">
        <v>0</v>
      </c>
      <c r="U193" s="2" t="inlineStr"/>
    </row>
    <row r="194" ht="15" customHeight="1">
      <c r="A194" t="inlineStr">
        <is>
          <t>A 14438-2024</t>
        </is>
      </c>
      <c r="B194" t="inlineStr">
        <is>
          <t>avverkningsanmälan</t>
        </is>
      </c>
      <c r="C194" t="inlineStr">
        <is>
          <t>Föryngringsavverkning</t>
        </is>
      </c>
      <c r="D194" s="1" t="n">
        <v>45394</v>
      </c>
      <c r="E194" s="1" t="n">
        <v>46216</v>
      </c>
      <c r="F194" t="inlineStr">
        <is>
          <t>VÄSTERBOTTENS LÄN</t>
        </is>
      </c>
      <c r="G194" t="inlineStr">
        <is>
          <t>BJURHOLM</t>
        </is>
      </c>
      <c r="I194" t="n">
        <v>5</v>
      </c>
      <c r="J194" t="n">
        <v>0</v>
      </c>
      <c r="K194" t="n">
        <v>0</v>
      </c>
      <c r="L194" t="n">
        <v>0</v>
      </c>
      <c r="M194" t="n">
        <v>0</v>
      </c>
      <c r="N194" t="n">
        <v>0</v>
      </c>
      <c r="O194" t="n">
        <v>0</v>
      </c>
      <c r="P194" t="n">
        <v>0</v>
      </c>
      <c r="Q194" t="n">
        <v>0</v>
      </c>
      <c r="R194" t="n">
        <v>0</v>
      </c>
      <c r="S194" t="n">
        <v>0</v>
      </c>
      <c r="T194" t="n">
        <v>0</v>
      </c>
      <c r="U194" s="2" t="inlineStr"/>
    </row>
    <row r="195" ht="15" customHeight="1">
      <c r="A195" t="inlineStr">
        <is>
          <t>A 14443-2024</t>
        </is>
      </c>
      <c r="B195" t="inlineStr">
        <is>
          <t>avverkningsanmälan</t>
        </is>
      </c>
      <c r="C195" t="inlineStr">
        <is>
          <t>Föryngringsavverkning</t>
        </is>
      </c>
      <c r="D195" s="1" t="n">
        <v>45394</v>
      </c>
      <c r="E195" s="1" t="n">
        <v>46216</v>
      </c>
      <c r="F195" t="inlineStr">
        <is>
          <t>VÄSTERBOTTENS LÄN</t>
        </is>
      </c>
      <c r="G195" t="inlineStr">
        <is>
          <t>BJURHOLM</t>
        </is>
      </c>
      <c r="I195" t="n">
        <v>4.1</v>
      </c>
      <c r="J195" t="n">
        <v>0</v>
      </c>
      <c r="K195" t="n">
        <v>0</v>
      </c>
      <c r="L195" t="n">
        <v>0</v>
      </c>
      <c r="M195" t="n">
        <v>0</v>
      </c>
      <c r="N195" t="n">
        <v>0</v>
      </c>
      <c r="O195" t="n">
        <v>0</v>
      </c>
      <c r="P195" t="n">
        <v>0</v>
      </c>
      <c r="Q195" t="n">
        <v>0</v>
      </c>
      <c r="R195" t="n">
        <v>0</v>
      </c>
      <c r="S195" t="n">
        <v>0</v>
      </c>
      <c r="T195" t="n">
        <v>0</v>
      </c>
      <c r="U195" s="2" t="inlineStr"/>
    </row>
    <row r="196" ht="15" customHeight="1">
      <c r="A196" t="inlineStr">
        <is>
          <t>A 26646-2024</t>
        </is>
      </c>
      <c r="B196" t="inlineStr">
        <is>
          <t>avverkningsanmälan</t>
        </is>
      </c>
      <c r="C196" t="inlineStr">
        <is>
          <t>Föryngringsavverkning</t>
        </is>
      </c>
      <c r="D196" s="1" t="n">
        <v>45469</v>
      </c>
      <c r="E196" s="1" t="n">
        <v>46216</v>
      </c>
      <c r="F196" t="inlineStr">
        <is>
          <t>VÄSTERBOTTENS LÄN</t>
        </is>
      </c>
      <c r="G196" t="inlineStr">
        <is>
          <t>BJURHOLM</t>
        </is>
      </c>
      <c r="H196" t="inlineStr">
        <is>
          <t>SCA</t>
        </is>
      </c>
      <c r="I196" t="n">
        <v>2.8</v>
      </c>
      <c r="J196" t="n">
        <v>0</v>
      </c>
      <c r="K196" t="n">
        <v>0</v>
      </c>
      <c r="L196" t="n">
        <v>0</v>
      </c>
      <c r="M196" t="n">
        <v>0</v>
      </c>
      <c r="N196" t="n">
        <v>0</v>
      </c>
      <c r="O196" t="n">
        <v>0</v>
      </c>
      <c r="P196" t="n">
        <v>0</v>
      </c>
      <c r="Q196" t="n">
        <v>0</v>
      </c>
      <c r="R196" t="n">
        <v>0</v>
      </c>
      <c r="S196" t="n">
        <v>0</v>
      </c>
      <c r="T196" t="n">
        <v>0</v>
      </c>
      <c r="U196" s="2" t="inlineStr"/>
    </row>
    <row r="197" ht="15" customHeight="1">
      <c r="A197" t="inlineStr">
        <is>
          <t>A 7431-2024</t>
        </is>
      </c>
      <c r="B197" t="inlineStr">
        <is>
          <t>avverkningsanmälan</t>
        </is>
      </c>
      <c r="C197" t="inlineStr">
        <is>
          <t>Föryngringsavverkning</t>
        </is>
      </c>
      <c r="D197" s="1" t="n">
        <v>45345</v>
      </c>
      <c r="E197" s="1" t="n">
        <v>46216</v>
      </c>
      <c r="F197" t="inlineStr">
        <is>
          <t>VÄSTERBOTTENS LÄN</t>
        </is>
      </c>
      <c r="G197" t="inlineStr">
        <is>
          <t>BJURHOLM</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6191-2026</t>
        </is>
      </c>
      <c r="B198" t="inlineStr">
        <is>
          <t>avverkningsanmälan</t>
        </is>
      </c>
      <c r="C198" t="inlineStr">
        <is>
          <t>Föryngringsavverkning</t>
        </is>
      </c>
      <c r="D198" s="1" t="n">
        <v>46055</v>
      </c>
      <c r="E198" s="1" t="n">
        <v>46216</v>
      </c>
      <c r="F198" t="inlineStr">
        <is>
          <t>VÄSTERBOTTENS LÄN</t>
        </is>
      </c>
      <c r="G198" t="inlineStr">
        <is>
          <t>BJURHOLM</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A 56467-2025</t>
        </is>
      </c>
      <c r="B199" t="inlineStr">
        <is>
          <t>avverkningsanmälan</t>
        </is>
      </c>
      <c r="C199" t="inlineStr">
        <is>
          <t>Föryngringsavverkning</t>
        </is>
      </c>
      <c r="D199" s="1" t="n">
        <v>45975</v>
      </c>
      <c r="E199" s="1" t="n">
        <v>46216</v>
      </c>
      <c r="F199" t="inlineStr">
        <is>
          <t>VÄSTERBOTTENS LÄN</t>
        </is>
      </c>
      <c r="G199" t="inlineStr">
        <is>
          <t>BJURHOLM</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6811-2026</t>
        </is>
      </c>
      <c r="B200" t="inlineStr">
        <is>
          <t>avverkningsanmälan</t>
        </is>
      </c>
      <c r="C200" t="inlineStr">
        <is>
          <t>Föryngringsavverkning</t>
        </is>
      </c>
      <c r="D200" s="1" t="n">
        <v>46055</v>
      </c>
      <c r="E200" s="1" t="n">
        <v>46216</v>
      </c>
      <c r="F200" t="inlineStr">
        <is>
          <t>VÄSTERBOTTENS LÄN</t>
        </is>
      </c>
      <c r="G200" t="inlineStr">
        <is>
          <t>BJURHOLM</t>
        </is>
      </c>
      <c r="I200" t="n">
        <v>3.9</v>
      </c>
      <c r="J200" t="n">
        <v>0</v>
      </c>
      <c r="K200" t="n">
        <v>0</v>
      </c>
      <c r="L200" t="n">
        <v>0</v>
      </c>
      <c r="M200" t="n">
        <v>0</v>
      </c>
      <c r="N200" t="n">
        <v>0</v>
      </c>
      <c r="O200" t="n">
        <v>0</v>
      </c>
      <c r="P200" t="n">
        <v>0</v>
      </c>
      <c r="Q200" t="n">
        <v>0</v>
      </c>
      <c r="R200" t="n">
        <v>0</v>
      </c>
      <c r="S200" t="n">
        <v>0</v>
      </c>
      <c r="T200" t="n">
        <v>0</v>
      </c>
      <c r="U200" s="2" t="inlineStr"/>
    </row>
    <row r="201" ht="15" customHeight="1">
      <c r="A201" t="inlineStr">
        <is>
          <t>A 6966-2026</t>
        </is>
      </c>
      <c r="B201" t="inlineStr">
        <is>
          <t>avverkningsanmälan</t>
        </is>
      </c>
      <c r="C201" t="inlineStr">
        <is>
          <t>Föryngringsavverkning</t>
        </is>
      </c>
      <c r="D201" s="1" t="n">
        <v>46057</v>
      </c>
      <c r="E201" s="1" t="n">
        <v>46216</v>
      </c>
      <c r="F201" t="inlineStr">
        <is>
          <t>VÄSTERBOTTENS LÄN</t>
        </is>
      </c>
      <c r="G201" t="inlineStr">
        <is>
          <t>BJURHOLM</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6776-2026</t>
        </is>
      </c>
      <c r="B202" t="inlineStr">
        <is>
          <t>avverkningsanmälan</t>
        </is>
      </c>
      <c r="C202" t="inlineStr">
        <is>
          <t>Föryngringsavverkning</t>
        </is>
      </c>
      <c r="D202" s="1" t="n">
        <v>46057</v>
      </c>
      <c r="E202" s="1" t="n">
        <v>46216</v>
      </c>
      <c r="F202" t="inlineStr">
        <is>
          <t>VÄSTERBOTTENS LÄN</t>
        </is>
      </c>
      <c r="G202" t="inlineStr">
        <is>
          <t>BJURHOLM</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57215-2025</t>
        </is>
      </c>
      <c r="B203" t="inlineStr">
        <is>
          <t>avverkningsanmälan</t>
        </is>
      </c>
      <c r="C203" t="inlineStr">
        <is>
          <t>Föryngringsavverkning</t>
        </is>
      </c>
      <c r="D203" s="1" t="n">
        <v>45979</v>
      </c>
      <c r="E203" s="1" t="n">
        <v>46216</v>
      </c>
      <c r="F203" t="inlineStr">
        <is>
          <t>VÄSTERBOTTENS LÄN</t>
        </is>
      </c>
      <c r="G203" t="inlineStr">
        <is>
          <t>BJURHOLM</t>
        </is>
      </c>
      <c r="H203" t="inlineStr">
        <is>
          <t>Sveaskog</t>
        </is>
      </c>
      <c r="I203" t="n">
        <v>5.8</v>
      </c>
      <c r="J203" t="n">
        <v>0</v>
      </c>
      <c r="K203" t="n">
        <v>0</v>
      </c>
      <c r="L203" t="n">
        <v>0</v>
      </c>
      <c r="M203" t="n">
        <v>0</v>
      </c>
      <c r="N203" t="n">
        <v>0</v>
      </c>
      <c r="O203" t="n">
        <v>0</v>
      </c>
      <c r="P203" t="n">
        <v>0</v>
      </c>
      <c r="Q203" t="n">
        <v>0</v>
      </c>
      <c r="R203" t="n">
        <v>0</v>
      </c>
      <c r="S203" t="n">
        <v>0</v>
      </c>
      <c r="T203" t="n">
        <v>0</v>
      </c>
      <c r="U203" s="2" t="inlineStr"/>
    </row>
    <row r="204" ht="15" customHeight="1">
      <c r="A204" t="inlineStr">
        <is>
          <t>A 6540-2026</t>
        </is>
      </c>
      <c r="B204" t="inlineStr">
        <is>
          <t>avverkningsanmälan</t>
        </is>
      </c>
      <c r="C204" t="inlineStr">
        <is>
          <t>Föryngringsavverkning</t>
        </is>
      </c>
      <c r="D204" s="1" t="n">
        <v>46056</v>
      </c>
      <c r="E204" s="1" t="n">
        <v>46216</v>
      </c>
      <c r="F204" t="inlineStr">
        <is>
          <t>VÄSTERBOTTENS LÄN</t>
        </is>
      </c>
      <c r="G204" t="inlineStr">
        <is>
          <t>BJURHOLM</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57263-2025</t>
        </is>
      </c>
      <c r="B205" t="inlineStr">
        <is>
          <t>avverkningsanmälan</t>
        </is>
      </c>
      <c r="C205" t="inlineStr">
        <is>
          <t>Föryngringsavverkning</t>
        </is>
      </c>
      <c r="D205" s="1" t="n">
        <v>45979</v>
      </c>
      <c r="E205" s="1" t="n">
        <v>46216</v>
      </c>
      <c r="F205" t="inlineStr">
        <is>
          <t>VÄSTERBOTTENS LÄN</t>
        </is>
      </c>
      <c r="G205" t="inlineStr">
        <is>
          <t>BJURHOLM</t>
        </is>
      </c>
      <c r="H205" t="inlineStr">
        <is>
          <t>Sveaskog</t>
        </is>
      </c>
      <c r="I205" t="n">
        <v>28.7</v>
      </c>
      <c r="J205" t="n">
        <v>0</v>
      </c>
      <c r="K205" t="n">
        <v>0</v>
      </c>
      <c r="L205" t="n">
        <v>0</v>
      </c>
      <c r="M205" t="n">
        <v>0</v>
      </c>
      <c r="N205" t="n">
        <v>0</v>
      </c>
      <c r="O205" t="n">
        <v>0</v>
      </c>
      <c r="P205" t="n">
        <v>0</v>
      </c>
      <c r="Q205" t="n">
        <v>0</v>
      </c>
      <c r="R205" t="n">
        <v>0</v>
      </c>
      <c r="S205" t="n">
        <v>0</v>
      </c>
      <c r="T205" t="n">
        <v>0</v>
      </c>
      <c r="U205" s="2" t="inlineStr"/>
    </row>
    <row r="206" ht="15" customHeight="1">
      <c r="A206" t="inlineStr">
        <is>
          <t>A 56724-2025</t>
        </is>
      </c>
      <c r="B206" t="inlineStr">
        <is>
          <t>avverkningsanmälan</t>
        </is>
      </c>
      <c r="C206" t="inlineStr">
        <is>
          <t>Föryngringsavverkning</t>
        </is>
      </c>
      <c r="D206" s="1" t="n">
        <v>45978</v>
      </c>
      <c r="E206" s="1" t="n">
        <v>46216</v>
      </c>
      <c r="F206" t="inlineStr">
        <is>
          <t>VÄSTERBOTTENS LÄN</t>
        </is>
      </c>
      <c r="G206" t="inlineStr">
        <is>
          <t>BJURHOLM</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56808-2025</t>
        </is>
      </c>
      <c r="B207" t="inlineStr">
        <is>
          <t>avverkningsanmälan</t>
        </is>
      </c>
      <c r="C207" t="inlineStr">
        <is>
          <t>Föryngringsavverkning</t>
        </is>
      </c>
      <c r="D207" s="1" t="n">
        <v>45978</v>
      </c>
      <c r="E207" s="1" t="n">
        <v>46216</v>
      </c>
      <c r="F207" t="inlineStr">
        <is>
          <t>VÄSTERBOTTENS LÄN</t>
        </is>
      </c>
      <c r="G207" t="inlineStr">
        <is>
          <t>BJURHOLM</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6958-2026</t>
        </is>
      </c>
      <c r="B208" t="inlineStr">
        <is>
          <t>avverkningsanmälan</t>
        </is>
      </c>
      <c r="C208" t="inlineStr">
        <is>
          <t>Föryngringsavverkning</t>
        </is>
      </c>
      <c r="D208" s="1" t="n">
        <v>46057</v>
      </c>
      <c r="E208" s="1" t="n">
        <v>46216</v>
      </c>
      <c r="F208" t="inlineStr">
        <is>
          <t>VÄSTERBOTTENS LÄN</t>
        </is>
      </c>
      <c r="G208" t="inlineStr">
        <is>
          <t>BJURHOLM</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57368-2025</t>
        </is>
      </c>
      <c r="B209" t="inlineStr">
        <is>
          <t>avverkningsanmälan</t>
        </is>
      </c>
      <c r="C209" t="inlineStr">
        <is>
          <t>Föryngringsavverkning</t>
        </is>
      </c>
      <c r="D209" s="1" t="n">
        <v>45980</v>
      </c>
      <c r="E209" s="1" t="n">
        <v>46216</v>
      </c>
      <c r="F209" t="inlineStr">
        <is>
          <t>VÄSTERBOTTENS LÄN</t>
        </is>
      </c>
      <c r="G209" t="inlineStr">
        <is>
          <t>BJURHOLM</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16327-2024</t>
        </is>
      </c>
      <c r="B210" t="inlineStr">
        <is>
          <t>avverkningsanmälan</t>
        </is>
      </c>
      <c r="C210" t="inlineStr">
        <is>
          <t>Föryngringsavverkning</t>
        </is>
      </c>
      <c r="D210" s="1" t="n">
        <v>45407</v>
      </c>
      <c r="E210" s="1" t="n">
        <v>46216</v>
      </c>
      <c r="F210" t="inlineStr">
        <is>
          <t>VÄSTERBOTTENS LÄN</t>
        </is>
      </c>
      <c r="G210" t="inlineStr">
        <is>
          <t>BJURHOLM</t>
        </is>
      </c>
      <c r="H210" t="inlineStr">
        <is>
          <t>Holmen skog AB</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62087-2022</t>
        </is>
      </c>
      <c r="B211" t="inlineStr">
        <is>
          <t>avverkningsanmälan</t>
        </is>
      </c>
      <c r="C211" t="inlineStr">
        <is>
          <t>Föryngringsavverkning</t>
        </is>
      </c>
      <c r="D211" s="1" t="n">
        <v>44919</v>
      </c>
      <c r="E211" s="1" t="n">
        <v>46216</v>
      </c>
      <c r="F211" t="inlineStr">
        <is>
          <t>VÄSTERBOTTENS LÄN</t>
        </is>
      </c>
      <c r="G211" t="inlineStr">
        <is>
          <t>BJURHOLM</t>
        </is>
      </c>
      <c r="I211" t="n">
        <v>6.9</v>
      </c>
      <c r="J211" t="n">
        <v>0</v>
      </c>
      <c r="K211" t="n">
        <v>0</v>
      </c>
      <c r="L211" t="n">
        <v>0</v>
      </c>
      <c r="M211" t="n">
        <v>0</v>
      </c>
      <c r="N211" t="n">
        <v>0</v>
      </c>
      <c r="O211" t="n">
        <v>0</v>
      </c>
      <c r="P211" t="n">
        <v>0</v>
      </c>
      <c r="Q211" t="n">
        <v>0</v>
      </c>
      <c r="R211" t="n">
        <v>0</v>
      </c>
      <c r="S211" t="n">
        <v>0</v>
      </c>
      <c r="T211" t="n">
        <v>0</v>
      </c>
      <c r="U211" s="2" t="inlineStr"/>
    </row>
    <row r="212" ht="15" customHeight="1">
      <c r="A212" t="inlineStr">
        <is>
          <t>A 53261-2024</t>
        </is>
      </c>
      <c r="B212" t="inlineStr">
        <is>
          <t>avverkningsanmälan</t>
        </is>
      </c>
      <c r="C212" t="inlineStr">
        <is>
          <t>Föryngringsavverkning</t>
        </is>
      </c>
      <c r="D212" s="1" t="n">
        <v>45614</v>
      </c>
      <c r="E212" s="1" t="n">
        <v>46216</v>
      </c>
      <c r="F212" t="inlineStr">
        <is>
          <t>VÄSTERBOTTENS LÄN</t>
        </is>
      </c>
      <c r="G212" t="inlineStr">
        <is>
          <t>BJURHOLM</t>
        </is>
      </c>
      <c r="H212" t="inlineStr">
        <is>
          <t>SCA</t>
        </is>
      </c>
      <c r="I212" t="n">
        <v>7.9</v>
      </c>
      <c r="J212" t="n">
        <v>0</v>
      </c>
      <c r="K212" t="n">
        <v>0</v>
      </c>
      <c r="L212" t="n">
        <v>0</v>
      </c>
      <c r="M212" t="n">
        <v>0</v>
      </c>
      <c r="N212" t="n">
        <v>0</v>
      </c>
      <c r="O212" t="n">
        <v>0</v>
      </c>
      <c r="P212" t="n">
        <v>0</v>
      </c>
      <c r="Q212" t="n">
        <v>0</v>
      </c>
      <c r="R212" t="n">
        <v>0</v>
      </c>
      <c r="S212" t="n">
        <v>0</v>
      </c>
      <c r="T212" t="n">
        <v>0</v>
      </c>
      <c r="U212" s="2" t="inlineStr"/>
    </row>
    <row r="213" ht="15" customHeight="1">
      <c r="A213" t="inlineStr">
        <is>
          <t>A 20836-2022</t>
        </is>
      </c>
      <c r="B213" t="inlineStr">
        <is>
          <t>avverkningsanmälan</t>
        </is>
      </c>
      <c r="C213" t="inlineStr">
        <is>
          <t>Föryngringsavverkning</t>
        </is>
      </c>
      <c r="D213" s="1" t="n">
        <v>44701</v>
      </c>
      <c r="E213" s="1" t="n">
        <v>46216</v>
      </c>
      <c r="F213" t="inlineStr">
        <is>
          <t>VÄSTERBOTTENS LÄN</t>
        </is>
      </c>
      <c r="G213" t="inlineStr">
        <is>
          <t>BJURHOLM</t>
        </is>
      </c>
      <c r="I213" t="n">
        <v>2.8</v>
      </c>
      <c r="J213" t="n">
        <v>0</v>
      </c>
      <c r="K213" t="n">
        <v>0</v>
      </c>
      <c r="L213" t="n">
        <v>0</v>
      </c>
      <c r="M213" t="n">
        <v>0</v>
      </c>
      <c r="N213" t="n">
        <v>0</v>
      </c>
      <c r="O213" t="n">
        <v>0</v>
      </c>
      <c r="P213" t="n">
        <v>0</v>
      </c>
      <c r="Q213" t="n">
        <v>0</v>
      </c>
      <c r="R213" t="n">
        <v>0</v>
      </c>
      <c r="S213" t="n">
        <v>0</v>
      </c>
      <c r="T213" t="n">
        <v>0</v>
      </c>
      <c r="U213" s="2" t="inlineStr"/>
    </row>
    <row r="214" ht="15" customHeight="1">
      <c r="A214" t="inlineStr">
        <is>
          <t>A 58005-2025</t>
        </is>
      </c>
      <c r="B214" t="inlineStr">
        <is>
          <t>avverkningsanmälan</t>
        </is>
      </c>
      <c r="C214" t="inlineStr">
        <is>
          <t>Avverkning för annat ändamål</t>
        </is>
      </c>
      <c r="D214" s="1" t="n">
        <v>45982</v>
      </c>
      <c r="E214" s="1" t="n">
        <v>46216</v>
      </c>
      <c r="F214" t="inlineStr">
        <is>
          <t>VÄSTERBOTTENS LÄN</t>
        </is>
      </c>
      <c r="G214" t="inlineStr">
        <is>
          <t>BJURHOLM</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58150-2025</t>
        </is>
      </c>
      <c r="B215" t="inlineStr">
        <is>
          <t>avverkningsanmälan</t>
        </is>
      </c>
      <c r="C215" t="inlineStr">
        <is>
          <t>Föryngringsavverkning</t>
        </is>
      </c>
      <c r="D215" s="1" t="n">
        <v>45982</v>
      </c>
      <c r="E215" s="1" t="n">
        <v>46216</v>
      </c>
      <c r="F215" t="inlineStr">
        <is>
          <t>VÄSTERBOTTENS LÄN</t>
        </is>
      </c>
      <c r="G215" t="inlineStr">
        <is>
          <t>BJURHOLM</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58729-2025</t>
        </is>
      </c>
      <c r="B216" t="inlineStr">
        <is>
          <t>avverkningsanmälan</t>
        </is>
      </c>
      <c r="C216" t="inlineStr">
        <is>
          <t>Föryngringsavverkning</t>
        </is>
      </c>
      <c r="D216" s="1" t="n">
        <v>45986</v>
      </c>
      <c r="E216" s="1" t="n">
        <v>46216</v>
      </c>
      <c r="F216" t="inlineStr">
        <is>
          <t>VÄSTERBOTTENS LÄN</t>
        </is>
      </c>
      <c r="G216" t="inlineStr">
        <is>
          <t>BJURHOLM</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10918-2023</t>
        </is>
      </c>
      <c r="B217" t="inlineStr">
        <is>
          <t>avverkningsanmälan</t>
        </is>
      </c>
      <c r="C217" t="inlineStr">
        <is>
          <t>Föryngringsavverkning</t>
        </is>
      </c>
      <c r="D217" s="1" t="n">
        <v>44991</v>
      </c>
      <c r="E217" s="1" t="n">
        <v>46216</v>
      </c>
      <c r="F217" t="inlineStr">
        <is>
          <t>VÄSTERBOTTENS LÄN</t>
        </is>
      </c>
      <c r="G217" t="inlineStr">
        <is>
          <t>BJURHOLM</t>
        </is>
      </c>
      <c r="I217" t="n">
        <v>5.8</v>
      </c>
      <c r="J217" t="n">
        <v>0</v>
      </c>
      <c r="K217" t="n">
        <v>0</v>
      </c>
      <c r="L217" t="n">
        <v>0</v>
      </c>
      <c r="M217" t="n">
        <v>0</v>
      </c>
      <c r="N217" t="n">
        <v>0</v>
      </c>
      <c r="O217" t="n">
        <v>0</v>
      </c>
      <c r="P217" t="n">
        <v>0</v>
      </c>
      <c r="Q217" t="n">
        <v>0</v>
      </c>
      <c r="R217" t="n">
        <v>0</v>
      </c>
      <c r="S217" t="n">
        <v>0</v>
      </c>
      <c r="T217" t="n">
        <v>0</v>
      </c>
      <c r="U217" s="2" t="inlineStr"/>
    </row>
    <row r="218" ht="15" customHeight="1">
      <c r="A218" t="inlineStr">
        <is>
          <t>A 59386-2025</t>
        </is>
      </c>
      <c r="B218" t="inlineStr">
        <is>
          <t>avverkningsanmälan</t>
        </is>
      </c>
      <c r="C218" t="inlineStr">
        <is>
          <t>Föryngringsavverkning</t>
        </is>
      </c>
      <c r="D218" s="1" t="n">
        <v>45989</v>
      </c>
      <c r="E218" s="1" t="n">
        <v>46216</v>
      </c>
      <c r="F218" t="inlineStr">
        <is>
          <t>VÄSTERBOTTENS LÄN</t>
        </is>
      </c>
      <c r="G218" t="inlineStr">
        <is>
          <t>BJURHOLM</t>
        </is>
      </c>
      <c r="H218" t="inlineStr">
        <is>
          <t>Holmen skog AB</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59278-2025</t>
        </is>
      </c>
      <c r="B219" t="inlineStr">
        <is>
          <t>avverkningsanmälan</t>
        </is>
      </c>
      <c r="C219" t="inlineStr">
        <is>
          <t>Föryngringsavverkning</t>
        </is>
      </c>
      <c r="D219" s="1" t="n">
        <v>45988</v>
      </c>
      <c r="E219" s="1" t="n">
        <v>46216</v>
      </c>
      <c r="F219" t="inlineStr">
        <is>
          <t>VÄSTERBOTTENS LÄN</t>
        </is>
      </c>
      <c r="G219" t="inlineStr">
        <is>
          <t>BJURHOLM</t>
        </is>
      </c>
      <c r="I219" t="n">
        <v>3.8</v>
      </c>
      <c r="J219" t="n">
        <v>0</v>
      </c>
      <c r="K219" t="n">
        <v>0</v>
      </c>
      <c r="L219" t="n">
        <v>0</v>
      </c>
      <c r="M219" t="n">
        <v>0</v>
      </c>
      <c r="N219" t="n">
        <v>0</v>
      </c>
      <c r="O219" t="n">
        <v>0</v>
      </c>
      <c r="P219" t="n">
        <v>0</v>
      </c>
      <c r="Q219" t="n">
        <v>0</v>
      </c>
      <c r="R219" t="n">
        <v>0</v>
      </c>
      <c r="S219" t="n">
        <v>0</v>
      </c>
      <c r="T219" t="n">
        <v>0</v>
      </c>
      <c r="U219" s="2" t="inlineStr"/>
    </row>
    <row r="220" ht="15" customHeight="1">
      <c r="A220" t="inlineStr">
        <is>
          <t>A 59324-2025</t>
        </is>
      </c>
      <c r="B220" t="inlineStr">
        <is>
          <t>avverkningsanmälan</t>
        </is>
      </c>
      <c r="C220" t="inlineStr">
        <is>
          <t>Föryngringsavverkning</t>
        </is>
      </c>
      <c r="D220" s="1" t="n">
        <v>45989</v>
      </c>
      <c r="E220" s="1" t="n">
        <v>46216</v>
      </c>
      <c r="F220" t="inlineStr">
        <is>
          <t>VÄSTERBOTTENS LÄN</t>
        </is>
      </c>
      <c r="G220" t="inlineStr">
        <is>
          <t>BJURHOLM</t>
        </is>
      </c>
      <c r="H220" t="inlineStr">
        <is>
          <t>SCA</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59073-2025</t>
        </is>
      </c>
      <c r="B221" t="inlineStr">
        <is>
          <t>avverkningsanmälan</t>
        </is>
      </c>
      <c r="C221" t="inlineStr">
        <is>
          <t>Föryngringsavverkning</t>
        </is>
      </c>
      <c r="D221" s="1" t="n">
        <v>45988</v>
      </c>
      <c r="E221" s="1" t="n">
        <v>46216</v>
      </c>
      <c r="F221" t="inlineStr">
        <is>
          <t>VÄSTERBOTTENS LÄN</t>
        </is>
      </c>
      <c r="G221" t="inlineStr">
        <is>
          <t>BJURHOLM</t>
        </is>
      </c>
      <c r="H221" t="inlineStr">
        <is>
          <t>Holmen skog AB</t>
        </is>
      </c>
      <c r="I221" t="n">
        <v>11.8</v>
      </c>
      <c r="J221" t="n">
        <v>0</v>
      </c>
      <c r="K221" t="n">
        <v>0</v>
      </c>
      <c r="L221" t="n">
        <v>0</v>
      </c>
      <c r="M221" t="n">
        <v>0</v>
      </c>
      <c r="N221" t="n">
        <v>0</v>
      </c>
      <c r="O221" t="n">
        <v>0</v>
      </c>
      <c r="P221" t="n">
        <v>0</v>
      </c>
      <c r="Q221" t="n">
        <v>0</v>
      </c>
      <c r="R221" t="n">
        <v>0</v>
      </c>
      <c r="S221" t="n">
        <v>0</v>
      </c>
      <c r="T221" t="n">
        <v>0</v>
      </c>
      <c r="U221" s="2" t="inlineStr"/>
    </row>
    <row r="222" ht="15" customHeight="1">
      <c r="A222" t="inlineStr">
        <is>
          <t>A 8527-2026</t>
        </is>
      </c>
      <c r="B222" t="inlineStr">
        <is>
          <t>avverkningsanmälan</t>
        </is>
      </c>
      <c r="C222" t="inlineStr">
        <is>
          <t>Föryngringsavverkning</t>
        </is>
      </c>
      <c r="D222" s="1" t="n">
        <v>46065</v>
      </c>
      <c r="E222" s="1" t="n">
        <v>46216</v>
      </c>
      <c r="F222" t="inlineStr">
        <is>
          <t>VÄSTERBOTTENS LÄN</t>
        </is>
      </c>
      <c r="G222" t="inlineStr">
        <is>
          <t>BJURHOLM</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59279-2025</t>
        </is>
      </c>
      <c r="B223" t="inlineStr">
        <is>
          <t>avverkningsanmälan</t>
        </is>
      </c>
      <c r="C223" t="inlineStr">
        <is>
          <t>Avverkning för annat ändamål</t>
        </is>
      </c>
      <c r="D223" s="1" t="n">
        <v>45988</v>
      </c>
      <c r="E223" s="1" t="n">
        <v>46216</v>
      </c>
      <c r="F223" t="inlineStr">
        <is>
          <t>VÄSTERBOTTENS LÄN</t>
        </is>
      </c>
      <c r="G223" t="inlineStr">
        <is>
          <t>BJURHOLM</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60060-2025</t>
        </is>
      </c>
      <c r="B224" t="inlineStr">
        <is>
          <t>avverkningsanmälan</t>
        </is>
      </c>
      <c r="C224" t="inlineStr">
        <is>
          <t>Föryngringsavverkning</t>
        </is>
      </c>
      <c r="D224" s="1" t="n">
        <v>45993</v>
      </c>
      <c r="E224" s="1" t="n">
        <v>46216</v>
      </c>
      <c r="F224" t="inlineStr">
        <is>
          <t>VÄSTERBOTTENS LÄN</t>
        </is>
      </c>
      <c r="G224" t="inlineStr">
        <is>
          <t>BJURHOLM</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28426-2023</t>
        </is>
      </c>
      <c r="B225" t="inlineStr">
        <is>
          <t>avverkningsanmälan</t>
        </is>
      </c>
      <c r="C225" t="inlineStr">
        <is>
          <t>Föryngringsavverkning</t>
        </is>
      </c>
      <c r="D225" s="1" t="n">
        <v>45102</v>
      </c>
      <c r="E225" s="1" t="n">
        <v>46216</v>
      </c>
      <c r="F225" t="inlineStr">
        <is>
          <t>VÄSTERBOTTENS LÄN</t>
        </is>
      </c>
      <c r="G225" t="inlineStr">
        <is>
          <t>BJURHOLM</t>
        </is>
      </c>
      <c r="H225" t="inlineStr">
        <is>
          <t>Holmen skog AB</t>
        </is>
      </c>
      <c r="I225" t="n">
        <v>3.2</v>
      </c>
      <c r="J225" t="n">
        <v>0</v>
      </c>
      <c r="K225" t="n">
        <v>0</v>
      </c>
      <c r="L225" t="n">
        <v>0</v>
      </c>
      <c r="M225" t="n">
        <v>0</v>
      </c>
      <c r="N225" t="n">
        <v>0</v>
      </c>
      <c r="O225" t="n">
        <v>0</v>
      </c>
      <c r="P225" t="n">
        <v>0</v>
      </c>
      <c r="Q225" t="n">
        <v>0</v>
      </c>
      <c r="R225" t="n">
        <v>0</v>
      </c>
      <c r="S225" t="n">
        <v>0</v>
      </c>
      <c r="T225" t="n">
        <v>0</v>
      </c>
      <c r="U225" s="2" t="inlineStr"/>
    </row>
    <row r="226" ht="15" customHeight="1">
      <c r="A226" t="inlineStr">
        <is>
          <t>A 9264-2026</t>
        </is>
      </c>
      <c r="B226" t="inlineStr">
        <is>
          <t>avverkningsanmälan</t>
        </is>
      </c>
      <c r="C226" t="inlineStr">
        <is>
          <t>Föryngringsavverkning</t>
        </is>
      </c>
      <c r="D226" s="1" t="n">
        <v>46070</v>
      </c>
      <c r="E226" s="1" t="n">
        <v>46216</v>
      </c>
      <c r="F226" t="inlineStr">
        <is>
          <t>VÄSTERBOTTENS LÄN</t>
        </is>
      </c>
      <c r="G226" t="inlineStr">
        <is>
          <t>BJURHOLM</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7723-2024</t>
        </is>
      </c>
      <c r="B227" t="inlineStr">
        <is>
          <t>avverkningsanmälan</t>
        </is>
      </c>
      <c r="C227" t="inlineStr">
        <is>
          <t>Föryngringsavverkning</t>
        </is>
      </c>
      <c r="D227" s="1" t="n">
        <v>45348</v>
      </c>
      <c r="E227" s="1" t="n">
        <v>46216</v>
      </c>
      <c r="F227" t="inlineStr">
        <is>
          <t>VÄSTERBOTTENS LÄN</t>
        </is>
      </c>
      <c r="G227" t="inlineStr">
        <is>
          <t>BJURHOLM</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42557-2023</t>
        </is>
      </c>
      <c r="B228" t="inlineStr">
        <is>
          <t>avverkningsanmälan</t>
        </is>
      </c>
      <c r="C228" t="inlineStr">
        <is>
          <t>Föryngringsavverkning</t>
        </is>
      </c>
      <c r="D228" s="1" t="n">
        <v>45181</v>
      </c>
      <c r="E228" s="1" t="n">
        <v>46216</v>
      </c>
      <c r="F228" t="inlineStr">
        <is>
          <t>VÄSTERBOTTENS LÄN</t>
        </is>
      </c>
      <c r="G228" t="inlineStr">
        <is>
          <t>BJURHOLM</t>
        </is>
      </c>
      <c r="H228" t="inlineStr">
        <is>
          <t>Holmen skog AB</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15581-2023</t>
        </is>
      </c>
      <c r="B229" t="inlineStr">
        <is>
          <t>avverkningsanmälan</t>
        </is>
      </c>
      <c r="C229" t="inlineStr">
        <is>
          <t>Föryngringsavverkning</t>
        </is>
      </c>
      <c r="D229" s="1" t="n">
        <v>45019</v>
      </c>
      <c r="E229" s="1" t="n">
        <v>46216</v>
      </c>
      <c r="F229" t="inlineStr">
        <is>
          <t>VÄSTERBOTTENS LÄN</t>
        </is>
      </c>
      <c r="G229" t="inlineStr">
        <is>
          <t>BJURHOLM</t>
        </is>
      </c>
      <c r="I229" t="n">
        <v>7</v>
      </c>
      <c r="J229" t="n">
        <v>0</v>
      </c>
      <c r="K229" t="n">
        <v>0</v>
      </c>
      <c r="L229" t="n">
        <v>0</v>
      </c>
      <c r="M229" t="n">
        <v>0</v>
      </c>
      <c r="N229" t="n">
        <v>0</v>
      </c>
      <c r="O229" t="n">
        <v>0</v>
      </c>
      <c r="P229" t="n">
        <v>0</v>
      </c>
      <c r="Q229" t="n">
        <v>0</v>
      </c>
      <c r="R229" t="n">
        <v>0</v>
      </c>
      <c r="S229" t="n">
        <v>0</v>
      </c>
      <c r="T229" t="n">
        <v>0</v>
      </c>
      <c r="U229" s="2" t="inlineStr"/>
    </row>
    <row r="230" ht="15" customHeight="1">
      <c r="A230" t="inlineStr">
        <is>
          <t>A 61370-2025</t>
        </is>
      </c>
      <c r="B230" t="inlineStr">
        <is>
          <t>avverkningsanmälan</t>
        </is>
      </c>
      <c r="C230" t="inlineStr">
        <is>
          <t>Föryngringsavverkning</t>
        </is>
      </c>
      <c r="D230" s="1" t="n">
        <v>46001</v>
      </c>
      <c r="E230" s="1" t="n">
        <v>46216</v>
      </c>
      <c r="F230" t="inlineStr">
        <is>
          <t>VÄSTERBOTTENS LÄN</t>
        </is>
      </c>
      <c r="G230" t="inlineStr">
        <is>
          <t>BJURHOLM</t>
        </is>
      </c>
      <c r="I230" t="n">
        <v>4.4</v>
      </c>
      <c r="J230" t="n">
        <v>0</v>
      </c>
      <c r="K230" t="n">
        <v>0</v>
      </c>
      <c r="L230" t="n">
        <v>0</v>
      </c>
      <c r="M230" t="n">
        <v>0</v>
      </c>
      <c r="N230" t="n">
        <v>0</v>
      </c>
      <c r="O230" t="n">
        <v>0</v>
      </c>
      <c r="P230" t="n">
        <v>0</v>
      </c>
      <c r="Q230" t="n">
        <v>0</v>
      </c>
      <c r="R230" t="n">
        <v>0</v>
      </c>
      <c r="S230" t="n">
        <v>0</v>
      </c>
      <c r="T230" t="n">
        <v>0</v>
      </c>
      <c r="U230" s="2" t="inlineStr"/>
    </row>
    <row r="231" ht="15" customHeight="1">
      <c r="A231" t="inlineStr">
        <is>
          <t>A 61360-2025</t>
        </is>
      </c>
      <c r="B231" t="inlineStr">
        <is>
          <t>avverkningsanmälan</t>
        </is>
      </c>
      <c r="C231" t="inlineStr">
        <is>
          <t>Föryngringsavverkning</t>
        </is>
      </c>
      <c r="D231" s="1" t="n">
        <v>46001</v>
      </c>
      <c r="E231" s="1" t="n">
        <v>46216</v>
      </c>
      <c r="F231" t="inlineStr">
        <is>
          <t>VÄSTERBOTTENS LÄN</t>
        </is>
      </c>
      <c r="G231" t="inlineStr">
        <is>
          <t>BJURHOLM</t>
        </is>
      </c>
      <c r="I231" t="n">
        <v>1.5</v>
      </c>
      <c r="J231" t="n">
        <v>0</v>
      </c>
      <c r="K231" t="n">
        <v>0</v>
      </c>
      <c r="L231" t="n">
        <v>0</v>
      </c>
      <c r="M231" t="n">
        <v>0</v>
      </c>
      <c r="N231" t="n">
        <v>0</v>
      </c>
      <c r="O231" t="n">
        <v>0</v>
      </c>
      <c r="P231" t="n">
        <v>0</v>
      </c>
      <c r="Q231" t="n">
        <v>0</v>
      </c>
      <c r="R231" t="n">
        <v>0</v>
      </c>
      <c r="S231" t="n">
        <v>0</v>
      </c>
      <c r="T231" t="n">
        <v>0</v>
      </c>
      <c r="U231" s="2" t="inlineStr"/>
    </row>
    <row r="232" ht="15" customHeight="1">
      <c r="A232" t="inlineStr">
        <is>
          <t>A 61385-2025</t>
        </is>
      </c>
      <c r="B232" t="inlineStr">
        <is>
          <t>avverkningsanmälan</t>
        </is>
      </c>
      <c r="C232" t="inlineStr">
        <is>
          <t>Föryngringsavverkning</t>
        </is>
      </c>
      <c r="D232" s="1" t="n">
        <v>46001</v>
      </c>
      <c r="E232" s="1" t="n">
        <v>46216</v>
      </c>
      <c r="F232" t="inlineStr">
        <is>
          <t>VÄSTERBOTTENS LÄN</t>
        </is>
      </c>
      <c r="G232" t="inlineStr">
        <is>
          <t>BJURHOLM</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61518-2025</t>
        </is>
      </c>
      <c r="B233" t="inlineStr">
        <is>
          <t>avverkningsanmälan</t>
        </is>
      </c>
      <c r="C233" t="inlineStr">
        <is>
          <t>Föryngringsavverkning</t>
        </is>
      </c>
      <c r="D233" s="1" t="n">
        <v>46001</v>
      </c>
      <c r="E233" s="1" t="n">
        <v>46216</v>
      </c>
      <c r="F233" t="inlineStr">
        <is>
          <t>VÄSTERBOTTENS LÄN</t>
        </is>
      </c>
      <c r="G233" t="inlineStr">
        <is>
          <t>BJURHOLM</t>
        </is>
      </c>
      <c r="H233" t="inlineStr">
        <is>
          <t>SCA</t>
        </is>
      </c>
      <c r="I233" t="n">
        <v>23.4</v>
      </c>
      <c r="J233" t="n">
        <v>0</v>
      </c>
      <c r="K233" t="n">
        <v>0</v>
      </c>
      <c r="L233" t="n">
        <v>0</v>
      </c>
      <c r="M233" t="n">
        <v>0</v>
      </c>
      <c r="N233" t="n">
        <v>0</v>
      </c>
      <c r="O233" t="n">
        <v>0</v>
      </c>
      <c r="P233" t="n">
        <v>0</v>
      </c>
      <c r="Q233" t="n">
        <v>0</v>
      </c>
      <c r="R233" t="n">
        <v>0</v>
      </c>
      <c r="S233" t="n">
        <v>0</v>
      </c>
      <c r="T233" t="n">
        <v>0</v>
      </c>
      <c r="U233" s="2" t="inlineStr"/>
    </row>
    <row r="234" ht="15" customHeight="1">
      <c r="A234" t="inlineStr">
        <is>
          <t>A 30182-2023</t>
        </is>
      </c>
      <c r="B234" t="inlineStr">
        <is>
          <t>avverkningsanmälan</t>
        </is>
      </c>
      <c r="C234" t="inlineStr">
        <is>
          <t>Föryngringsavverkning</t>
        </is>
      </c>
      <c r="D234" s="1" t="n">
        <v>45099</v>
      </c>
      <c r="E234" s="1" t="n">
        <v>46216</v>
      </c>
      <c r="F234" t="inlineStr">
        <is>
          <t>VÄSTERBOTTENS LÄN</t>
        </is>
      </c>
      <c r="G234" t="inlineStr">
        <is>
          <t>BJURHOLM</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61743-2025</t>
        </is>
      </c>
      <c r="B235" t="inlineStr">
        <is>
          <t>avverkningsanmälan</t>
        </is>
      </c>
      <c r="C235" t="inlineStr">
        <is>
          <t>Föryngringsavverkning</t>
        </is>
      </c>
      <c r="D235" s="1" t="n">
        <v>46002</v>
      </c>
      <c r="E235" s="1" t="n">
        <v>46216</v>
      </c>
      <c r="F235" t="inlineStr">
        <is>
          <t>VÄSTERBOTTENS LÄN</t>
        </is>
      </c>
      <c r="G235" t="inlineStr">
        <is>
          <t>BJURHOLM</t>
        </is>
      </c>
      <c r="I235" t="n">
        <v>5.5</v>
      </c>
      <c r="J235" t="n">
        <v>0</v>
      </c>
      <c r="K235" t="n">
        <v>0</v>
      </c>
      <c r="L235" t="n">
        <v>0</v>
      </c>
      <c r="M235" t="n">
        <v>0</v>
      </c>
      <c r="N235" t="n">
        <v>0</v>
      </c>
      <c r="O235" t="n">
        <v>0</v>
      </c>
      <c r="P235" t="n">
        <v>0</v>
      </c>
      <c r="Q235" t="n">
        <v>0</v>
      </c>
      <c r="R235" t="n">
        <v>0</v>
      </c>
      <c r="S235" t="n">
        <v>0</v>
      </c>
      <c r="T235" t="n">
        <v>0</v>
      </c>
      <c r="U235" s="2" t="inlineStr"/>
    </row>
    <row r="236" ht="15" customHeight="1">
      <c r="A236" t="inlineStr">
        <is>
          <t>A 12197-2023</t>
        </is>
      </c>
      <c r="B236" t="inlineStr">
        <is>
          <t>avverkningsanmälan</t>
        </is>
      </c>
      <c r="C236" t="inlineStr">
        <is>
          <t>Avverkning för annat ändamål</t>
        </is>
      </c>
      <c r="D236" s="1" t="n">
        <v>44998</v>
      </c>
      <c r="E236" s="1" t="n">
        <v>46216</v>
      </c>
      <c r="F236" t="inlineStr">
        <is>
          <t>VÄSTERBOTTENS LÄN</t>
        </is>
      </c>
      <c r="G236" t="inlineStr">
        <is>
          <t>BJURHOLM</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23974-2022</t>
        </is>
      </c>
      <c r="B237" t="inlineStr">
        <is>
          <t>avverkningsanmälan</t>
        </is>
      </c>
      <c r="C237" t="inlineStr">
        <is>
          <t>Föryngringsavverkning</t>
        </is>
      </c>
      <c r="D237" s="1" t="n">
        <v>44722</v>
      </c>
      <c r="E237" s="1" t="n">
        <v>46216</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62591-2025</t>
        </is>
      </c>
      <c r="B238" t="inlineStr">
        <is>
          <t>avverkningsanmälan</t>
        </is>
      </c>
      <c r="C238" t="inlineStr">
        <is>
          <t>Föryngringsavverkning</t>
        </is>
      </c>
      <c r="D238" s="1" t="n">
        <v>46007</v>
      </c>
      <c r="E238" s="1" t="n">
        <v>46216</v>
      </c>
      <c r="F238" t="inlineStr">
        <is>
          <t>VÄSTERBOTTENS LÄN</t>
        </is>
      </c>
      <c r="G238" t="inlineStr">
        <is>
          <t>BJURHOLM</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62700-2025</t>
        </is>
      </c>
      <c r="B239" t="inlineStr">
        <is>
          <t>avverkningsanmälan</t>
        </is>
      </c>
      <c r="C239" t="inlineStr">
        <is>
          <t>Föryngringsavverkning</t>
        </is>
      </c>
      <c r="D239" s="1" t="n">
        <v>46008</v>
      </c>
      <c r="E239" s="1" t="n">
        <v>46216</v>
      </c>
      <c r="F239" t="inlineStr">
        <is>
          <t>VÄSTERBOTTENS LÄN</t>
        </is>
      </c>
      <c r="G239" t="inlineStr">
        <is>
          <t>BJURHOLM</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62701-2025</t>
        </is>
      </c>
      <c r="B240" t="inlineStr">
        <is>
          <t>avverkningsanmälan</t>
        </is>
      </c>
      <c r="C240" t="inlineStr">
        <is>
          <t>Föryngringsavverkning</t>
        </is>
      </c>
      <c r="D240" s="1" t="n">
        <v>46008</v>
      </c>
      <c r="E240" s="1" t="n">
        <v>46216</v>
      </c>
      <c r="F240" t="inlineStr">
        <is>
          <t>VÄSTERBOTTENS LÄN</t>
        </is>
      </c>
      <c r="G240" t="inlineStr">
        <is>
          <t>BJURHOLM</t>
        </is>
      </c>
      <c r="I240" t="n">
        <v>3.7</v>
      </c>
      <c r="J240" t="n">
        <v>0</v>
      </c>
      <c r="K240" t="n">
        <v>0</v>
      </c>
      <c r="L240" t="n">
        <v>0</v>
      </c>
      <c r="M240" t="n">
        <v>0</v>
      </c>
      <c r="N240" t="n">
        <v>0</v>
      </c>
      <c r="O240" t="n">
        <v>0</v>
      </c>
      <c r="P240" t="n">
        <v>0</v>
      </c>
      <c r="Q240" t="n">
        <v>0</v>
      </c>
      <c r="R240" t="n">
        <v>0</v>
      </c>
      <c r="S240" t="n">
        <v>0</v>
      </c>
      <c r="T240" t="n">
        <v>0</v>
      </c>
      <c r="U240" s="2" t="inlineStr"/>
    </row>
    <row r="241" ht="15" customHeight="1">
      <c r="A241" t="inlineStr">
        <is>
          <t>A 23183-2024</t>
        </is>
      </c>
      <c r="B241" t="inlineStr">
        <is>
          <t>avverkningsanmälan</t>
        </is>
      </c>
      <c r="C241" t="inlineStr">
        <is>
          <t>Föryngringsavverkning</t>
        </is>
      </c>
      <c r="D241" s="1" t="n">
        <v>45450</v>
      </c>
      <c r="E241" s="1" t="n">
        <v>46216</v>
      </c>
      <c r="F241" t="inlineStr">
        <is>
          <t>VÄSTERBOTTENS LÄN</t>
        </is>
      </c>
      <c r="G241" t="inlineStr">
        <is>
          <t>BJURHOLM</t>
        </is>
      </c>
      <c r="H241" t="inlineStr">
        <is>
          <t>SCA</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23206-2024</t>
        </is>
      </c>
      <c r="B242" t="inlineStr">
        <is>
          <t>avverkningsanmälan</t>
        </is>
      </c>
      <c r="C242" t="inlineStr">
        <is>
          <t>Föryngringsavverkning</t>
        </is>
      </c>
      <c r="D242" s="1" t="n">
        <v>45451</v>
      </c>
      <c r="E242" s="1" t="n">
        <v>46216</v>
      </c>
      <c r="F242" t="inlineStr">
        <is>
          <t>VÄSTERBOTTENS LÄN</t>
        </is>
      </c>
      <c r="G242" t="inlineStr">
        <is>
          <t>BJURHOLM</t>
        </is>
      </c>
      <c r="H242" t="inlineStr">
        <is>
          <t>SCA</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62712-2025</t>
        </is>
      </c>
      <c r="B243" t="inlineStr">
        <is>
          <t>avverkningsanmälan</t>
        </is>
      </c>
      <c r="C243" t="inlineStr">
        <is>
          <t>Föryngringsavverkning</t>
        </is>
      </c>
      <c r="D243" s="1" t="n">
        <v>46008</v>
      </c>
      <c r="E243" s="1" t="n">
        <v>46216</v>
      </c>
      <c r="F243" t="inlineStr">
        <is>
          <t>VÄSTERBOTTENS LÄN</t>
        </is>
      </c>
      <c r="G243" t="inlineStr">
        <is>
          <t>BJURHOLM</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32989-2022</t>
        </is>
      </c>
      <c r="B244" t="inlineStr">
        <is>
          <t>avverkningsanmälan</t>
        </is>
      </c>
      <c r="C244" t="inlineStr">
        <is>
          <t>Föryngringsavverkning</t>
        </is>
      </c>
      <c r="D244" s="1" t="n">
        <v>44784</v>
      </c>
      <c r="E244" s="1" t="n">
        <v>46216</v>
      </c>
      <c r="F244" t="inlineStr">
        <is>
          <t>VÄSTERBOTTENS LÄN</t>
        </is>
      </c>
      <c r="G244" t="inlineStr">
        <is>
          <t>BJURHOLM</t>
        </is>
      </c>
      <c r="H244" t="inlineStr">
        <is>
          <t>SCA</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11687-2026</t>
        </is>
      </c>
      <c r="B245" t="inlineStr">
        <is>
          <t>avverkningsanmälan</t>
        </is>
      </c>
      <c r="C245" t="inlineStr">
        <is>
          <t>Föryngringsavverkning</t>
        </is>
      </c>
      <c r="D245" s="1" t="n">
        <v>46084</v>
      </c>
      <c r="E245" s="1" t="n">
        <v>46216</v>
      </c>
      <c r="F245" t="inlineStr">
        <is>
          <t>VÄSTERBOTTENS LÄN</t>
        </is>
      </c>
      <c r="G245" t="inlineStr">
        <is>
          <t>BJURHOLM</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10527-2025</t>
        </is>
      </c>
      <c r="B246" t="inlineStr">
        <is>
          <t>avverkningsanmälan</t>
        </is>
      </c>
      <c r="C246" t="inlineStr">
        <is>
          <t>Föryngringsavverkning</t>
        </is>
      </c>
      <c r="D246" s="1" t="n">
        <v>45721</v>
      </c>
      <c r="E246" s="1" t="n">
        <v>46216</v>
      </c>
      <c r="F246" t="inlineStr">
        <is>
          <t>VÄSTERBOTTENS LÄN</t>
        </is>
      </c>
      <c r="G246" t="inlineStr">
        <is>
          <t>BJURHOLM</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63169-2025</t>
        </is>
      </c>
      <c r="B247" t="inlineStr">
        <is>
          <t>avverkningsanmälan</t>
        </is>
      </c>
      <c r="C247" t="inlineStr">
        <is>
          <t>Föryngringsavverkning</t>
        </is>
      </c>
      <c r="D247" s="1" t="n">
        <v>46010</v>
      </c>
      <c r="E247" s="1" t="n">
        <v>46216</v>
      </c>
      <c r="F247" t="inlineStr">
        <is>
          <t>VÄSTERBOTTENS LÄN</t>
        </is>
      </c>
      <c r="G247" t="inlineStr">
        <is>
          <t>BJURHOLM</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63170-2025</t>
        </is>
      </c>
      <c r="B248" t="inlineStr">
        <is>
          <t>avverkningsanmälan</t>
        </is>
      </c>
      <c r="C248" t="inlineStr">
        <is>
          <t>Föryngringsavverkning</t>
        </is>
      </c>
      <c r="D248" s="1" t="n">
        <v>46010</v>
      </c>
      <c r="E248" s="1" t="n">
        <v>46216</v>
      </c>
      <c r="F248" t="inlineStr">
        <is>
          <t>VÄSTERBOTTENS LÄN</t>
        </is>
      </c>
      <c r="G248" t="inlineStr">
        <is>
          <t>BJURHOLM</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63553-2025</t>
        </is>
      </c>
      <c r="B249" t="inlineStr">
        <is>
          <t>avverkningsanmälan</t>
        </is>
      </c>
      <c r="C249" t="inlineStr">
        <is>
          <t>Föryngringsavverkning</t>
        </is>
      </c>
      <c r="D249" s="1" t="n">
        <v>46013</v>
      </c>
      <c r="E249" s="1" t="n">
        <v>46216</v>
      </c>
      <c r="F249" t="inlineStr">
        <is>
          <t>VÄSTERBOTTENS LÄN</t>
        </is>
      </c>
      <c r="G249" t="inlineStr">
        <is>
          <t>BJURHOLM</t>
        </is>
      </c>
      <c r="H249" t="inlineStr">
        <is>
          <t>Holmen skog AB</t>
        </is>
      </c>
      <c r="I249" t="n">
        <v>7.5</v>
      </c>
      <c r="J249" t="n">
        <v>0</v>
      </c>
      <c r="K249" t="n">
        <v>0</v>
      </c>
      <c r="L249" t="n">
        <v>0</v>
      </c>
      <c r="M249" t="n">
        <v>0</v>
      </c>
      <c r="N249" t="n">
        <v>0</v>
      </c>
      <c r="O249" t="n">
        <v>0</v>
      </c>
      <c r="P249" t="n">
        <v>0</v>
      </c>
      <c r="Q249" t="n">
        <v>0</v>
      </c>
      <c r="R249" t="n">
        <v>0</v>
      </c>
      <c r="S249" t="n">
        <v>0</v>
      </c>
      <c r="T249" t="n">
        <v>0</v>
      </c>
      <c r="U249" s="2" t="inlineStr"/>
    </row>
    <row r="250" ht="15" customHeight="1">
      <c r="A250" t="inlineStr">
        <is>
          <t>A 52550-2024</t>
        </is>
      </c>
      <c r="B250" t="inlineStr">
        <is>
          <t>avverkningsanmälan</t>
        </is>
      </c>
      <c r="C250" t="inlineStr">
        <is>
          <t>Föryngringsavverkning</t>
        </is>
      </c>
      <c r="D250" s="1" t="n">
        <v>45609</v>
      </c>
      <c r="E250" s="1" t="n">
        <v>46216</v>
      </c>
      <c r="F250" t="inlineStr">
        <is>
          <t>VÄSTERBOTTENS LÄN</t>
        </is>
      </c>
      <c r="G250" t="inlineStr">
        <is>
          <t>BJURHOLM</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33157-2022</t>
        </is>
      </c>
      <c r="B251" t="inlineStr">
        <is>
          <t>avverkningsanmälan</t>
        </is>
      </c>
      <c r="C251" t="inlineStr">
        <is>
          <t>Föryngringsavverkning</t>
        </is>
      </c>
      <c r="D251" s="1" t="n">
        <v>44785</v>
      </c>
      <c r="E251" s="1" t="n">
        <v>46216</v>
      </c>
      <c r="F251" t="inlineStr">
        <is>
          <t>VÄSTERBOTTENS LÄN</t>
        </is>
      </c>
      <c r="G251" t="inlineStr">
        <is>
          <t>BJURHOLM</t>
        </is>
      </c>
      <c r="H251" t="inlineStr">
        <is>
          <t>Holmen skog AB</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41592-2023</t>
        </is>
      </c>
      <c r="B252" t="inlineStr">
        <is>
          <t>avverkningsanmälan</t>
        </is>
      </c>
      <c r="C252" t="inlineStr">
        <is>
          <t>Föryngringsavverkning</t>
        </is>
      </c>
      <c r="D252" s="1" t="n">
        <v>45175</v>
      </c>
      <c r="E252" s="1" t="n">
        <v>46216</v>
      </c>
      <c r="F252" t="inlineStr">
        <is>
          <t>VÄSTERBOTTENS LÄN</t>
        </is>
      </c>
      <c r="G252" t="inlineStr">
        <is>
          <t>BJURHOLM</t>
        </is>
      </c>
      <c r="H252" t="inlineStr">
        <is>
          <t>Holmen skog AB</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56693-2024</t>
        </is>
      </c>
      <c r="B253" t="inlineStr">
        <is>
          <t>avverkningsanmälan</t>
        </is>
      </c>
      <c r="C253" t="inlineStr">
        <is>
          <t>Föryngringsavverkning</t>
        </is>
      </c>
      <c r="D253" s="1" t="n">
        <v>45627</v>
      </c>
      <c r="E253" s="1" t="n">
        <v>46216</v>
      </c>
      <c r="F253" t="inlineStr">
        <is>
          <t>VÄSTERBOTTENS LÄN</t>
        </is>
      </c>
      <c r="G253" t="inlineStr">
        <is>
          <t>BJURHOLM</t>
        </is>
      </c>
      <c r="I253" t="n">
        <v>6.8</v>
      </c>
      <c r="J253" t="n">
        <v>0</v>
      </c>
      <c r="K253" t="n">
        <v>0</v>
      </c>
      <c r="L253" t="n">
        <v>0</v>
      </c>
      <c r="M253" t="n">
        <v>0</v>
      </c>
      <c r="N253" t="n">
        <v>0</v>
      </c>
      <c r="O253" t="n">
        <v>0</v>
      </c>
      <c r="P253" t="n">
        <v>0</v>
      </c>
      <c r="Q253" t="n">
        <v>0</v>
      </c>
      <c r="R253" t="n">
        <v>0</v>
      </c>
      <c r="S253" t="n">
        <v>0</v>
      </c>
      <c r="T253" t="n">
        <v>0</v>
      </c>
      <c r="U253" s="2" t="inlineStr"/>
    </row>
    <row r="254" ht="15" customHeight="1">
      <c r="A254" t="inlineStr">
        <is>
          <t>A 13842-2025</t>
        </is>
      </c>
      <c r="B254" t="inlineStr">
        <is>
          <t>avverkningsanmälan</t>
        </is>
      </c>
      <c r="C254" t="inlineStr">
        <is>
          <t>Föryngringsavverkning</t>
        </is>
      </c>
      <c r="D254" s="1" t="n">
        <v>45737</v>
      </c>
      <c r="E254" s="1" t="n">
        <v>46216</v>
      </c>
      <c r="F254" t="inlineStr">
        <is>
          <t>VÄSTERBOTTENS LÄN</t>
        </is>
      </c>
      <c r="G254" t="inlineStr">
        <is>
          <t>BJURHOLM</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55512-2023</t>
        </is>
      </c>
      <c r="B255" t="inlineStr">
        <is>
          <t>avverkningsanmälan</t>
        </is>
      </c>
      <c r="C255" t="inlineStr">
        <is>
          <t>Föryngringsavverkning</t>
        </is>
      </c>
      <c r="D255" s="1" t="n">
        <v>45232</v>
      </c>
      <c r="E255" s="1" t="n">
        <v>46216</v>
      </c>
      <c r="F255" t="inlineStr">
        <is>
          <t>VÄSTERBOTTENS LÄN</t>
        </is>
      </c>
      <c r="G255" t="inlineStr">
        <is>
          <t>BJURHOLM</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29867-2022</t>
        </is>
      </c>
      <c r="B256" t="inlineStr">
        <is>
          <t>avverkningsanmälan</t>
        </is>
      </c>
      <c r="C256" t="inlineStr">
        <is>
          <t>Avverkning för annat ändamål</t>
        </is>
      </c>
      <c r="D256" s="1" t="n">
        <v>44756</v>
      </c>
      <c r="E256" s="1" t="n">
        <v>46216</v>
      </c>
      <c r="F256" t="inlineStr">
        <is>
          <t>VÄSTERBOTTENS LÄN</t>
        </is>
      </c>
      <c r="G256" t="inlineStr">
        <is>
          <t>BJURHOLM</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43311-2024</t>
        </is>
      </c>
      <c r="B257" t="inlineStr">
        <is>
          <t>avverkningsanmälan</t>
        </is>
      </c>
      <c r="C257" t="inlineStr">
        <is>
          <t>Föryngringsavverkning</t>
        </is>
      </c>
      <c r="D257" s="1" t="n">
        <v>45568</v>
      </c>
      <c r="E257" s="1" t="n">
        <v>46216</v>
      </c>
      <c r="F257" t="inlineStr">
        <is>
          <t>VÄSTERBOTTENS LÄN</t>
        </is>
      </c>
      <c r="G257" t="inlineStr">
        <is>
          <t>BJURHOLM</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39101-2024</t>
        </is>
      </c>
      <c r="B258" t="inlineStr">
        <is>
          <t>avverkningsanmälan</t>
        </is>
      </c>
      <c r="C258" t="inlineStr">
        <is>
          <t>Föryngringsavverkning</t>
        </is>
      </c>
      <c r="D258" s="1" t="n">
        <v>45548</v>
      </c>
      <c r="E258" s="1" t="n">
        <v>46216</v>
      </c>
      <c r="F258" t="inlineStr">
        <is>
          <t>VÄSTERBOTTENS LÄN</t>
        </is>
      </c>
      <c r="G258" t="inlineStr">
        <is>
          <t>BJURHOLM</t>
        </is>
      </c>
      <c r="I258" t="n">
        <v>5.1</v>
      </c>
      <c r="J258" t="n">
        <v>0</v>
      </c>
      <c r="K258" t="n">
        <v>0</v>
      </c>
      <c r="L258" t="n">
        <v>0</v>
      </c>
      <c r="M258" t="n">
        <v>0</v>
      </c>
      <c r="N258" t="n">
        <v>0</v>
      </c>
      <c r="O258" t="n">
        <v>0</v>
      </c>
      <c r="P258" t="n">
        <v>0</v>
      </c>
      <c r="Q258" t="n">
        <v>0</v>
      </c>
      <c r="R258" t="n">
        <v>0</v>
      </c>
      <c r="S258" t="n">
        <v>0</v>
      </c>
      <c r="T258" t="n">
        <v>0</v>
      </c>
      <c r="U258" s="2" t="inlineStr"/>
    </row>
    <row r="259" ht="15" customHeight="1">
      <c r="A259" t="inlineStr">
        <is>
          <t>A 36448-2024</t>
        </is>
      </c>
      <c r="B259" t="inlineStr">
        <is>
          <t>avverkningsanmälan</t>
        </is>
      </c>
      <c r="C259" t="inlineStr">
        <is>
          <t>Avverkning för annat ändamål</t>
        </is>
      </c>
      <c r="D259" s="1" t="n">
        <v>45537</v>
      </c>
      <c r="E259" s="1" t="n">
        <v>46216</v>
      </c>
      <c r="F259" t="inlineStr">
        <is>
          <t>VÄSTERBOTTENS LÄN</t>
        </is>
      </c>
      <c r="G259" t="inlineStr">
        <is>
          <t>BJURHOLM</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44187-2023</t>
        </is>
      </c>
      <c r="B260" t="inlineStr">
        <is>
          <t>avverkningsanmälan</t>
        </is>
      </c>
      <c r="C260" t="inlineStr">
        <is>
          <t>Föryngringsavverkning</t>
        </is>
      </c>
      <c r="D260" s="1" t="n">
        <v>45183</v>
      </c>
      <c r="E260" s="1" t="n">
        <v>46216</v>
      </c>
      <c r="F260" t="inlineStr">
        <is>
          <t>VÄSTERBOTTENS LÄN</t>
        </is>
      </c>
      <c r="G260" t="inlineStr">
        <is>
          <t>BJURHOLM</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60692-2022</t>
        </is>
      </c>
      <c r="B261" t="inlineStr">
        <is>
          <t>avverkningsanmälan</t>
        </is>
      </c>
      <c r="C261" t="inlineStr">
        <is>
          <t>Föryngringsavverkning</t>
        </is>
      </c>
      <c r="D261" s="1" t="n">
        <v>44911</v>
      </c>
      <c r="E261" s="1" t="n">
        <v>46216</v>
      </c>
      <c r="F261" t="inlineStr">
        <is>
          <t>VÄSTERBOTTENS LÄN</t>
        </is>
      </c>
      <c r="G261" t="inlineStr">
        <is>
          <t>BJURHOLM</t>
        </is>
      </c>
      <c r="H261" t="inlineStr">
        <is>
          <t>SCA</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1875-2024</t>
        </is>
      </c>
      <c r="B262" t="inlineStr">
        <is>
          <t>avverkningsanmälan</t>
        </is>
      </c>
      <c r="C262" t="inlineStr">
        <is>
          <t>Föryngringsavverkning</t>
        </is>
      </c>
      <c r="D262" s="1" t="n">
        <v>45307</v>
      </c>
      <c r="E262" s="1" t="n">
        <v>46216</v>
      </c>
      <c r="F262" t="inlineStr">
        <is>
          <t>VÄSTERBOTTENS LÄN</t>
        </is>
      </c>
      <c r="G262" t="inlineStr">
        <is>
          <t>BJURHOLM</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82-2025</t>
        </is>
      </c>
      <c r="B263" t="inlineStr">
        <is>
          <t>avverkningsanmälan</t>
        </is>
      </c>
      <c r="C263" t="inlineStr">
        <is>
          <t>Föryngringsavverkning</t>
        </is>
      </c>
      <c r="D263" s="1" t="n">
        <v>45659</v>
      </c>
      <c r="E263" s="1" t="n">
        <v>46216</v>
      </c>
      <c r="F263" t="inlineStr">
        <is>
          <t>VÄSTERBOTTENS LÄN</t>
        </is>
      </c>
      <c r="G263" t="inlineStr">
        <is>
          <t>BJURHOLM</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57883-2022</t>
        </is>
      </c>
      <c r="B264" t="inlineStr">
        <is>
          <t>avverkningsanmälan</t>
        </is>
      </c>
      <c r="C264" t="inlineStr">
        <is>
          <t>Föryngringsavverkning</t>
        </is>
      </c>
      <c r="D264" s="1" t="n">
        <v>44899</v>
      </c>
      <c r="E264" s="1" t="n">
        <v>46216</v>
      </c>
      <c r="F264" t="inlineStr">
        <is>
          <t>VÄSTERBOTTENS LÄN</t>
        </is>
      </c>
      <c r="G264" t="inlineStr">
        <is>
          <t>BJURHOLM</t>
        </is>
      </c>
      <c r="H264" t="inlineStr">
        <is>
          <t>SCA</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55459-2024</t>
        </is>
      </c>
      <c r="B265" t="inlineStr">
        <is>
          <t>avverkningsanmälan</t>
        </is>
      </c>
      <c r="C265" t="inlineStr">
        <is>
          <t>Föryngringsavverkning</t>
        </is>
      </c>
      <c r="D265" s="1" t="n">
        <v>45622</v>
      </c>
      <c r="E265" s="1" t="n">
        <v>46216</v>
      </c>
      <c r="F265" t="inlineStr">
        <is>
          <t>VÄSTERBOTTENS LÄN</t>
        </is>
      </c>
      <c r="G265" t="inlineStr">
        <is>
          <t>BJURHOLM</t>
        </is>
      </c>
      <c r="H265" t="inlineStr">
        <is>
          <t>SCA</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17060-2025</t>
        </is>
      </c>
      <c r="B266" t="inlineStr">
        <is>
          <t>avverkningsanmälan</t>
        </is>
      </c>
      <c r="C266" t="inlineStr">
        <is>
          <t>Föryngringsavverkning</t>
        </is>
      </c>
      <c r="D266" s="1" t="n">
        <v>45755</v>
      </c>
      <c r="E266" s="1" t="n">
        <v>46216</v>
      </c>
      <c r="F266" t="inlineStr">
        <is>
          <t>VÄSTERBOTTENS LÄN</t>
        </is>
      </c>
      <c r="G266" t="inlineStr">
        <is>
          <t>BJURHOLM</t>
        </is>
      </c>
      <c r="I266" t="n">
        <v>7.7</v>
      </c>
      <c r="J266" t="n">
        <v>0</v>
      </c>
      <c r="K266" t="n">
        <v>0</v>
      </c>
      <c r="L266" t="n">
        <v>0</v>
      </c>
      <c r="M266" t="n">
        <v>0</v>
      </c>
      <c r="N266" t="n">
        <v>0</v>
      </c>
      <c r="O266" t="n">
        <v>0</v>
      </c>
      <c r="P266" t="n">
        <v>0</v>
      </c>
      <c r="Q266" t="n">
        <v>0</v>
      </c>
      <c r="R266" t="n">
        <v>0</v>
      </c>
      <c r="S266" t="n">
        <v>0</v>
      </c>
      <c r="T266" t="n">
        <v>0</v>
      </c>
      <c r="U266" s="2" t="inlineStr"/>
    </row>
    <row r="267" ht="15" customHeight="1">
      <c r="A267" t="inlineStr">
        <is>
          <t>A 60659-2023</t>
        </is>
      </c>
      <c r="B267" t="inlineStr">
        <is>
          <t>avverkningsanmälan</t>
        </is>
      </c>
      <c r="C267" t="inlineStr">
        <is>
          <t>Föryngringsavverkning</t>
        </is>
      </c>
      <c r="D267" s="1" t="n">
        <v>45259</v>
      </c>
      <c r="E267" s="1" t="n">
        <v>46216</v>
      </c>
      <c r="F267" t="inlineStr">
        <is>
          <t>VÄSTERBOTTENS LÄN</t>
        </is>
      </c>
      <c r="G267" t="inlineStr">
        <is>
          <t>BJURHOLM</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57799-2023</t>
        </is>
      </c>
      <c r="B268" t="inlineStr">
        <is>
          <t>avverkningsanmälan</t>
        </is>
      </c>
      <c r="C268" t="inlineStr">
        <is>
          <t>Föryngringsavverkning</t>
        </is>
      </c>
      <c r="D268" s="1" t="n">
        <v>45246</v>
      </c>
      <c r="E268" s="1" t="n">
        <v>46216</v>
      </c>
      <c r="F268" t="inlineStr">
        <is>
          <t>VÄSTERBOTTENS LÄN</t>
        </is>
      </c>
      <c r="G268" t="inlineStr">
        <is>
          <t>BJURHOLM</t>
        </is>
      </c>
      <c r="H268" t="inlineStr">
        <is>
          <t>SCA</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64503-2023</t>
        </is>
      </c>
      <c r="B269" t="inlineStr">
        <is>
          <t>avverkningsanmälan</t>
        </is>
      </c>
      <c r="C269" t="inlineStr">
        <is>
          <t>Avverkning för att bevara och utveckla /försöksver</t>
        </is>
      </c>
      <c r="D269" s="1" t="n">
        <v>45280</v>
      </c>
      <c r="E269" s="1" t="n">
        <v>46216</v>
      </c>
      <c r="F269" t="inlineStr">
        <is>
          <t>VÄSTERBOTTENS LÄN</t>
        </is>
      </c>
      <c r="G269" t="inlineStr">
        <is>
          <t>BJURHOLM</t>
        </is>
      </c>
      <c r="H269" t="inlineStr">
        <is>
          <t>SCA</t>
        </is>
      </c>
      <c r="I269" t="n">
        <v>2.9</v>
      </c>
      <c r="J269" t="n">
        <v>0</v>
      </c>
      <c r="K269" t="n">
        <v>0</v>
      </c>
      <c r="L269" t="n">
        <v>0</v>
      </c>
      <c r="M269" t="n">
        <v>0</v>
      </c>
      <c r="N269" t="n">
        <v>0</v>
      </c>
      <c r="O269" t="n">
        <v>0</v>
      </c>
      <c r="P269" t="n">
        <v>0</v>
      </c>
      <c r="Q269" t="n">
        <v>0</v>
      </c>
      <c r="R269" t="n">
        <v>0</v>
      </c>
      <c r="S269" t="n">
        <v>0</v>
      </c>
      <c r="T269" t="n">
        <v>0</v>
      </c>
      <c r="U269" s="2" t="inlineStr"/>
    </row>
    <row r="270" ht="15" customHeight="1">
      <c r="A270" t="inlineStr">
        <is>
          <t>A 52671-2024</t>
        </is>
      </c>
      <c r="B270" t="inlineStr">
        <is>
          <t>avverkningsanmälan</t>
        </is>
      </c>
      <c r="C270" t="inlineStr">
        <is>
          <t>Föryngringsavverkning</t>
        </is>
      </c>
      <c r="D270" s="1" t="n">
        <v>45610</v>
      </c>
      <c r="E270" s="1" t="n">
        <v>46216</v>
      </c>
      <c r="F270" t="inlineStr">
        <is>
          <t>VÄSTERBOTTENS LÄN</t>
        </is>
      </c>
      <c r="G270" t="inlineStr">
        <is>
          <t>BJURHOLM</t>
        </is>
      </c>
      <c r="H270" t="inlineStr">
        <is>
          <t>Holmen skog AB</t>
        </is>
      </c>
      <c r="I270" t="n">
        <v>4.4</v>
      </c>
      <c r="J270" t="n">
        <v>0</v>
      </c>
      <c r="K270" t="n">
        <v>0</v>
      </c>
      <c r="L270" t="n">
        <v>0</v>
      </c>
      <c r="M270" t="n">
        <v>0</v>
      </c>
      <c r="N270" t="n">
        <v>0</v>
      </c>
      <c r="O270" t="n">
        <v>0</v>
      </c>
      <c r="P270" t="n">
        <v>0</v>
      </c>
      <c r="Q270" t="n">
        <v>0</v>
      </c>
      <c r="R270" t="n">
        <v>0</v>
      </c>
      <c r="S270" t="n">
        <v>0</v>
      </c>
      <c r="T270" t="n">
        <v>0</v>
      </c>
      <c r="U270" s="2" t="inlineStr"/>
    </row>
    <row r="271" ht="15" customHeight="1">
      <c r="A271" t="inlineStr">
        <is>
          <t>A 44790-2023</t>
        </is>
      </c>
      <c r="B271" t="inlineStr">
        <is>
          <t>avverkningsanmälan</t>
        </is>
      </c>
      <c r="C271" t="inlineStr">
        <is>
          <t>Föryngringsavverkning</t>
        </is>
      </c>
      <c r="D271" s="1" t="n">
        <v>45190</v>
      </c>
      <c r="E271" s="1" t="n">
        <v>46216</v>
      </c>
      <c r="F271" t="inlineStr">
        <is>
          <t>VÄSTERBOTTENS LÄN</t>
        </is>
      </c>
      <c r="G271" t="inlineStr">
        <is>
          <t>BJURHOLM</t>
        </is>
      </c>
      <c r="H271" t="inlineStr">
        <is>
          <t>Holmen skog AB</t>
        </is>
      </c>
      <c r="I271" t="n">
        <v>21.7</v>
      </c>
      <c r="J271" t="n">
        <v>0</v>
      </c>
      <c r="K271" t="n">
        <v>0</v>
      </c>
      <c r="L271" t="n">
        <v>0</v>
      </c>
      <c r="M271" t="n">
        <v>0</v>
      </c>
      <c r="N271" t="n">
        <v>0</v>
      </c>
      <c r="O271" t="n">
        <v>0</v>
      </c>
      <c r="P271" t="n">
        <v>0</v>
      </c>
      <c r="Q271" t="n">
        <v>0</v>
      </c>
      <c r="R271" t="n">
        <v>0</v>
      </c>
      <c r="S271" t="n">
        <v>0</v>
      </c>
      <c r="T271" t="n">
        <v>0</v>
      </c>
      <c r="U271" s="2" t="inlineStr"/>
    </row>
    <row r="272" ht="15" customHeight="1">
      <c r="A272" t="inlineStr">
        <is>
          <t>A 19218-2026</t>
        </is>
      </c>
      <c r="B272" t="inlineStr">
        <is>
          <t>avverkningsanmälan</t>
        </is>
      </c>
      <c r="C272" t="inlineStr">
        <is>
          <t>Föryngringsavverkning</t>
        </is>
      </c>
      <c r="D272" s="1" t="n">
        <v>46132</v>
      </c>
      <c r="E272" s="1" t="n">
        <v>46216</v>
      </c>
      <c r="F272" t="inlineStr">
        <is>
          <t>VÄSTERBOTTENS LÄN</t>
        </is>
      </c>
      <c r="G272" t="inlineStr">
        <is>
          <t>BJURHOLM</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19221-2026</t>
        </is>
      </c>
      <c r="B273" t="inlineStr">
        <is>
          <t>avverkningsanmälan</t>
        </is>
      </c>
      <c r="C273" t="inlineStr">
        <is>
          <t>Föryngringsavverkning</t>
        </is>
      </c>
      <c r="D273" s="1" t="n">
        <v>46132</v>
      </c>
      <c r="E273" s="1" t="n">
        <v>46216</v>
      </c>
      <c r="F273" t="inlineStr">
        <is>
          <t>VÄSTERBOTTENS LÄN</t>
        </is>
      </c>
      <c r="G273" t="inlineStr">
        <is>
          <t>BJURHOLM</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19326-2026</t>
        </is>
      </c>
      <c r="B274" t="inlineStr">
        <is>
          <t>avverkningsanmälan</t>
        </is>
      </c>
      <c r="C274" t="inlineStr">
        <is>
          <t>Föryngringsavverkning</t>
        </is>
      </c>
      <c r="D274" s="1" t="n">
        <v>46133</v>
      </c>
      <c r="E274" s="1" t="n">
        <v>46216</v>
      </c>
      <c r="F274" t="inlineStr">
        <is>
          <t>VÄSTERBOTTENS LÄN</t>
        </is>
      </c>
      <c r="G274" t="inlineStr">
        <is>
          <t>BJURHOLM</t>
        </is>
      </c>
      <c r="I274" t="n">
        <v>6.9</v>
      </c>
      <c r="J274" t="n">
        <v>0</v>
      </c>
      <c r="K274" t="n">
        <v>0</v>
      </c>
      <c r="L274" t="n">
        <v>0</v>
      </c>
      <c r="M274" t="n">
        <v>0</v>
      </c>
      <c r="N274" t="n">
        <v>0</v>
      </c>
      <c r="O274" t="n">
        <v>0</v>
      </c>
      <c r="P274" t="n">
        <v>0</v>
      </c>
      <c r="Q274" t="n">
        <v>0</v>
      </c>
      <c r="R274" t="n">
        <v>0</v>
      </c>
      <c r="S274" t="n">
        <v>0</v>
      </c>
      <c r="T274" t="n">
        <v>0</v>
      </c>
      <c r="U274" s="2" t="inlineStr"/>
    </row>
    <row r="275" ht="15" customHeight="1">
      <c r="A275" t="inlineStr">
        <is>
          <t>A 53899-2024</t>
        </is>
      </c>
      <c r="B275" t="inlineStr">
        <is>
          <t>avverkningsanmälan</t>
        </is>
      </c>
      <c r="C275" t="inlineStr">
        <is>
          <t>Föryngringsavverkning</t>
        </is>
      </c>
      <c r="D275" s="1" t="n">
        <v>45615</v>
      </c>
      <c r="E275" s="1" t="n">
        <v>46216</v>
      </c>
      <c r="F275" t="inlineStr">
        <is>
          <t>VÄSTERBOTTENS LÄN</t>
        </is>
      </c>
      <c r="G275" t="inlineStr">
        <is>
          <t>BJURHOLM</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43317-2024</t>
        </is>
      </c>
      <c r="B276" t="inlineStr">
        <is>
          <t>avverkningsanmälan</t>
        </is>
      </c>
      <c r="C276" t="inlineStr">
        <is>
          <t>Föryngringsavverkning</t>
        </is>
      </c>
      <c r="D276" s="1" t="n">
        <v>45568</v>
      </c>
      <c r="E276" s="1" t="n">
        <v>46216</v>
      </c>
      <c r="F276" t="inlineStr">
        <is>
          <t>VÄSTERBOTTENS LÄN</t>
        </is>
      </c>
      <c r="G276" t="inlineStr">
        <is>
          <t>BJURHOLM</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19223-2026</t>
        </is>
      </c>
      <c r="B277" t="inlineStr">
        <is>
          <t>avverkningsanmälan</t>
        </is>
      </c>
      <c r="C277" t="inlineStr">
        <is>
          <t>Föryngringsavverkning</t>
        </is>
      </c>
      <c r="D277" s="1" t="n">
        <v>46132</v>
      </c>
      <c r="E277" s="1" t="n">
        <v>46216</v>
      </c>
      <c r="F277" t="inlineStr">
        <is>
          <t>VÄSTERBOTTENS LÄN</t>
        </is>
      </c>
      <c r="G277" t="inlineStr">
        <is>
          <t>BJURHOLM</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25215-2026</t>
        </is>
      </c>
      <c r="B278" t="inlineStr">
        <is>
          <t>avverkningsanmälan</t>
        </is>
      </c>
      <c r="C278" t="inlineStr">
        <is>
          <t>Föryngringsavverkning</t>
        </is>
      </c>
      <c r="D278" s="1" t="n">
        <v>46175</v>
      </c>
      <c r="E278" s="1" t="n">
        <v>46216</v>
      </c>
      <c r="F278" t="inlineStr">
        <is>
          <t>VÄSTERBOTTENS LÄN</t>
        </is>
      </c>
      <c r="G278" t="inlineStr">
        <is>
          <t>BJURHOLM</t>
        </is>
      </c>
      <c r="H278" t="inlineStr">
        <is>
          <t>Holmen skog AB</t>
        </is>
      </c>
      <c r="I278" t="n">
        <v>6</v>
      </c>
      <c r="J278" t="n">
        <v>0</v>
      </c>
      <c r="K278" t="n">
        <v>0</v>
      </c>
      <c r="L278" t="n">
        <v>0</v>
      </c>
      <c r="M278" t="n">
        <v>0</v>
      </c>
      <c r="N278" t="n">
        <v>0</v>
      </c>
      <c r="O278" t="n">
        <v>0</v>
      </c>
      <c r="P278" t="n">
        <v>0</v>
      </c>
      <c r="Q278" t="n">
        <v>0</v>
      </c>
      <c r="R278" t="n">
        <v>0</v>
      </c>
      <c r="S278" t="n">
        <v>0</v>
      </c>
      <c r="T278" t="n">
        <v>0</v>
      </c>
      <c r="U278" s="2" t="inlineStr"/>
    </row>
    <row r="279" ht="15" customHeight="1">
      <c r="A279" t="inlineStr">
        <is>
          <t>A 24874-2026</t>
        </is>
      </c>
      <c r="B279" t="inlineStr">
        <is>
          <t>avverkningsanmälan</t>
        </is>
      </c>
      <c r="C279" t="inlineStr">
        <is>
          <t>Föryngringsavverkning</t>
        </is>
      </c>
      <c r="D279" s="1" t="n">
        <v>46174</v>
      </c>
      <c r="E279" s="1" t="n">
        <v>46216</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24870-2026</t>
        </is>
      </c>
      <c r="B280" t="inlineStr">
        <is>
          <t>avverkningsanmälan</t>
        </is>
      </c>
      <c r="C280" t="inlineStr">
        <is>
          <t>Föryngringsavverkning</t>
        </is>
      </c>
      <c r="D280" s="1" t="n">
        <v>46174</v>
      </c>
      <c r="E280" s="1" t="n">
        <v>46216</v>
      </c>
      <c r="F280" t="inlineStr">
        <is>
          <t>VÄSTERBOTTENS LÄN</t>
        </is>
      </c>
      <c r="G280" t="inlineStr">
        <is>
          <t>BJURHOLM</t>
        </is>
      </c>
      <c r="H280" t="inlineStr">
        <is>
          <t>Holmen skog AB</t>
        </is>
      </c>
      <c r="I280" t="n">
        <v>2.7</v>
      </c>
      <c r="J280" t="n">
        <v>0</v>
      </c>
      <c r="K280" t="n">
        <v>0</v>
      </c>
      <c r="L280" t="n">
        <v>0</v>
      </c>
      <c r="M280" t="n">
        <v>0</v>
      </c>
      <c r="N280" t="n">
        <v>0</v>
      </c>
      <c r="O280" t="n">
        <v>0</v>
      </c>
      <c r="P280" t="n">
        <v>0</v>
      </c>
      <c r="Q280" t="n">
        <v>0</v>
      </c>
      <c r="R280" t="n">
        <v>0</v>
      </c>
      <c r="S280" t="n">
        <v>0</v>
      </c>
      <c r="T280" t="n">
        <v>0</v>
      </c>
      <c r="U280" s="2" t="inlineStr"/>
    </row>
    <row r="281" ht="15" customHeight="1">
      <c r="A281" t="inlineStr">
        <is>
          <t>A 19136-2026</t>
        </is>
      </c>
      <c r="B281" t="inlineStr">
        <is>
          <t>avverkningsanmälan</t>
        </is>
      </c>
      <c r="C281" t="inlineStr">
        <is>
          <t>Föryngringsavverkning</t>
        </is>
      </c>
      <c r="D281" s="1" t="n">
        <v>46132</v>
      </c>
      <c r="E281" s="1" t="n">
        <v>46216</v>
      </c>
      <c r="F281" t="inlineStr">
        <is>
          <t>VÄSTERBOTTENS LÄN</t>
        </is>
      </c>
      <c r="G281" t="inlineStr">
        <is>
          <t>BJURHOLM</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25226-2026</t>
        </is>
      </c>
      <c r="B282" t="inlineStr">
        <is>
          <t>avverkningsanmälan</t>
        </is>
      </c>
      <c r="C282" t="inlineStr">
        <is>
          <t>Föryngringsavverkning</t>
        </is>
      </c>
      <c r="D282" s="1" t="n">
        <v>46175</v>
      </c>
      <c r="E282" s="1" t="n">
        <v>46216</v>
      </c>
      <c r="F282" t="inlineStr">
        <is>
          <t>VÄSTERBOTTENS LÄN</t>
        </is>
      </c>
      <c r="G282" t="inlineStr">
        <is>
          <t>BJURHOLM</t>
        </is>
      </c>
      <c r="H282" t="inlineStr">
        <is>
          <t>Holmen skog AB</t>
        </is>
      </c>
      <c r="I282" t="n">
        <v>2.4</v>
      </c>
      <c r="J282" t="n">
        <v>0</v>
      </c>
      <c r="K282" t="n">
        <v>0</v>
      </c>
      <c r="L282" t="n">
        <v>0</v>
      </c>
      <c r="M282" t="n">
        <v>0</v>
      </c>
      <c r="N282" t="n">
        <v>0</v>
      </c>
      <c r="O282" t="n">
        <v>0</v>
      </c>
      <c r="P282" t="n">
        <v>0</v>
      </c>
      <c r="Q282" t="n">
        <v>0</v>
      </c>
      <c r="R282" t="n">
        <v>0</v>
      </c>
      <c r="S282" t="n">
        <v>0</v>
      </c>
      <c r="T282" t="n">
        <v>0</v>
      </c>
      <c r="U282" s="2" t="inlineStr"/>
    </row>
    <row r="283" ht="15" customHeight="1">
      <c r="A283" t="inlineStr">
        <is>
          <t>A 25499-2026</t>
        </is>
      </c>
      <c r="B283" t="inlineStr">
        <is>
          <t>avverkningsanmälan</t>
        </is>
      </c>
      <c r="C283" t="inlineStr">
        <is>
          <t>Föryngringsavverkning</t>
        </is>
      </c>
      <c r="D283" s="1" t="n">
        <v>46177</v>
      </c>
      <c r="E283" s="1" t="n">
        <v>46216</v>
      </c>
      <c r="F283" t="inlineStr">
        <is>
          <t>VÄSTERBOTTENS LÄN</t>
        </is>
      </c>
      <c r="G283" t="inlineStr">
        <is>
          <t>BJURHOLM</t>
        </is>
      </c>
      <c r="H283" t="inlineStr">
        <is>
          <t>Holmen skog AB</t>
        </is>
      </c>
      <c r="I283" t="n">
        <v>3.1</v>
      </c>
      <c r="J283" t="n">
        <v>0</v>
      </c>
      <c r="K283" t="n">
        <v>0</v>
      </c>
      <c r="L283" t="n">
        <v>0</v>
      </c>
      <c r="M283" t="n">
        <v>0</v>
      </c>
      <c r="N283" t="n">
        <v>0</v>
      </c>
      <c r="O283" t="n">
        <v>0</v>
      </c>
      <c r="P283" t="n">
        <v>0</v>
      </c>
      <c r="Q283" t="n">
        <v>0</v>
      </c>
      <c r="R283" t="n">
        <v>0</v>
      </c>
      <c r="S283" t="n">
        <v>0</v>
      </c>
      <c r="T283" t="n">
        <v>0</v>
      </c>
      <c r="U283" s="2" t="inlineStr"/>
    </row>
    <row r="284" ht="15" customHeight="1">
      <c r="A284" t="inlineStr">
        <is>
          <t>A 43172-2023</t>
        </is>
      </c>
      <c r="B284" t="inlineStr">
        <is>
          <t>avverkningsanmälan</t>
        </is>
      </c>
      <c r="C284" t="inlineStr">
        <is>
          <t>Föryngringsavverkning</t>
        </is>
      </c>
      <c r="D284" s="1" t="n">
        <v>45183</v>
      </c>
      <c r="E284" s="1" t="n">
        <v>46216</v>
      </c>
      <c r="F284" t="inlineStr">
        <is>
          <t>VÄSTERBOTTENS LÄN</t>
        </is>
      </c>
      <c r="G284" t="inlineStr">
        <is>
          <t>BJURHOLM</t>
        </is>
      </c>
      <c r="H284" t="inlineStr">
        <is>
          <t>Holmen skog AB</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25301-2026</t>
        </is>
      </c>
      <c r="B285" t="inlineStr">
        <is>
          <t>avverkningsanmälan</t>
        </is>
      </c>
      <c r="C285" t="inlineStr">
        <is>
          <t>Föryngringsavverkning</t>
        </is>
      </c>
      <c r="D285" s="1" t="n">
        <v>46176</v>
      </c>
      <c r="E285" s="1" t="n">
        <v>46216</v>
      </c>
      <c r="F285" t="inlineStr">
        <is>
          <t>VÄSTERBOTTENS LÄN</t>
        </is>
      </c>
      <c r="G285" t="inlineStr">
        <is>
          <t>BJURHOLM</t>
        </is>
      </c>
      <c r="H285" t="inlineStr">
        <is>
          <t>SCA</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13828-2025</t>
        </is>
      </c>
      <c r="B286" t="inlineStr">
        <is>
          <t>avverkningsanmälan</t>
        </is>
      </c>
      <c r="C286" t="inlineStr">
        <is>
          <t>Föryngringsavverkning</t>
        </is>
      </c>
      <c r="D286" s="1" t="n">
        <v>45737</v>
      </c>
      <c r="E286" s="1" t="n">
        <v>46216</v>
      </c>
      <c r="F286" t="inlineStr">
        <is>
          <t>VÄSTERBOTTENS LÄN</t>
        </is>
      </c>
      <c r="G286" t="inlineStr">
        <is>
          <t>BJURHOLM</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64500-2023</t>
        </is>
      </c>
      <c r="B287" t="inlineStr">
        <is>
          <t>avverkningsanmälan</t>
        </is>
      </c>
      <c r="C287" t="inlineStr">
        <is>
          <t>Avverkning för att bevara och utveckla /försöksver</t>
        </is>
      </c>
      <c r="D287" s="1" t="n">
        <v>45280</v>
      </c>
      <c r="E287" s="1" t="n">
        <v>46216</v>
      </c>
      <c r="F287" t="inlineStr">
        <is>
          <t>VÄSTERBOTTENS LÄN</t>
        </is>
      </c>
      <c r="G287" t="inlineStr">
        <is>
          <t>BJURHOLM</t>
        </is>
      </c>
      <c r="H287" t="inlineStr">
        <is>
          <t>SCA</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34296-2022</t>
        </is>
      </c>
      <c r="B288" t="inlineStr">
        <is>
          <t>avverkningsanmälan</t>
        </is>
      </c>
      <c r="C288" t="inlineStr">
        <is>
          <t>Föryngringsavverkning</t>
        </is>
      </c>
      <c r="D288" s="1" t="n">
        <v>44792</v>
      </c>
      <c r="E288" s="1" t="n">
        <v>46216</v>
      </c>
      <c r="F288" t="inlineStr">
        <is>
          <t>VÄSTERBOTTENS LÄN</t>
        </is>
      </c>
      <c r="G288" t="inlineStr">
        <is>
          <t>BJURHOLM</t>
        </is>
      </c>
      <c r="I288" t="n">
        <v>9.1</v>
      </c>
      <c r="J288" t="n">
        <v>0</v>
      </c>
      <c r="K288" t="n">
        <v>0</v>
      </c>
      <c r="L288" t="n">
        <v>0</v>
      </c>
      <c r="M288" t="n">
        <v>0</v>
      </c>
      <c r="N288" t="n">
        <v>0</v>
      </c>
      <c r="O288" t="n">
        <v>0</v>
      </c>
      <c r="P288" t="n">
        <v>0</v>
      </c>
      <c r="Q288" t="n">
        <v>0</v>
      </c>
      <c r="R288" t="n">
        <v>0</v>
      </c>
      <c r="S288" t="n">
        <v>0</v>
      </c>
      <c r="T288" t="n">
        <v>0</v>
      </c>
      <c r="U288" s="2" t="inlineStr"/>
    </row>
    <row r="289" ht="15" customHeight="1">
      <c r="A289" t="inlineStr">
        <is>
          <t>A 27953-2024</t>
        </is>
      </c>
      <c r="B289" t="inlineStr">
        <is>
          <t>avverkningsanmälan</t>
        </is>
      </c>
      <c r="C289" t="inlineStr">
        <is>
          <t>Föryngringsavverkning</t>
        </is>
      </c>
      <c r="D289" s="1" t="n">
        <v>45476</v>
      </c>
      <c r="E289" s="1" t="n">
        <v>46216</v>
      </c>
      <c r="F289" t="inlineStr">
        <is>
          <t>VÄSTERBOTTENS LÄN</t>
        </is>
      </c>
      <c r="G289" t="inlineStr">
        <is>
          <t>BJURHOLM</t>
        </is>
      </c>
      <c r="H289" t="inlineStr">
        <is>
          <t>Holmen skog AB</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60606-2023</t>
        </is>
      </c>
      <c r="B290" t="inlineStr">
        <is>
          <t>avverkningsanmälan</t>
        </is>
      </c>
      <c r="C290" t="inlineStr">
        <is>
          <t>Föryngringsavverkning</t>
        </is>
      </c>
      <c r="D290" s="1" t="n">
        <v>45260</v>
      </c>
      <c r="E290" s="1" t="n">
        <v>46216</v>
      </c>
      <c r="F290" t="inlineStr">
        <is>
          <t>VÄSTERBOTTENS LÄN</t>
        </is>
      </c>
      <c r="G290" t="inlineStr">
        <is>
          <t>BJURHOLM</t>
        </is>
      </c>
      <c r="I290" t="n">
        <v>7.5</v>
      </c>
      <c r="J290" t="n">
        <v>0</v>
      </c>
      <c r="K290" t="n">
        <v>0</v>
      </c>
      <c r="L290" t="n">
        <v>0</v>
      </c>
      <c r="M290" t="n">
        <v>0</v>
      </c>
      <c r="N290" t="n">
        <v>0</v>
      </c>
      <c r="O290" t="n">
        <v>0</v>
      </c>
      <c r="P290" t="n">
        <v>0</v>
      </c>
      <c r="Q290" t="n">
        <v>0</v>
      </c>
      <c r="R290" t="n">
        <v>0</v>
      </c>
      <c r="S290" t="n">
        <v>0</v>
      </c>
      <c r="T290" t="n">
        <v>0</v>
      </c>
      <c r="U290" s="2" t="inlineStr"/>
    </row>
    <row r="291" ht="15" customHeight="1">
      <c r="A291" t="inlineStr">
        <is>
          <t>A 25999-2026</t>
        </is>
      </c>
      <c r="B291" t="inlineStr">
        <is>
          <t>avverkningsanmälan</t>
        </is>
      </c>
      <c r="C291" t="inlineStr">
        <is>
          <t>Föryngringsavverkning</t>
        </is>
      </c>
      <c r="D291" s="1" t="n">
        <v>46181</v>
      </c>
      <c r="E291" s="1" t="n">
        <v>46216</v>
      </c>
      <c r="F291" t="inlineStr">
        <is>
          <t>VÄSTERBOTTENS LÄN</t>
        </is>
      </c>
      <c r="G291" t="inlineStr">
        <is>
          <t>BJURHOLM</t>
        </is>
      </c>
      <c r="H291" t="inlineStr">
        <is>
          <t>Holmen skog AB</t>
        </is>
      </c>
      <c r="I291" t="n">
        <v>6.1</v>
      </c>
      <c r="J291" t="n">
        <v>0</v>
      </c>
      <c r="K291" t="n">
        <v>0</v>
      </c>
      <c r="L291" t="n">
        <v>0</v>
      </c>
      <c r="M291" t="n">
        <v>0</v>
      </c>
      <c r="N291" t="n">
        <v>0</v>
      </c>
      <c r="O291" t="n">
        <v>0</v>
      </c>
      <c r="P291" t="n">
        <v>0</v>
      </c>
      <c r="Q291" t="n">
        <v>0</v>
      </c>
      <c r="R291" t="n">
        <v>0</v>
      </c>
      <c r="S291" t="n">
        <v>0</v>
      </c>
      <c r="T291" t="n">
        <v>0</v>
      </c>
      <c r="U291" s="2" t="inlineStr"/>
    </row>
    <row r="292" ht="15" customHeight="1">
      <c r="A292" t="inlineStr">
        <is>
          <t>A 25534-2026</t>
        </is>
      </c>
      <c r="B292" t="inlineStr">
        <is>
          <t>avverkningsanmälan</t>
        </is>
      </c>
      <c r="C292" t="inlineStr">
        <is>
          <t>Föryngringsavverkning</t>
        </is>
      </c>
      <c r="D292" s="1" t="n">
        <v>46177</v>
      </c>
      <c r="E292" s="1" t="n">
        <v>46216</v>
      </c>
      <c r="F292" t="inlineStr">
        <is>
          <t>VÄSTERBOTTENS LÄN</t>
        </is>
      </c>
      <c r="G292" t="inlineStr">
        <is>
          <t>BJURHOLM</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16792-2022</t>
        </is>
      </c>
      <c r="B293" t="inlineStr">
        <is>
          <t>avverkningsanmälan</t>
        </is>
      </c>
      <c r="C293" t="inlineStr">
        <is>
          <t>Föryngringsavverkning</t>
        </is>
      </c>
      <c r="D293" s="1" t="n">
        <v>44673</v>
      </c>
      <c r="E293" s="1" t="n">
        <v>46216</v>
      </c>
      <c r="F293" t="inlineStr">
        <is>
          <t>VÄSTERBOTTENS LÄN</t>
        </is>
      </c>
      <c r="G293" t="inlineStr">
        <is>
          <t>BJURHOLM</t>
        </is>
      </c>
      <c r="I293" t="n">
        <v>3.1</v>
      </c>
      <c r="J293" t="n">
        <v>0</v>
      </c>
      <c r="K293" t="n">
        <v>0</v>
      </c>
      <c r="L293" t="n">
        <v>0</v>
      </c>
      <c r="M293" t="n">
        <v>0</v>
      </c>
      <c r="N293" t="n">
        <v>0</v>
      </c>
      <c r="O293" t="n">
        <v>0</v>
      </c>
      <c r="P293" t="n">
        <v>0</v>
      </c>
      <c r="Q293" t="n">
        <v>0</v>
      </c>
      <c r="R293" t="n">
        <v>0</v>
      </c>
      <c r="S293" t="n">
        <v>0</v>
      </c>
      <c r="T293" t="n">
        <v>0</v>
      </c>
      <c r="U293" s="2" t="inlineStr"/>
    </row>
    <row r="294" ht="15" customHeight="1">
      <c r="A294" t="inlineStr">
        <is>
          <t>A 26014-2026</t>
        </is>
      </c>
      <c r="B294" t="inlineStr">
        <is>
          <t>avverkningsanmälan</t>
        </is>
      </c>
      <c r="C294" t="inlineStr">
        <is>
          <t>Föryngringsavverkning</t>
        </is>
      </c>
      <c r="D294" s="1" t="n">
        <v>46181</v>
      </c>
      <c r="E294" s="1" t="n">
        <v>46216</v>
      </c>
      <c r="F294" t="inlineStr">
        <is>
          <t>VÄSTERBOTTENS LÄN</t>
        </is>
      </c>
      <c r="G294" t="inlineStr">
        <is>
          <t>BJURHOLM</t>
        </is>
      </c>
      <c r="H294" t="inlineStr">
        <is>
          <t>Holmen skog AB</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8860-2023</t>
        </is>
      </c>
      <c r="B295" t="inlineStr">
        <is>
          <t>avverkningsanmälan</t>
        </is>
      </c>
      <c r="C295" t="inlineStr">
        <is>
          <t>Föryngringsavverkning</t>
        </is>
      </c>
      <c r="D295" s="1" t="n">
        <v>44978</v>
      </c>
      <c r="E295" s="1" t="n">
        <v>46216</v>
      </c>
      <c r="F295" t="inlineStr">
        <is>
          <t>VÄSTERBOTTENS LÄN</t>
        </is>
      </c>
      <c r="G295" t="inlineStr">
        <is>
          <t>BJURHOLM</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50728-2024</t>
        </is>
      </c>
      <c r="B296" t="inlineStr">
        <is>
          <t>avverkningsanmälan</t>
        </is>
      </c>
      <c r="C296" t="inlineStr">
        <is>
          <t>Föryngringsavverkning</t>
        </is>
      </c>
      <c r="D296" s="1" t="n">
        <v>45602</v>
      </c>
      <c r="E296" s="1" t="n">
        <v>46216</v>
      </c>
      <c r="F296" t="inlineStr">
        <is>
          <t>VÄSTERBOTTENS LÄN</t>
        </is>
      </c>
      <c r="G296" t="inlineStr">
        <is>
          <t>BJURHOLM</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57609-2024</t>
        </is>
      </c>
      <c r="B297" t="inlineStr">
        <is>
          <t>avverkningsanmälan</t>
        </is>
      </c>
      <c r="C297" t="inlineStr">
        <is>
          <t>Föryngringsavverkning</t>
        </is>
      </c>
      <c r="D297" s="1" t="n">
        <v>45630</v>
      </c>
      <c r="E297" s="1" t="n">
        <v>46216</v>
      </c>
      <c r="F297" t="inlineStr">
        <is>
          <t>VÄSTERBOTTENS LÄN</t>
        </is>
      </c>
      <c r="G297" t="inlineStr">
        <is>
          <t>BJURHOLM</t>
        </is>
      </c>
      <c r="H297" t="inlineStr">
        <is>
          <t>Sveaskog</t>
        </is>
      </c>
      <c r="I297" t="n">
        <v>3.7</v>
      </c>
      <c r="J297" t="n">
        <v>0</v>
      </c>
      <c r="K297" t="n">
        <v>0</v>
      </c>
      <c r="L297" t="n">
        <v>0</v>
      </c>
      <c r="M297" t="n">
        <v>0</v>
      </c>
      <c r="N297" t="n">
        <v>0</v>
      </c>
      <c r="O297" t="n">
        <v>0</v>
      </c>
      <c r="P297" t="n">
        <v>0</v>
      </c>
      <c r="Q297" t="n">
        <v>0</v>
      </c>
      <c r="R297" t="n">
        <v>0</v>
      </c>
      <c r="S297" t="n">
        <v>0</v>
      </c>
      <c r="T297" t="n">
        <v>0</v>
      </c>
      <c r="U297" s="2" t="inlineStr"/>
    </row>
    <row r="298" ht="15" customHeight="1">
      <c r="A298" t="inlineStr">
        <is>
          <t>A 33711-2023</t>
        </is>
      </c>
      <c r="B298" t="inlineStr">
        <is>
          <t>avverkningsanmälan</t>
        </is>
      </c>
      <c r="C298" t="inlineStr">
        <is>
          <t>Föryngringsavverkning</t>
        </is>
      </c>
      <c r="D298" s="1" t="n">
        <v>45132</v>
      </c>
      <c r="E298" s="1" t="n">
        <v>46216</v>
      </c>
      <c r="F298" t="inlineStr">
        <is>
          <t>VÄSTERBOTTENS LÄN</t>
        </is>
      </c>
      <c r="G298" t="inlineStr">
        <is>
          <t>BJURHOLM</t>
        </is>
      </c>
      <c r="H298" t="inlineStr">
        <is>
          <t>SCA</t>
        </is>
      </c>
      <c r="I298" t="n">
        <v>70.09999999999999</v>
      </c>
      <c r="J298" t="n">
        <v>0</v>
      </c>
      <c r="K298" t="n">
        <v>0</v>
      </c>
      <c r="L298" t="n">
        <v>0</v>
      </c>
      <c r="M298" t="n">
        <v>0</v>
      </c>
      <c r="N298" t="n">
        <v>0</v>
      </c>
      <c r="O298" t="n">
        <v>0</v>
      </c>
      <c r="P298" t="n">
        <v>0</v>
      </c>
      <c r="Q298" t="n">
        <v>0</v>
      </c>
      <c r="R298" t="n">
        <v>0</v>
      </c>
      <c r="S298" t="n">
        <v>0</v>
      </c>
      <c r="T298" t="n">
        <v>0</v>
      </c>
      <c r="U298" s="2" t="inlineStr"/>
    </row>
    <row r="299" ht="15" customHeight="1">
      <c r="A299" t="inlineStr">
        <is>
          <t>A 53375-2024</t>
        </is>
      </c>
      <c r="B299" t="inlineStr">
        <is>
          <t>avverkningsanmälan</t>
        </is>
      </c>
      <c r="C299" t="inlineStr">
        <is>
          <t>Föryngringsavverkning</t>
        </is>
      </c>
      <c r="D299" s="1" t="n">
        <v>45614</v>
      </c>
      <c r="E299" s="1" t="n">
        <v>46216</v>
      </c>
      <c r="F299" t="inlineStr">
        <is>
          <t>VÄSTERBOTTENS LÄN</t>
        </is>
      </c>
      <c r="G299" t="inlineStr">
        <is>
          <t>BJURHOLM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26009-2026</t>
        </is>
      </c>
      <c r="B300" t="inlineStr">
        <is>
          <t>avverkningsanmälan</t>
        </is>
      </c>
      <c r="C300" t="inlineStr">
        <is>
          <t>Föryngringsavverkning</t>
        </is>
      </c>
      <c r="D300" s="1" t="n">
        <v>46181</v>
      </c>
      <c r="E300" s="1" t="n">
        <v>46216</v>
      </c>
      <c r="F300" t="inlineStr">
        <is>
          <t>VÄSTERBOTTENS LÄN</t>
        </is>
      </c>
      <c r="G300" t="inlineStr">
        <is>
          <t>BJURHOLM</t>
        </is>
      </c>
      <c r="H300" t="inlineStr">
        <is>
          <t>Holmen skog AB</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45168-2025</t>
        </is>
      </c>
      <c r="B301" t="inlineStr">
        <is>
          <t>avverkningsanmälan</t>
        </is>
      </c>
      <c r="C301" t="inlineStr">
        <is>
          <t>Föryngringsavverkning</t>
        </is>
      </c>
      <c r="D301" s="1" t="n">
        <v>45919</v>
      </c>
      <c r="E301" s="1" t="n">
        <v>46216</v>
      </c>
      <c r="F301" t="inlineStr">
        <is>
          <t>VÄSTERBOTTENS LÄN</t>
        </is>
      </c>
      <c r="G301" t="inlineStr">
        <is>
          <t>BJURHOLM</t>
        </is>
      </c>
      <c r="I301" t="n">
        <v>18.5</v>
      </c>
      <c r="J301" t="n">
        <v>0</v>
      </c>
      <c r="K301" t="n">
        <v>0</v>
      </c>
      <c r="L301" t="n">
        <v>0</v>
      </c>
      <c r="M301" t="n">
        <v>0</v>
      </c>
      <c r="N301" t="n">
        <v>0</v>
      </c>
      <c r="O301" t="n">
        <v>0</v>
      </c>
      <c r="P301" t="n">
        <v>0</v>
      </c>
      <c r="Q301" t="n">
        <v>0</v>
      </c>
      <c r="R301" t="n">
        <v>0</v>
      </c>
      <c r="S301" t="n">
        <v>0</v>
      </c>
      <c r="T301" t="n">
        <v>0</v>
      </c>
      <c r="U301" s="2" t="inlineStr"/>
    </row>
    <row r="302" ht="15" customHeight="1">
      <c r="A302" t="inlineStr">
        <is>
          <t>A 19573-2024</t>
        </is>
      </c>
      <c r="B302" t="inlineStr">
        <is>
          <t>avverkningsanmälan</t>
        </is>
      </c>
      <c r="C302" t="inlineStr">
        <is>
          <t>Föryngringsavverkning</t>
        </is>
      </c>
      <c r="D302" s="1" t="n">
        <v>45429</v>
      </c>
      <c r="E302" s="1" t="n">
        <v>46216</v>
      </c>
      <c r="F302" t="inlineStr">
        <is>
          <t>VÄSTERBOTTENS LÄN</t>
        </is>
      </c>
      <c r="G302" t="inlineStr">
        <is>
          <t>BJURHOLM</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17237-2025</t>
        </is>
      </c>
      <c r="B303" t="inlineStr">
        <is>
          <t>avverkningsanmälan</t>
        </is>
      </c>
      <c r="C303" t="inlineStr">
        <is>
          <t>Föryngringsavverkning</t>
        </is>
      </c>
      <c r="D303" s="1" t="n">
        <v>45756</v>
      </c>
      <c r="E303" s="1" t="n">
        <v>46216</v>
      </c>
      <c r="F303" t="inlineStr">
        <is>
          <t>VÄSTERBOTTENS LÄN</t>
        </is>
      </c>
      <c r="G303" t="inlineStr">
        <is>
          <t>BJURHOLM</t>
        </is>
      </c>
      <c r="I303" t="n">
        <v>5.9</v>
      </c>
      <c r="J303" t="n">
        <v>0</v>
      </c>
      <c r="K303" t="n">
        <v>0</v>
      </c>
      <c r="L303" t="n">
        <v>0</v>
      </c>
      <c r="M303" t="n">
        <v>0</v>
      </c>
      <c r="N303" t="n">
        <v>0</v>
      </c>
      <c r="O303" t="n">
        <v>0</v>
      </c>
      <c r="P303" t="n">
        <v>0</v>
      </c>
      <c r="Q303" t="n">
        <v>0</v>
      </c>
      <c r="R303" t="n">
        <v>0</v>
      </c>
      <c r="S303" t="n">
        <v>0</v>
      </c>
      <c r="T303" t="n">
        <v>0</v>
      </c>
      <c r="U303" s="2" t="inlineStr"/>
    </row>
    <row r="304" ht="15" customHeight="1">
      <c r="A304" t="inlineStr">
        <is>
          <t>A 26436-2026</t>
        </is>
      </c>
      <c r="B304" t="inlineStr">
        <is>
          <t>avverkningsanmälan</t>
        </is>
      </c>
      <c r="C304" t="inlineStr">
        <is>
          <t>Föryngringsavverkning</t>
        </is>
      </c>
      <c r="D304" s="1" t="n">
        <v>46183</v>
      </c>
      <c r="E304" s="1" t="n">
        <v>46216</v>
      </c>
      <c r="F304" t="inlineStr">
        <is>
          <t>VÄSTERBOTTENS LÄN</t>
        </is>
      </c>
      <c r="G304" t="inlineStr">
        <is>
          <t>BJURHOLM</t>
        </is>
      </c>
      <c r="H304" t="inlineStr">
        <is>
          <t>Sveaskog</t>
        </is>
      </c>
      <c r="I304" t="n">
        <v>20</v>
      </c>
      <c r="J304" t="n">
        <v>0</v>
      </c>
      <c r="K304" t="n">
        <v>0</v>
      </c>
      <c r="L304" t="n">
        <v>0</v>
      </c>
      <c r="M304" t="n">
        <v>0</v>
      </c>
      <c r="N304" t="n">
        <v>0</v>
      </c>
      <c r="O304" t="n">
        <v>0</v>
      </c>
      <c r="P304" t="n">
        <v>0</v>
      </c>
      <c r="Q304" t="n">
        <v>0</v>
      </c>
      <c r="R304" t="n">
        <v>0</v>
      </c>
      <c r="S304" t="n">
        <v>0</v>
      </c>
      <c r="T304" t="n">
        <v>0</v>
      </c>
      <c r="U304" s="2" t="inlineStr"/>
    </row>
    <row r="305" ht="15" customHeight="1">
      <c r="A305" t="inlineStr">
        <is>
          <t>A 46498-2024</t>
        </is>
      </c>
      <c r="B305" t="inlineStr">
        <is>
          <t>avverkningsanmälan</t>
        </is>
      </c>
      <c r="C305" t="inlineStr">
        <is>
          <t>Föryngringsavverkning</t>
        </is>
      </c>
      <c r="D305" s="1" t="n">
        <v>45582</v>
      </c>
      <c r="E305" s="1" t="n">
        <v>46216</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s="2" t="inlineStr"/>
    </row>
    <row r="306" ht="15" customHeight="1">
      <c r="A306" t="inlineStr">
        <is>
          <t>A 41503-2021</t>
        </is>
      </c>
      <c r="B306" t="inlineStr">
        <is>
          <t>avverkningsanmälan</t>
        </is>
      </c>
      <c r="C306" t="inlineStr">
        <is>
          <t>Föryngringsavverkning</t>
        </is>
      </c>
      <c r="D306" s="1" t="n">
        <v>44424</v>
      </c>
      <c r="E306" s="1" t="n">
        <v>46216</v>
      </c>
      <c r="F306" t="inlineStr">
        <is>
          <t>VÄSTERBOTTENS LÄN</t>
        </is>
      </c>
      <c r="G306" t="inlineStr">
        <is>
          <t>BJURHOLM</t>
        </is>
      </c>
      <c r="H306" t="inlineStr">
        <is>
          <t>SCA</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32502-2024</t>
        </is>
      </c>
      <c r="B307" t="inlineStr">
        <is>
          <t>avverkningsanmälan</t>
        </is>
      </c>
      <c r="C307" t="inlineStr">
        <is>
          <t>Föryngringsavverkning</t>
        </is>
      </c>
      <c r="D307" s="1" t="n">
        <v>45513</v>
      </c>
      <c r="E307" s="1" t="n">
        <v>46216</v>
      </c>
      <c r="F307" t="inlineStr">
        <is>
          <t>VÄSTERBOTTENS LÄN</t>
        </is>
      </c>
      <c r="G307" t="inlineStr">
        <is>
          <t>BJURHOLM</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61735-2024</t>
        </is>
      </c>
      <c r="B308" t="inlineStr">
        <is>
          <t>avverkningsanmälan</t>
        </is>
      </c>
      <c r="C308" t="inlineStr">
        <is>
          <t>Föryngringsavverkning</t>
        </is>
      </c>
      <c r="D308" s="1" t="n">
        <v>45649</v>
      </c>
      <c r="E308" s="1" t="n">
        <v>46216</v>
      </c>
      <c r="F308" t="inlineStr">
        <is>
          <t>VÄSTERBOTTENS LÄN</t>
        </is>
      </c>
      <c r="G308" t="inlineStr">
        <is>
          <t>BJURHOLM</t>
        </is>
      </c>
      <c r="I308" t="n">
        <v>7.8</v>
      </c>
      <c r="J308" t="n">
        <v>0</v>
      </c>
      <c r="K308" t="n">
        <v>0</v>
      </c>
      <c r="L308" t="n">
        <v>0</v>
      </c>
      <c r="M308" t="n">
        <v>0</v>
      </c>
      <c r="N308" t="n">
        <v>0</v>
      </c>
      <c r="O308" t="n">
        <v>0</v>
      </c>
      <c r="P308" t="n">
        <v>0</v>
      </c>
      <c r="Q308" t="n">
        <v>0</v>
      </c>
      <c r="R308" t="n">
        <v>0</v>
      </c>
      <c r="S308" t="n">
        <v>0</v>
      </c>
      <c r="T308" t="n">
        <v>0</v>
      </c>
      <c r="U308" s="2" t="inlineStr"/>
    </row>
    <row r="309" ht="15" customHeight="1">
      <c r="A309" t="inlineStr">
        <is>
          <t>A 31575-2024</t>
        </is>
      </c>
      <c r="B309" t="inlineStr">
        <is>
          <t>avverkningsanmälan</t>
        </is>
      </c>
      <c r="C309" t="inlineStr">
        <is>
          <t>Föryngringsavverkning</t>
        </is>
      </c>
      <c r="D309" s="1" t="n">
        <v>45506</v>
      </c>
      <c r="E309" s="1" t="n">
        <v>46216</v>
      </c>
      <c r="F309" t="inlineStr">
        <is>
          <t>VÄSTERBOTTENS LÄN</t>
        </is>
      </c>
      <c r="G309" t="inlineStr">
        <is>
          <t>BJURHOLM</t>
        </is>
      </c>
      <c r="H309" t="inlineStr">
        <is>
          <t>Holmen skog AB</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57877-2023</t>
        </is>
      </c>
      <c r="B310" t="inlineStr">
        <is>
          <t>avverkningsanmälan</t>
        </is>
      </c>
      <c r="C310" t="inlineStr">
        <is>
          <t>Föryngringsavverkning</t>
        </is>
      </c>
      <c r="D310" s="1" t="n">
        <v>45247</v>
      </c>
      <c r="E310" s="1" t="n">
        <v>46216</v>
      </c>
      <c r="F310" t="inlineStr">
        <is>
          <t>VÄSTERBOTTENS LÄN</t>
        </is>
      </c>
      <c r="G310" t="inlineStr">
        <is>
          <t>BJURHOLM</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80-2024</t>
        </is>
      </c>
      <c r="B311" t="inlineStr">
        <is>
          <t>avverkningsanmälan</t>
        </is>
      </c>
      <c r="C311" t="inlineStr">
        <is>
          <t>Föryngringsavverkning</t>
        </is>
      </c>
      <c r="D311" s="1" t="n">
        <v>45293</v>
      </c>
      <c r="E311" s="1" t="n">
        <v>46216</v>
      </c>
      <c r="F311" t="inlineStr">
        <is>
          <t>VÄSTERBOTTENS LÄN</t>
        </is>
      </c>
      <c r="G311" t="inlineStr">
        <is>
          <t>BJURHOLM</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56315-2023</t>
        </is>
      </c>
      <c r="B312" t="inlineStr">
        <is>
          <t>avverkningsanmälan</t>
        </is>
      </c>
      <c r="C312" t="inlineStr">
        <is>
          <t>Föryngringsavverkning</t>
        </is>
      </c>
      <c r="D312" s="1" t="n">
        <v>45236</v>
      </c>
      <c r="E312" s="1" t="n">
        <v>46216</v>
      </c>
      <c r="F312" t="inlineStr">
        <is>
          <t>VÄSTERBOTTENS LÄN</t>
        </is>
      </c>
      <c r="G312" t="inlineStr">
        <is>
          <t>BJURHOLM</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63192-2025</t>
        </is>
      </c>
      <c r="B313" t="inlineStr">
        <is>
          <t>avverkningsanmälan</t>
        </is>
      </c>
      <c r="C313" t="inlineStr">
        <is>
          <t>Föryngringsavverkning</t>
        </is>
      </c>
      <c r="D313" s="1" t="n">
        <v>46010</v>
      </c>
      <c r="E313" s="1" t="n">
        <v>46216</v>
      </c>
      <c r="F313" t="inlineStr">
        <is>
          <t>VÄSTERBOTTENS LÄN</t>
        </is>
      </c>
      <c r="G313" t="inlineStr">
        <is>
          <t>BJURHOLM</t>
        </is>
      </c>
      <c r="I313" t="n">
        <v>6.7</v>
      </c>
      <c r="J313" t="n">
        <v>0</v>
      </c>
      <c r="K313" t="n">
        <v>0</v>
      </c>
      <c r="L313" t="n">
        <v>0</v>
      </c>
      <c r="M313" t="n">
        <v>0</v>
      </c>
      <c r="N313" t="n">
        <v>0</v>
      </c>
      <c r="O313" t="n">
        <v>0</v>
      </c>
      <c r="P313" t="n">
        <v>0</v>
      </c>
      <c r="Q313" t="n">
        <v>0</v>
      </c>
      <c r="R313" t="n">
        <v>0</v>
      </c>
      <c r="S313" t="n">
        <v>0</v>
      </c>
      <c r="T313" t="n">
        <v>0</v>
      </c>
      <c r="U313" s="2" t="inlineStr"/>
    </row>
    <row r="314" ht="15" customHeight="1">
      <c r="A314" t="inlineStr">
        <is>
          <t>A 22-2026</t>
        </is>
      </c>
      <c r="B314" t="inlineStr">
        <is>
          <t>avverkningsanmälan</t>
        </is>
      </c>
      <c r="C314" t="inlineStr">
        <is>
          <t>Föryngringsavverkning</t>
        </is>
      </c>
      <c r="D314" s="1" t="n">
        <v>46023</v>
      </c>
      <c r="E314" s="1" t="n">
        <v>46216</v>
      </c>
      <c r="F314" t="inlineStr">
        <is>
          <t>VÄSTERBOTTENS LÄN</t>
        </is>
      </c>
      <c r="G314" t="inlineStr">
        <is>
          <t>BJURHOLM</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36991-2022</t>
        </is>
      </c>
      <c r="B315" t="inlineStr">
        <is>
          <t>avverkningsanmälan</t>
        </is>
      </c>
      <c r="C315" t="inlineStr">
        <is>
          <t>Föryngringsavverkning</t>
        </is>
      </c>
      <c r="D315" s="1" t="n">
        <v>44806</v>
      </c>
      <c r="E315" s="1" t="n">
        <v>46216</v>
      </c>
      <c r="F315" t="inlineStr">
        <is>
          <t>VÄSTERBOTTENS LÄN</t>
        </is>
      </c>
      <c r="G315" t="inlineStr">
        <is>
          <t>BJURHOLM</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22502-2024</t>
        </is>
      </c>
      <c r="B316" t="inlineStr">
        <is>
          <t>avverkningsanmälan</t>
        </is>
      </c>
      <c r="C316" t="inlineStr">
        <is>
          <t>Föryngringsavverkning</t>
        </is>
      </c>
      <c r="D316" s="1" t="n">
        <v>45447</v>
      </c>
      <c r="E316" s="1" t="n">
        <v>46216</v>
      </c>
      <c r="F316" t="inlineStr">
        <is>
          <t>VÄSTERBOTTENS LÄN</t>
        </is>
      </c>
      <c r="G316" t="inlineStr">
        <is>
          <t>BJURHOLM</t>
        </is>
      </c>
      <c r="H316" t="inlineStr">
        <is>
          <t>Holmen skog AB</t>
        </is>
      </c>
      <c r="I316" t="n">
        <v>2.5</v>
      </c>
      <c r="J316" t="n">
        <v>0</v>
      </c>
      <c r="K316" t="n">
        <v>0</v>
      </c>
      <c r="L316" t="n">
        <v>0</v>
      </c>
      <c r="M316" t="n">
        <v>0</v>
      </c>
      <c r="N316" t="n">
        <v>0</v>
      </c>
      <c r="O316" t="n">
        <v>0</v>
      </c>
      <c r="P316" t="n">
        <v>0</v>
      </c>
      <c r="Q316" t="n">
        <v>0</v>
      </c>
      <c r="R316" t="n">
        <v>0</v>
      </c>
      <c r="S316" t="n">
        <v>0</v>
      </c>
      <c r="T316" t="n">
        <v>0</v>
      </c>
      <c r="U316" s="2" t="inlineStr"/>
    </row>
    <row r="317" ht="15" customHeight="1">
      <c r="A317" t="inlineStr">
        <is>
          <t>A 21009-2026</t>
        </is>
      </c>
      <c r="B317" t="inlineStr">
        <is>
          <t>avverkningsanmälan</t>
        </is>
      </c>
      <c r="C317" t="inlineStr">
        <is>
          <t>Föryngringsavverkning</t>
        </is>
      </c>
      <c r="D317" s="1" t="n">
        <v>46142</v>
      </c>
      <c r="E317" s="1" t="n">
        <v>46216</v>
      </c>
      <c r="F317" t="inlineStr">
        <is>
          <t>VÄSTERBOTTENS LÄN</t>
        </is>
      </c>
      <c r="G317" t="inlineStr">
        <is>
          <t>BJURHOLM</t>
        </is>
      </c>
      <c r="H317" t="inlineStr">
        <is>
          <t>Holmen skog AB</t>
        </is>
      </c>
      <c r="I317" t="n">
        <v>8.699999999999999</v>
      </c>
      <c r="J317" t="n">
        <v>0</v>
      </c>
      <c r="K317" t="n">
        <v>0</v>
      </c>
      <c r="L317" t="n">
        <v>0</v>
      </c>
      <c r="M317" t="n">
        <v>0</v>
      </c>
      <c r="N317" t="n">
        <v>0</v>
      </c>
      <c r="O317" t="n">
        <v>0</v>
      </c>
      <c r="P317" t="n">
        <v>0</v>
      </c>
      <c r="Q317" t="n">
        <v>0</v>
      </c>
      <c r="R317" t="n">
        <v>0</v>
      </c>
      <c r="S317" t="n">
        <v>0</v>
      </c>
      <c r="T317" t="n">
        <v>0</v>
      </c>
      <c r="U317" s="2" t="inlineStr"/>
    </row>
    <row r="318" ht="15" customHeight="1">
      <c r="A318" t="inlineStr">
        <is>
          <t>A 34714-2023</t>
        </is>
      </c>
      <c r="B318" t="inlineStr">
        <is>
          <t>avverkningsanmälan</t>
        </is>
      </c>
      <c r="C318" t="inlineStr">
        <is>
          <t>Föryngringsavverkning</t>
        </is>
      </c>
      <c r="D318" s="1" t="n">
        <v>45141</v>
      </c>
      <c r="E318" s="1" t="n">
        <v>46216</v>
      </c>
      <c r="F318" t="inlineStr">
        <is>
          <t>VÄSTERBOTTENS LÄN</t>
        </is>
      </c>
      <c r="G318" t="inlineStr">
        <is>
          <t>BJURHOLM</t>
        </is>
      </c>
      <c r="H318" t="inlineStr">
        <is>
          <t>Holmen skog AB</t>
        </is>
      </c>
      <c r="I318" t="n">
        <v>3</v>
      </c>
      <c r="J318" t="n">
        <v>0</v>
      </c>
      <c r="K318" t="n">
        <v>0</v>
      </c>
      <c r="L318" t="n">
        <v>0</v>
      </c>
      <c r="M318" t="n">
        <v>0</v>
      </c>
      <c r="N318" t="n">
        <v>0</v>
      </c>
      <c r="O318" t="n">
        <v>0</v>
      </c>
      <c r="P318" t="n">
        <v>0</v>
      </c>
      <c r="Q318" t="n">
        <v>0</v>
      </c>
      <c r="R318" t="n">
        <v>0</v>
      </c>
      <c r="S318" t="n">
        <v>0</v>
      </c>
      <c r="T318" t="n">
        <v>0</v>
      </c>
      <c r="U318" s="2" t="inlineStr"/>
    </row>
    <row r="319" ht="15" customHeight="1">
      <c r="A319" t="inlineStr">
        <is>
          <t>A 34761-2023</t>
        </is>
      </c>
      <c r="B319" t="inlineStr">
        <is>
          <t>avverkningsanmälan</t>
        </is>
      </c>
      <c r="C319" t="inlineStr">
        <is>
          <t>Föryngringsavverkning</t>
        </is>
      </c>
      <c r="D319" s="1" t="n">
        <v>45141</v>
      </c>
      <c r="E319" s="1" t="n">
        <v>46216</v>
      </c>
      <c r="F319" t="inlineStr">
        <is>
          <t>VÄSTERBOTTENS LÄN</t>
        </is>
      </c>
      <c r="G319" t="inlineStr">
        <is>
          <t>BJURHOLM</t>
        </is>
      </c>
      <c r="H319" t="inlineStr">
        <is>
          <t>Holmen skog AB</t>
        </is>
      </c>
      <c r="I319" t="n">
        <v>4.1</v>
      </c>
      <c r="J319" t="n">
        <v>0</v>
      </c>
      <c r="K319" t="n">
        <v>0</v>
      </c>
      <c r="L319" t="n">
        <v>0</v>
      </c>
      <c r="M319" t="n">
        <v>0</v>
      </c>
      <c r="N319" t="n">
        <v>0</v>
      </c>
      <c r="O319" t="n">
        <v>0</v>
      </c>
      <c r="P319" t="n">
        <v>0</v>
      </c>
      <c r="Q319" t="n">
        <v>0</v>
      </c>
      <c r="R319" t="n">
        <v>0</v>
      </c>
      <c r="S319" t="n">
        <v>0</v>
      </c>
      <c r="T319" t="n">
        <v>0</v>
      </c>
      <c r="U319" s="2" t="inlineStr"/>
    </row>
    <row r="320" ht="15" customHeight="1">
      <c r="A320" t="inlineStr">
        <is>
          <t>A 21010-2026</t>
        </is>
      </c>
      <c r="B320" t="inlineStr">
        <is>
          <t>avverkningsanmälan</t>
        </is>
      </c>
      <c r="C320" t="inlineStr">
        <is>
          <t>Föryngringsavverkning</t>
        </is>
      </c>
      <c r="D320" s="1" t="n">
        <v>46142</v>
      </c>
      <c r="E320" s="1" t="n">
        <v>46216</v>
      </c>
      <c r="F320" t="inlineStr">
        <is>
          <t>VÄSTERBOTTENS LÄN</t>
        </is>
      </c>
      <c r="G320" t="inlineStr">
        <is>
          <t>BJURHOLM</t>
        </is>
      </c>
      <c r="H320" t="inlineStr">
        <is>
          <t>Holmen skog AB</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27025-2026</t>
        </is>
      </c>
      <c r="B321" t="inlineStr">
        <is>
          <t>avverkningsanmälan</t>
        </is>
      </c>
      <c r="C321" t="inlineStr">
        <is>
          <t>Föryngringsavverkning</t>
        </is>
      </c>
      <c r="D321" s="1" t="n">
        <v>46185</v>
      </c>
      <c r="E321" s="1" t="n">
        <v>46216</v>
      </c>
      <c r="F321" t="inlineStr">
        <is>
          <t>VÄSTERBOTTENS LÄN</t>
        </is>
      </c>
      <c r="G321" t="inlineStr">
        <is>
          <t>BJURHOLM</t>
        </is>
      </c>
      <c r="H321" t="inlineStr">
        <is>
          <t>Sveaskog</t>
        </is>
      </c>
      <c r="I321" t="n">
        <v>7.5</v>
      </c>
      <c r="J321" t="n">
        <v>0</v>
      </c>
      <c r="K321" t="n">
        <v>0</v>
      </c>
      <c r="L321" t="n">
        <v>0</v>
      </c>
      <c r="M321" t="n">
        <v>0</v>
      </c>
      <c r="N321" t="n">
        <v>0</v>
      </c>
      <c r="O321" t="n">
        <v>0</v>
      </c>
      <c r="P321" t="n">
        <v>0</v>
      </c>
      <c r="Q321" t="n">
        <v>0</v>
      </c>
      <c r="R321" t="n">
        <v>0</v>
      </c>
      <c r="S321" t="n">
        <v>0</v>
      </c>
      <c r="T321" t="n">
        <v>0</v>
      </c>
      <c r="U321" s="2" t="inlineStr"/>
    </row>
    <row r="322" ht="15" customHeight="1">
      <c r="A322" t="inlineStr">
        <is>
          <t>A 20836-2026</t>
        </is>
      </c>
      <c r="B322" t="inlineStr">
        <is>
          <t>avverkningsanmälan</t>
        </is>
      </c>
      <c r="C322" t="inlineStr">
        <is>
          <t>Föryngringsavverkning</t>
        </is>
      </c>
      <c r="D322" s="1" t="n">
        <v>46142</v>
      </c>
      <c r="E322" s="1" t="n">
        <v>46216</v>
      </c>
      <c r="F322" t="inlineStr">
        <is>
          <t>VÄSTERBOTTENS LÄN</t>
        </is>
      </c>
      <c r="G322" t="inlineStr">
        <is>
          <t>BJURHOLM</t>
        </is>
      </c>
      <c r="H322" t="inlineStr">
        <is>
          <t>Holmen skog AB</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27022-2026</t>
        </is>
      </c>
      <c r="B323" t="inlineStr">
        <is>
          <t>avverkningsanmälan</t>
        </is>
      </c>
      <c r="C323" t="inlineStr">
        <is>
          <t>Föryngringsavverkning</t>
        </is>
      </c>
      <c r="D323" s="1" t="n">
        <v>46185</v>
      </c>
      <c r="E323" s="1" t="n">
        <v>46216</v>
      </c>
      <c r="F323" t="inlineStr">
        <is>
          <t>VÄSTERBOTTENS LÄN</t>
        </is>
      </c>
      <c r="G323" t="inlineStr">
        <is>
          <t>BJURHOLM</t>
        </is>
      </c>
      <c r="H323" t="inlineStr">
        <is>
          <t>Sveaskog</t>
        </is>
      </c>
      <c r="I323" t="n">
        <v>18.6</v>
      </c>
      <c r="J323" t="n">
        <v>0</v>
      </c>
      <c r="K323" t="n">
        <v>0</v>
      </c>
      <c r="L323" t="n">
        <v>0</v>
      </c>
      <c r="M323" t="n">
        <v>0</v>
      </c>
      <c r="N323" t="n">
        <v>0</v>
      </c>
      <c r="O323" t="n">
        <v>0</v>
      </c>
      <c r="P323" t="n">
        <v>0</v>
      </c>
      <c r="Q323" t="n">
        <v>0</v>
      </c>
      <c r="R323" t="n">
        <v>0</v>
      </c>
      <c r="S323" t="n">
        <v>0</v>
      </c>
      <c r="T323" t="n">
        <v>0</v>
      </c>
      <c r="U323" s="2" t="inlineStr"/>
    </row>
    <row r="324" ht="15" customHeight="1">
      <c r="A324" t="inlineStr">
        <is>
          <t>A 26955-2026</t>
        </is>
      </c>
      <c r="B324" t="inlineStr">
        <is>
          <t>avverkningsanmälan</t>
        </is>
      </c>
      <c r="C324" t="inlineStr">
        <is>
          <t>Föryngringsavverkning</t>
        </is>
      </c>
      <c r="D324" s="1" t="n">
        <v>46185</v>
      </c>
      <c r="E324" s="1" t="n">
        <v>46216</v>
      </c>
      <c r="F324" t="inlineStr">
        <is>
          <t>VÄSTERBOTTENS LÄN</t>
        </is>
      </c>
      <c r="G324" t="inlineStr">
        <is>
          <t>BJURHOLM</t>
        </is>
      </c>
      <c r="H324" t="inlineStr">
        <is>
          <t>Sveaskog</t>
        </is>
      </c>
      <c r="I324" t="n">
        <v>8.199999999999999</v>
      </c>
      <c r="J324" t="n">
        <v>0</v>
      </c>
      <c r="K324" t="n">
        <v>0</v>
      </c>
      <c r="L324" t="n">
        <v>0</v>
      </c>
      <c r="M324" t="n">
        <v>0</v>
      </c>
      <c r="N324" t="n">
        <v>0</v>
      </c>
      <c r="O324" t="n">
        <v>0</v>
      </c>
      <c r="P324" t="n">
        <v>0</v>
      </c>
      <c r="Q324" t="n">
        <v>0</v>
      </c>
      <c r="R324" t="n">
        <v>0</v>
      </c>
      <c r="S324" t="n">
        <v>0</v>
      </c>
      <c r="T324" t="n">
        <v>0</v>
      </c>
      <c r="U324" s="2" t="inlineStr"/>
    </row>
    <row r="325" ht="15" customHeight="1">
      <c r="A325" t="inlineStr">
        <is>
          <t>A 36484-2024</t>
        </is>
      </c>
      <c r="B325" t="inlineStr">
        <is>
          <t>avverkningsanmälan</t>
        </is>
      </c>
      <c r="C325" t="inlineStr">
        <is>
          <t>Föryngringsavverkning</t>
        </is>
      </c>
      <c r="D325" s="1" t="n">
        <v>45537</v>
      </c>
      <c r="E325" s="1" t="n">
        <v>46216</v>
      </c>
      <c r="F325" t="inlineStr">
        <is>
          <t>VÄSTERBOTTENS LÄN</t>
        </is>
      </c>
      <c r="G325" t="inlineStr">
        <is>
          <t>BJURHOLM</t>
        </is>
      </c>
      <c r="I325" t="n">
        <v>11.2</v>
      </c>
      <c r="J325" t="n">
        <v>0</v>
      </c>
      <c r="K325" t="n">
        <v>0</v>
      </c>
      <c r="L325" t="n">
        <v>0</v>
      </c>
      <c r="M325" t="n">
        <v>0</v>
      </c>
      <c r="N325" t="n">
        <v>0</v>
      </c>
      <c r="O325" t="n">
        <v>0</v>
      </c>
      <c r="P325" t="n">
        <v>0</v>
      </c>
      <c r="Q325" t="n">
        <v>0</v>
      </c>
      <c r="R325" t="n">
        <v>0</v>
      </c>
      <c r="S325" t="n">
        <v>0</v>
      </c>
      <c r="T325" t="n">
        <v>0</v>
      </c>
      <c r="U325" s="2" t="inlineStr"/>
    </row>
    <row r="326" ht="15" customHeight="1">
      <c r="A326" t="inlineStr">
        <is>
          <t>A 53374-2024</t>
        </is>
      </c>
      <c r="B326" t="inlineStr">
        <is>
          <t>avverkningsanmälan</t>
        </is>
      </c>
      <c r="C326" t="inlineStr">
        <is>
          <t>Föryngringsavverkning</t>
        </is>
      </c>
      <c r="D326" s="1" t="n">
        <v>45614</v>
      </c>
      <c r="E326" s="1" t="n">
        <v>46216</v>
      </c>
      <c r="F326" t="inlineStr">
        <is>
          <t>VÄSTERBOTTENS LÄN</t>
        </is>
      </c>
      <c r="G326" t="inlineStr">
        <is>
          <t>BJURHOLM</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33460-2022</t>
        </is>
      </c>
      <c r="B327" t="inlineStr">
        <is>
          <t>avverkningsanmälan</t>
        </is>
      </c>
      <c r="C327" t="inlineStr">
        <is>
          <t>Föryngringsavverkning</t>
        </is>
      </c>
      <c r="D327" s="1" t="n">
        <v>44788</v>
      </c>
      <c r="E327" s="1" t="n">
        <v>46216</v>
      </c>
      <c r="F327" t="inlineStr">
        <is>
          <t>VÄSTERBOTTENS LÄN</t>
        </is>
      </c>
      <c r="G327" t="inlineStr">
        <is>
          <t>BJURHOLM</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7683-2024</t>
        </is>
      </c>
      <c r="B328" t="inlineStr">
        <is>
          <t>avverkningsanmälan</t>
        </is>
      </c>
      <c r="C328" t="inlineStr">
        <is>
          <t>Föryngringsavverkning</t>
        </is>
      </c>
      <c r="D328" s="1" t="n">
        <v>45348</v>
      </c>
      <c r="E328" s="1" t="n">
        <v>46216</v>
      </c>
      <c r="F328" t="inlineStr">
        <is>
          <t>VÄSTERBOTTENS LÄN</t>
        </is>
      </c>
      <c r="G328" t="inlineStr">
        <is>
          <t>BJURHOLM</t>
        </is>
      </c>
      <c r="I328" t="n">
        <v>11.5</v>
      </c>
      <c r="J328" t="n">
        <v>0</v>
      </c>
      <c r="K328" t="n">
        <v>0</v>
      </c>
      <c r="L328" t="n">
        <v>0</v>
      </c>
      <c r="M328" t="n">
        <v>0</v>
      </c>
      <c r="N328" t="n">
        <v>0</v>
      </c>
      <c r="O328" t="n">
        <v>0</v>
      </c>
      <c r="P328" t="n">
        <v>0</v>
      </c>
      <c r="Q328" t="n">
        <v>0</v>
      </c>
      <c r="R328" t="n">
        <v>0</v>
      </c>
      <c r="S328" t="n">
        <v>0</v>
      </c>
      <c r="T328" t="n">
        <v>0</v>
      </c>
      <c r="U328" s="2" t="inlineStr"/>
    </row>
    <row r="329" ht="15" customHeight="1">
      <c r="A329" t="inlineStr">
        <is>
          <t>A 7728-2024</t>
        </is>
      </c>
      <c r="B329" t="inlineStr">
        <is>
          <t>avverkningsanmälan</t>
        </is>
      </c>
      <c r="C329" t="inlineStr">
        <is>
          <t>Föryngringsavverkning</t>
        </is>
      </c>
      <c r="D329" s="1" t="n">
        <v>45348</v>
      </c>
      <c r="E329" s="1" t="n">
        <v>46216</v>
      </c>
      <c r="F329" t="inlineStr">
        <is>
          <t>VÄSTERBOTTENS LÄN</t>
        </is>
      </c>
      <c r="G329" t="inlineStr">
        <is>
          <t>BJURHOLM</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14071-2023</t>
        </is>
      </c>
      <c r="B330" t="inlineStr">
        <is>
          <t>avverkningsanmälan</t>
        </is>
      </c>
      <c r="C330" t="inlineStr">
        <is>
          <t>Föryngringsavverkning</t>
        </is>
      </c>
      <c r="D330" s="1" t="n">
        <v>45009</v>
      </c>
      <c r="E330" s="1" t="n">
        <v>46216</v>
      </c>
      <c r="F330" t="inlineStr">
        <is>
          <t>VÄSTERBOTTENS LÄN</t>
        </is>
      </c>
      <c r="G330" t="inlineStr">
        <is>
          <t>BJURHOLM</t>
        </is>
      </c>
      <c r="H330" t="inlineStr">
        <is>
          <t>SCA</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27172-2026</t>
        </is>
      </c>
      <c r="B331" t="inlineStr">
        <is>
          <t>avverkningsanmälan</t>
        </is>
      </c>
      <c r="C331" t="inlineStr">
        <is>
          <t>Föryngringsavverkning</t>
        </is>
      </c>
      <c r="D331" s="1" t="n">
        <v>46188</v>
      </c>
      <c r="E331" s="1" t="n">
        <v>46216</v>
      </c>
      <c r="F331" t="inlineStr">
        <is>
          <t>VÄSTERBOTTENS LÄN</t>
        </is>
      </c>
      <c r="G331" t="inlineStr">
        <is>
          <t>BJURHOLM</t>
        </is>
      </c>
      <c r="H331" t="inlineStr">
        <is>
          <t>Sveaskog</t>
        </is>
      </c>
      <c r="I331" t="n">
        <v>7.8</v>
      </c>
      <c r="J331" t="n">
        <v>0</v>
      </c>
      <c r="K331" t="n">
        <v>0</v>
      </c>
      <c r="L331" t="n">
        <v>0</v>
      </c>
      <c r="M331" t="n">
        <v>0</v>
      </c>
      <c r="N331" t="n">
        <v>0</v>
      </c>
      <c r="O331" t="n">
        <v>0</v>
      </c>
      <c r="P331" t="n">
        <v>0</v>
      </c>
      <c r="Q331" t="n">
        <v>0</v>
      </c>
      <c r="R331" t="n">
        <v>0</v>
      </c>
      <c r="S331" t="n">
        <v>0</v>
      </c>
      <c r="T331" t="n">
        <v>0</v>
      </c>
      <c r="U331" s="2" t="inlineStr"/>
    </row>
    <row r="332" ht="15" customHeight="1">
      <c r="A332" t="inlineStr">
        <is>
          <t>A 55542-2022</t>
        </is>
      </c>
      <c r="B332" t="inlineStr">
        <is>
          <t>avverkningsanmälan</t>
        </is>
      </c>
      <c r="C332" t="inlineStr">
        <is>
          <t>Avverkning för att bevara och utveckla /försöksver</t>
        </is>
      </c>
      <c r="D332" s="1" t="n">
        <v>44887</v>
      </c>
      <c r="E332" s="1" t="n">
        <v>46216</v>
      </c>
      <c r="F332" t="inlineStr">
        <is>
          <t>VÄSTERBOTTENS LÄN</t>
        </is>
      </c>
      <c r="G332" t="inlineStr">
        <is>
          <t>BJURHOLM</t>
        </is>
      </c>
      <c r="H332" t="inlineStr">
        <is>
          <t>SCA</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1877-2024</t>
        </is>
      </c>
      <c r="B333" t="inlineStr">
        <is>
          <t>avverkningsanmälan</t>
        </is>
      </c>
      <c r="C333" t="inlineStr">
        <is>
          <t>Föryngringsavverkning</t>
        </is>
      </c>
      <c r="D333" s="1" t="n">
        <v>45307</v>
      </c>
      <c r="E333" s="1" t="n">
        <v>46216</v>
      </c>
      <c r="F333" t="inlineStr">
        <is>
          <t>VÄSTERBOTTENS LÄN</t>
        </is>
      </c>
      <c r="G333" t="inlineStr">
        <is>
          <t>BJURHOLM</t>
        </is>
      </c>
      <c r="I333" t="n">
        <v>7.9</v>
      </c>
      <c r="J333" t="n">
        <v>0</v>
      </c>
      <c r="K333" t="n">
        <v>0</v>
      </c>
      <c r="L333" t="n">
        <v>0</v>
      </c>
      <c r="M333" t="n">
        <v>0</v>
      </c>
      <c r="N333" t="n">
        <v>0</v>
      </c>
      <c r="O333" t="n">
        <v>0</v>
      </c>
      <c r="P333" t="n">
        <v>0</v>
      </c>
      <c r="Q333" t="n">
        <v>0</v>
      </c>
      <c r="R333" t="n">
        <v>0</v>
      </c>
      <c r="S333" t="n">
        <v>0</v>
      </c>
      <c r="T333" t="n">
        <v>0</v>
      </c>
      <c r="U333" s="2" t="inlineStr"/>
    </row>
    <row r="334" ht="15" customHeight="1">
      <c r="A334" t="inlineStr">
        <is>
          <t>A 47591-2024</t>
        </is>
      </c>
      <c r="B334" t="inlineStr">
        <is>
          <t>avverkningsanmälan</t>
        </is>
      </c>
      <c r="C334" t="inlineStr">
        <is>
          <t>Föryngringsavverkning</t>
        </is>
      </c>
      <c r="D334" s="1" t="n">
        <v>45587</v>
      </c>
      <c r="E334" s="1" t="n">
        <v>46216</v>
      </c>
      <c r="F334" t="inlineStr">
        <is>
          <t>VÄSTERBOTTENS LÄN</t>
        </is>
      </c>
      <c r="G334" t="inlineStr">
        <is>
          <t>BJURHOLM</t>
        </is>
      </c>
      <c r="I334" t="n">
        <v>5.4</v>
      </c>
      <c r="J334" t="n">
        <v>0</v>
      </c>
      <c r="K334" t="n">
        <v>0</v>
      </c>
      <c r="L334" t="n">
        <v>0</v>
      </c>
      <c r="M334" t="n">
        <v>0</v>
      </c>
      <c r="N334" t="n">
        <v>0</v>
      </c>
      <c r="O334" t="n">
        <v>0</v>
      </c>
      <c r="P334" t="n">
        <v>0</v>
      </c>
      <c r="Q334" t="n">
        <v>0</v>
      </c>
      <c r="R334" t="n">
        <v>0</v>
      </c>
      <c r="S334" t="n">
        <v>0</v>
      </c>
      <c r="T334" t="n">
        <v>0</v>
      </c>
      <c r="U334" s="2" t="inlineStr"/>
    </row>
    <row r="335" ht="15" customHeight="1">
      <c r="A335" t="inlineStr">
        <is>
          <t>A 10984-2023</t>
        </is>
      </c>
      <c r="B335" t="inlineStr">
        <is>
          <t>avverkningsanmälan</t>
        </is>
      </c>
      <c r="C335" t="inlineStr">
        <is>
          <t>Föryngringsavverkning</t>
        </is>
      </c>
      <c r="D335" s="1" t="n">
        <v>44985</v>
      </c>
      <c r="E335" s="1" t="n">
        <v>46216</v>
      </c>
      <c r="F335" t="inlineStr">
        <is>
          <t>VÄSTERBOTTENS LÄN</t>
        </is>
      </c>
      <c r="G335" t="inlineStr">
        <is>
          <t>BJURHOLM</t>
        </is>
      </c>
      <c r="I335" t="n">
        <v>4</v>
      </c>
      <c r="J335" t="n">
        <v>0</v>
      </c>
      <c r="K335" t="n">
        <v>0</v>
      </c>
      <c r="L335" t="n">
        <v>0</v>
      </c>
      <c r="M335" t="n">
        <v>0</v>
      </c>
      <c r="N335" t="n">
        <v>0</v>
      </c>
      <c r="O335" t="n">
        <v>0</v>
      </c>
      <c r="P335" t="n">
        <v>0</v>
      </c>
      <c r="Q335" t="n">
        <v>0</v>
      </c>
      <c r="R335" t="n">
        <v>0</v>
      </c>
      <c r="S335" t="n">
        <v>0</v>
      </c>
      <c r="T335" t="n">
        <v>0</v>
      </c>
      <c r="U335" s="2" t="inlineStr"/>
    </row>
    <row r="336" ht="15" customHeight="1">
      <c r="A336" t="inlineStr">
        <is>
          <t>A 27592-2026</t>
        </is>
      </c>
      <c r="B336" t="inlineStr">
        <is>
          <t>avverkningsanmälan</t>
        </is>
      </c>
      <c r="C336" t="inlineStr">
        <is>
          <t>Föryngringsavverkning</t>
        </is>
      </c>
      <c r="D336" s="1" t="n">
        <v>46190</v>
      </c>
      <c r="E336" s="1" t="n">
        <v>46216</v>
      </c>
      <c r="F336" t="inlineStr">
        <is>
          <t>VÄSTERBOTTENS LÄN</t>
        </is>
      </c>
      <c r="G336" t="inlineStr">
        <is>
          <t>BJURHOLM</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23184-2024</t>
        </is>
      </c>
      <c r="B337" t="inlineStr">
        <is>
          <t>avverkningsanmälan</t>
        </is>
      </c>
      <c r="C337" t="inlineStr">
        <is>
          <t>Föryngringsavverkning</t>
        </is>
      </c>
      <c r="D337" s="1" t="n">
        <v>45450</v>
      </c>
      <c r="E337" s="1" t="n">
        <v>46216</v>
      </c>
      <c r="F337" t="inlineStr">
        <is>
          <t>VÄSTERBOTTENS LÄN</t>
        </is>
      </c>
      <c r="G337" t="inlineStr">
        <is>
          <t>BJURHOLM</t>
        </is>
      </c>
      <c r="H337" t="inlineStr">
        <is>
          <t>SCA</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8510-2024</t>
        </is>
      </c>
      <c r="B338" t="inlineStr">
        <is>
          <t>avverkningsanmälan</t>
        </is>
      </c>
      <c r="C338" t="inlineStr">
        <is>
          <t>Föryngringsavverkning</t>
        </is>
      </c>
      <c r="D338" s="1" t="n">
        <v>45351</v>
      </c>
      <c r="E338" s="1" t="n">
        <v>46216</v>
      </c>
      <c r="F338" t="inlineStr">
        <is>
          <t>VÄSTERBOTTENS LÄN</t>
        </is>
      </c>
      <c r="G338" t="inlineStr">
        <is>
          <t>BJURHOLM</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27594-2026</t>
        </is>
      </c>
      <c r="B339" t="inlineStr">
        <is>
          <t>avverkningsanmälan</t>
        </is>
      </c>
      <c r="C339" t="inlineStr">
        <is>
          <t>Föryngringsavverkning</t>
        </is>
      </c>
      <c r="D339" s="1" t="n">
        <v>46190</v>
      </c>
      <c r="E339" s="1" t="n">
        <v>46216</v>
      </c>
      <c r="F339" t="inlineStr">
        <is>
          <t>VÄSTERBOTTENS LÄN</t>
        </is>
      </c>
      <c r="G339" t="inlineStr">
        <is>
          <t>BJURHOLM</t>
        </is>
      </c>
      <c r="I339" t="n">
        <v>4.5</v>
      </c>
      <c r="J339" t="n">
        <v>0</v>
      </c>
      <c r="K339" t="n">
        <v>0</v>
      </c>
      <c r="L339" t="n">
        <v>0</v>
      </c>
      <c r="M339" t="n">
        <v>0</v>
      </c>
      <c r="N339" t="n">
        <v>0</v>
      </c>
      <c r="O339" t="n">
        <v>0</v>
      </c>
      <c r="P339" t="n">
        <v>0</v>
      </c>
      <c r="Q339" t="n">
        <v>0</v>
      </c>
      <c r="R339" t="n">
        <v>0</v>
      </c>
      <c r="S339" t="n">
        <v>0</v>
      </c>
      <c r="T339" t="n">
        <v>0</v>
      </c>
      <c r="U339" s="2" t="inlineStr"/>
    </row>
    <row r="340" ht="15" customHeight="1">
      <c r="A340" t="inlineStr">
        <is>
          <t>A 27757-2026</t>
        </is>
      </c>
      <c r="B340" t="inlineStr">
        <is>
          <t>avverkningsanmälan</t>
        </is>
      </c>
      <c r="C340" t="inlineStr">
        <is>
          <t>Föryngringsavverkning</t>
        </is>
      </c>
      <c r="D340" s="1" t="n">
        <v>46191</v>
      </c>
      <c r="E340" s="1" t="n">
        <v>46216</v>
      </c>
      <c r="F340" t="inlineStr">
        <is>
          <t>VÄSTERBOTTENS LÄN</t>
        </is>
      </c>
      <c r="G340" t="inlineStr">
        <is>
          <t>BJURHOLM</t>
        </is>
      </c>
      <c r="H340" t="inlineStr">
        <is>
          <t>Holmen skog AB</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22091-2026</t>
        </is>
      </c>
      <c r="B341" t="inlineStr">
        <is>
          <t>avverkningsanmälan</t>
        </is>
      </c>
      <c r="C341" t="inlineStr">
        <is>
          <t>Föryngringsavverkning</t>
        </is>
      </c>
      <c r="D341" s="1" t="n">
        <v>46153</v>
      </c>
      <c r="E341" s="1" t="n">
        <v>46216</v>
      </c>
      <c r="F341" t="inlineStr">
        <is>
          <t>VÄSTERBOTTENS LÄN</t>
        </is>
      </c>
      <c r="G341" t="inlineStr">
        <is>
          <t>BJURHOLM</t>
        </is>
      </c>
      <c r="H341" t="inlineStr">
        <is>
          <t>Holmen skog AB</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28053-2026</t>
        </is>
      </c>
      <c r="B342" t="inlineStr">
        <is>
          <t>avverkningsanmälan</t>
        </is>
      </c>
      <c r="C342" t="inlineStr">
        <is>
          <t>Föryngringsavverkning</t>
        </is>
      </c>
      <c r="D342" s="1" t="n">
        <v>46195</v>
      </c>
      <c r="E342" s="1" t="n">
        <v>46216</v>
      </c>
      <c r="F342" t="inlineStr">
        <is>
          <t>VÄSTERBOTTENS LÄN</t>
        </is>
      </c>
      <c r="G342" t="inlineStr">
        <is>
          <t>BJURHOLM</t>
        </is>
      </c>
      <c r="H342" t="inlineStr">
        <is>
          <t>Holmen skog AB</t>
        </is>
      </c>
      <c r="I342" t="n">
        <v>6.8</v>
      </c>
      <c r="J342" t="n">
        <v>0</v>
      </c>
      <c r="K342" t="n">
        <v>0</v>
      </c>
      <c r="L342" t="n">
        <v>0</v>
      </c>
      <c r="M342" t="n">
        <v>0</v>
      </c>
      <c r="N342" t="n">
        <v>0</v>
      </c>
      <c r="O342" t="n">
        <v>0</v>
      </c>
      <c r="P342" t="n">
        <v>0</v>
      </c>
      <c r="Q342" t="n">
        <v>0</v>
      </c>
      <c r="R342" t="n">
        <v>0</v>
      </c>
      <c r="S342" t="n">
        <v>0</v>
      </c>
      <c r="T342" t="n">
        <v>0</v>
      </c>
      <c r="U342" s="2" t="inlineStr"/>
    </row>
    <row r="343" ht="15" customHeight="1">
      <c r="A343" t="inlineStr">
        <is>
          <t>A 59675-2021</t>
        </is>
      </c>
      <c r="B343" t="inlineStr">
        <is>
          <t>avverkningsanmälan</t>
        </is>
      </c>
      <c r="C343" t="inlineStr">
        <is>
          <t>Avverkning för annat ändamål</t>
        </is>
      </c>
      <c r="D343" s="1" t="n">
        <v>44494</v>
      </c>
      <c r="E343" s="1" t="n">
        <v>46216</v>
      </c>
      <c r="F343" t="inlineStr">
        <is>
          <t>VÄSTERBOTTENS LÄN</t>
        </is>
      </c>
      <c r="G343" t="inlineStr">
        <is>
          <t>BJURHOLM</t>
        </is>
      </c>
      <c r="I343" t="n">
        <v>0.1</v>
      </c>
      <c r="J343" t="n">
        <v>0</v>
      </c>
      <c r="K343" t="n">
        <v>0</v>
      </c>
      <c r="L343" t="n">
        <v>0</v>
      </c>
      <c r="M343" t="n">
        <v>0</v>
      </c>
      <c r="N343" t="n">
        <v>0</v>
      </c>
      <c r="O343" t="n">
        <v>0</v>
      </c>
      <c r="P343" t="n">
        <v>0</v>
      </c>
      <c r="Q343" t="n">
        <v>0</v>
      </c>
      <c r="R343" t="n">
        <v>0</v>
      </c>
      <c r="S343" t="n">
        <v>0</v>
      </c>
      <c r="T343" t="n">
        <v>0</v>
      </c>
      <c r="U343" s="2" t="inlineStr"/>
    </row>
    <row r="344" ht="15" customHeight="1">
      <c r="A344" t="inlineStr">
        <is>
          <t>A 22109-2026</t>
        </is>
      </c>
      <c r="B344" t="inlineStr">
        <is>
          <t>avverkningsanmälan</t>
        </is>
      </c>
      <c r="C344" t="inlineStr">
        <is>
          <t>Föryngringsavverkning</t>
        </is>
      </c>
      <c r="D344" s="1" t="n">
        <v>46153</v>
      </c>
      <c r="E344" s="1" t="n">
        <v>46216</v>
      </c>
      <c r="F344" t="inlineStr">
        <is>
          <t>VÄSTERBOTTENS LÄN</t>
        </is>
      </c>
      <c r="G344" t="inlineStr">
        <is>
          <t>BJURHOLM</t>
        </is>
      </c>
      <c r="H344" t="inlineStr">
        <is>
          <t>Holmen skog AB</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7908-2022</t>
        </is>
      </c>
      <c r="B345" t="inlineStr">
        <is>
          <t>avverkningsanmälan</t>
        </is>
      </c>
      <c r="C345" t="inlineStr">
        <is>
          <t>Föryngringsavverkning</t>
        </is>
      </c>
      <c r="D345" s="1" t="n">
        <v>44608</v>
      </c>
      <c r="E345" s="1" t="n">
        <v>46216</v>
      </c>
      <c r="F345" t="inlineStr">
        <is>
          <t>VÄSTERBOTTENS LÄN</t>
        </is>
      </c>
      <c r="G345" t="inlineStr">
        <is>
          <t>BJURHOLM</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28410-2026</t>
        </is>
      </c>
      <c r="B346" t="inlineStr">
        <is>
          <t>avverkningsanmälan</t>
        </is>
      </c>
      <c r="C346" t="inlineStr">
        <is>
          <t>Föryngringsavverkning</t>
        </is>
      </c>
      <c r="D346" s="1" t="n">
        <v>46197</v>
      </c>
      <c r="E346" s="1" t="n">
        <v>46216</v>
      </c>
      <c r="F346" t="inlineStr">
        <is>
          <t>VÄSTERBOTTENS LÄN</t>
        </is>
      </c>
      <c r="G346" t="inlineStr">
        <is>
          <t>BJURHOLM</t>
        </is>
      </c>
      <c r="H346" t="inlineStr">
        <is>
          <t>Holmen skog AB</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28462-2026</t>
        </is>
      </c>
      <c r="B347" t="inlineStr">
        <is>
          <t>avverkningsanmälan</t>
        </is>
      </c>
      <c r="C347" t="inlineStr">
        <is>
          <t>Föryngringsavverkning</t>
        </is>
      </c>
      <c r="D347" s="1" t="n">
        <v>46197</v>
      </c>
      <c r="E347" s="1" t="n">
        <v>46216</v>
      </c>
      <c r="F347" t="inlineStr">
        <is>
          <t>VÄSTERBOTTENS LÄN</t>
        </is>
      </c>
      <c r="G347" t="inlineStr">
        <is>
          <t>BJURHOLM</t>
        </is>
      </c>
      <c r="I347" t="n">
        <v>6.9</v>
      </c>
      <c r="J347" t="n">
        <v>0</v>
      </c>
      <c r="K347" t="n">
        <v>0</v>
      </c>
      <c r="L347" t="n">
        <v>0</v>
      </c>
      <c r="M347" t="n">
        <v>0</v>
      </c>
      <c r="N347" t="n">
        <v>0</v>
      </c>
      <c r="O347" t="n">
        <v>0</v>
      </c>
      <c r="P347" t="n">
        <v>0</v>
      </c>
      <c r="Q347" t="n">
        <v>0</v>
      </c>
      <c r="R347" t="n">
        <v>0</v>
      </c>
      <c r="S347" t="n">
        <v>0</v>
      </c>
      <c r="T347" t="n">
        <v>0</v>
      </c>
      <c r="U347" s="2" t="inlineStr"/>
    </row>
    <row r="348" ht="15" customHeight="1">
      <c r="A348" t="inlineStr">
        <is>
          <t>A 28413-2026</t>
        </is>
      </c>
      <c r="B348" t="inlineStr">
        <is>
          <t>avverkningsanmälan</t>
        </is>
      </c>
      <c r="C348" t="inlineStr">
        <is>
          <t>Föryngringsavverkning</t>
        </is>
      </c>
      <c r="D348" s="1" t="n">
        <v>46197</v>
      </c>
      <c r="E348" s="1" t="n">
        <v>46216</v>
      </c>
      <c r="F348" t="inlineStr">
        <is>
          <t>VÄSTERBOTTENS LÄN</t>
        </is>
      </c>
      <c r="G348" t="inlineStr">
        <is>
          <t>BJURHOLM</t>
        </is>
      </c>
      <c r="H348" t="inlineStr">
        <is>
          <t>SCA</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44777-2023</t>
        </is>
      </c>
      <c r="B349" t="inlineStr">
        <is>
          <t>avverkningsanmälan</t>
        </is>
      </c>
      <c r="C349" t="inlineStr">
        <is>
          <t>Föryngringsavverkning</t>
        </is>
      </c>
      <c r="D349" s="1" t="n">
        <v>45190</v>
      </c>
      <c r="E349" s="1" t="n">
        <v>46216</v>
      </c>
      <c r="F349" t="inlineStr">
        <is>
          <t>VÄSTERBOTTENS LÄN</t>
        </is>
      </c>
      <c r="G349" t="inlineStr">
        <is>
          <t>BJURHOLM</t>
        </is>
      </c>
      <c r="H349" t="inlineStr">
        <is>
          <t>Holmen skog AB</t>
        </is>
      </c>
      <c r="I349" t="n">
        <v>10.7</v>
      </c>
      <c r="J349" t="n">
        <v>0</v>
      </c>
      <c r="K349" t="n">
        <v>0</v>
      </c>
      <c r="L349" t="n">
        <v>0</v>
      </c>
      <c r="M349" t="n">
        <v>0</v>
      </c>
      <c r="N349" t="n">
        <v>0</v>
      </c>
      <c r="O349" t="n">
        <v>0</v>
      </c>
      <c r="P349" t="n">
        <v>0</v>
      </c>
      <c r="Q349" t="n">
        <v>0</v>
      </c>
      <c r="R349" t="n">
        <v>0</v>
      </c>
      <c r="S349" t="n">
        <v>0</v>
      </c>
      <c r="T349" t="n">
        <v>0</v>
      </c>
      <c r="U349" s="2" t="inlineStr"/>
    </row>
    <row r="350" ht="15" customHeight="1">
      <c r="A350" t="inlineStr">
        <is>
          <t>A 16081-2024</t>
        </is>
      </c>
      <c r="B350" t="inlineStr">
        <is>
          <t>avverkningsanmälan</t>
        </is>
      </c>
      <c r="C350" t="inlineStr">
        <is>
          <t>Föryngringsavverkning</t>
        </is>
      </c>
      <c r="D350" s="1" t="n">
        <v>45406</v>
      </c>
      <c r="E350" s="1" t="n">
        <v>46216</v>
      </c>
      <c r="F350" t="inlineStr">
        <is>
          <t>VÄSTERBOTTENS LÄN</t>
        </is>
      </c>
      <c r="G350" t="inlineStr">
        <is>
          <t>BJURHOLM</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8644-2023</t>
        </is>
      </c>
      <c r="B351" t="inlineStr">
        <is>
          <t>avverkningsanmälan</t>
        </is>
      </c>
      <c r="C351" t="inlineStr">
        <is>
          <t>Föryngringsavverkning</t>
        </is>
      </c>
      <c r="D351" s="1" t="n">
        <v>44977</v>
      </c>
      <c r="E351" s="1" t="n">
        <v>46216</v>
      </c>
      <c r="F351" t="inlineStr">
        <is>
          <t>VÄSTERBOTTENS LÄN</t>
        </is>
      </c>
      <c r="G351" t="inlineStr">
        <is>
          <t>BJURHOLM</t>
        </is>
      </c>
      <c r="H351" t="inlineStr">
        <is>
          <t>SCA</t>
        </is>
      </c>
      <c r="I351" t="n">
        <v>3.8</v>
      </c>
      <c r="J351" t="n">
        <v>0</v>
      </c>
      <c r="K351" t="n">
        <v>0</v>
      </c>
      <c r="L351" t="n">
        <v>0</v>
      </c>
      <c r="M351" t="n">
        <v>0</v>
      </c>
      <c r="N351" t="n">
        <v>0</v>
      </c>
      <c r="O351" t="n">
        <v>0</v>
      </c>
      <c r="P351" t="n">
        <v>0</v>
      </c>
      <c r="Q351" t="n">
        <v>0</v>
      </c>
      <c r="R351" t="n">
        <v>0</v>
      </c>
      <c r="S351" t="n">
        <v>0</v>
      </c>
      <c r="T351" t="n">
        <v>0</v>
      </c>
      <c r="U351" s="2" t="inlineStr"/>
    </row>
    <row r="352" ht="15" customHeight="1">
      <c r="A352" t="inlineStr">
        <is>
          <t>A 41505-2021</t>
        </is>
      </c>
      <c r="B352" t="inlineStr">
        <is>
          <t>avverkningsanmälan</t>
        </is>
      </c>
      <c r="C352" t="inlineStr">
        <is>
          <t>Föryngringsavverkning</t>
        </is>
      </c>
      <c r="D352" s="1" t="n">
        <v>44424</v>
      </c>
      <c r="E352" s="1" t="n">
        <v>46216</v>
      </c>
      <c r="F352" t="inlineStr">
        <is>
          <t>VÄSTERBOTTENS LÄN</t>
        </is>
      </c>
      <c r="G352" t="inlineStr">
        <is>
          <t>BJURHOLM</t>
        </is>
      </c>
      <c r="H352" t="inlineStr">
        <is>
          <t>SCA</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28858-2026</t>
        </is>
      </c>
      <c r="B353" t="inlineStr">
        <is>
          <t>avverkningsanmälan</t>
        </is>
      </c>
      <c r="C353" t="inlineStr">
        <is>
          <t>Föryngringsavverkning</t>
        </is>
      </c>
      <c r="D353" s="1" t="n">
        <v>46198</v>
      </c>
      <c r="E353" s="1" t="n">
        <v>46216</v>
      </c>
      <c r="F353" t="inlineStr">
        <is>
          <t>VÄSTERBOTTENS LÄN</t>
        </is>
      </c>
      <c r="G353" t="inlineStr">
        <is>
          <t>BJURHOLM</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6658-2022</t>
        </is>
      </c>
      <c r="B354" t="inlineStr">
        <is>
          <t>avverkningsanmälan</t>
        </is>
      </c>
      <c r="C354" t="inlineStr">
        <is>
          <t>Avverkning för annat ändamål</t>
        </is>
      </c>
      <c r="D354" s="1" t="n">
        <v>44602</v>
      </c>
      <c r="E354" s="1" t="n">
        <v>46216</v>
      </c>
      <c r="F354" t="inlineStr">
        <is>
          <t>VÄSTERBOTTENS LÄN</t>
        </is>
      </c>
      <c r="G354" t="inlineStr">
        <is>
          <t>BJURHOLM</t>
        </is>
      </c>
      <c r="H354" t="inlineStr">
        <is>
          <t>Holmen skog AB</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25944-2023</t>
        </is>
      </c>
      <c r="B355" t="inlineStr">
        <is>
          <t>avverkningsanmälan</t>
        </is>
      </c>
      <c r="C355" t="inlineStr">
        <is>
          <t>Föryngringsavverkning</t>
        </is>
      </c>
      <c r="D355" s="1" t="n">
        <v>45090</v>
      </c>
      <c r="E355" s="1" t="n">
        <v>46216</v>
      </c>
      <c r="F355" t="inlineStr">
        <is>
          <t>VÄSTERBOTTENS LÄN</t>
        </is>
      </c>
      <c r="G355" t="inlineStr">
        <is>
          <t>BJURHOLM</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29146-2026</t>
        </is>
      </c>
      <c r="B356" t="inlineStr">
        <is>
          <t>avverkningsanmälan</t>
        </is>
      </c>
      <c r="C356" t="inlineStr">
        <is>
          <t>Föryngringsavverkning</t>
        </is>
      </c>
      <c r="D356" s="1" t="n">
        <v>46202</v>
      </c>
      <c r="E356" s="1" t="n">
        <v>46216</v>
      </c>
      <c r="F356" t="inlineStr">
        <is>
          <t>VÄSTERBOTTENS LÄN</t>
        </is>
      </c>
      <c r="G356" t="inlineStr">
        <is>
          <t>BJURHOLM</t>
        </is>
      </c>
      <c r="H356" t="inlineStr">
        <is>
          <t>Holmen skog AB</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5541-2025</t>
        </is>
      </c>
      <c r="B357" t="inlineStr">
        <is>
          <t>avverkningsanmälan</t>
        </is>
      </c>
      <c r="C357" t="inlineStr">
        <is>
          <t>Föryngringsavverkning</t>
        </is>
      </c>
      <c r="D357" s="1" t="n">
        <v>45693</v>
      </c>
      <c r="E357" s="1" t="n">
        <v>46216</v>
      </c>
      <c r="F357" t="inlineStr">
        <is>
          <t>VÄSTERBOTTENS LÄN</t>
        </is>
      </c>
      <c r="G357" t="inlineStr">
        <is>
          <t>BJURHOLM</t>
        </is>
      </c>
      <c r="I357" t="n">
        <v>3.7</v>
      </c>
      <c r="J357" t="n">
        <v>0</v>
      </c>
      <c r="K357" t="n">
        <v>0</v>
      </c>
      <c r="L357" t="n">
        <v>0</v>
      </c>
      <c r="M357" t="n">
        <v>0</v>
      </c>
      <c r="N357" t="n">
        <v>0</v>
      </c>
      <c r="O357" t="n">
        <v>0</v>
      </c>
      <c r="P357" t="n">
        <v>0</v>
      </c>
      <c r="Q357" t="n">
        <v>0</v>
      </c>
      <c r="R357" t="n">
        <v>0</v>
      </c>
      <c r="S357" t="n">
        <v>0</v>
      </c>
      <c r="T357" t="n">
        <v>0</v>
      </c>
      <c r="U357" s="2" t="inlineStr"/>
    </row>
    <row r="358" ht="15" customHeight="1">
      <c r="A358" t="inlineStr">
        <is>
          <t>A 60224-2024</t>
        </is>
      </c>
      <c r="B358" t="inlineStr">
        <is>
          <t>avverkningsanmälan</t>
        </is>
      </c>
      <c r="C358" t="inlineStr">
        <is>
          <t>Föryngringsavverkning</t>
        </is>
      </c>
      <c r="D358" s="1" t="n">
        <v>45642</v>
      </c>
      <c r="E358" s="1" t="n">
        <v>46216</v>
      </c>
      <c r="F358" t="inlineStr">
        <is>
          <t>VÄSTERBOTTENS LÄN</t>
        </is>
      </c>
      <c r="G358" t="inlineStr">
        <is>
          <t>BJURHOLM</t>
        </is>
      </c>
      <c r="H358" t="inlineStr">
        <is>
          <t>Sveaskog</t>
        </is>
      </c>
      <c r="I358" t="n">
        <v>9.4</v>
      </c>
      <c r="J358" t="n">
        <v>0</v>
      </c>
      <c r="K358" t="n">
        <v>0</v>
      </c>
      <c r="L358" t="n">
        <v>0</v>
      </c>
      <c r="M358" t="n">
        <v>0</v>
      </c>
      <c r="N358" t="n">
        <v>0</v>
      </c>
      <c r="O358" t="n">
        <v>0</v>
      </c>
      <c r="P358" t="n">
        <v>0</v>
      </c>
      <c r="Q358" t="n">
        <v>0</v>
      </c>
      <c r="R358" t="n">
        <v>0</v>
      </c>
      <c r="S358" t="n">
        <v>0</v>
      </c>
      <c r="T358" t="n">
        <v>0</v>
      </c>
      <c r="U358" s="2" t="inlineStr"/>
    </row>
    <row r="359" ht="15" customHeight="1">
      <c r="A359" t="inlineStr">
        <is>
          <t>A 29170-2026</t>
        </is>
      </c>
      <c r="B359" t="inlineStr">
        <is>
          <t>avverkningsanmälan</t>
        </is>
      </c>
      <c r="C359" t="inlineStr">
        <is>
          <t>Föryngringsavverkning</t>
        </is>
      </c>
      <c r="D359" s="1" t="n">
        <v>46202</v>
      </c>
      <c r="E359" s="1" t="n">
        <v>46216</v>
      </c>
      <c r="F359" t="inlineStr">
        <is>
          <t>VÄSTERBOTTENS LÄN</t>
        </is>
      </c>
      <c r="G359" t="inlineStr">
        <is>
          <t>BJURHOLM</t>
        </is>
      </c>
      <c r="H359" t="inlineStr">
        <is>
          <t>Holmen skog AB</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44488-2023</t>
        </is>
      </c>
      <c r="B360" t="inlineStr">
        <is>
          <t>avverkningsanmälan</t>
        </is>
      </c>
      <c r="C360" t="inlineStr">
        <is>
          <t>Föryngringsavverkning</t>
        </is>
      </c>
      <c r="D360" s="1" t="n">
        <v>45189</v>
      </c>
      <c r="E360" s="1" t="n">
        <v>46216</v>
      </c>
      <c r="F360" t="inlineStr">
        <is>
          <t>VÄSTERBOTTENS LÄN</t>
        </is>
      </c>
      <c r="G360" t="inlineStr">
        <is>
          <t>BJURHOLM</t>
        </is>
      </c>
      <c r="H360" t="inlineStr">
        <is>
          <t>Holmen skog AB</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29368-2026</t>
        </is>
      </c>
      <c r="B361" t="inlineStr">
        <is>
          <t>avverkningsanmälan</t>
        </is>
      </c>
      <c r="C361" t="inlineStr">
        <is>
          <t>Föryngringsavverkning</t>
        </is>
      </c>
      <c r="D361" s="1" t="n">
        <v>46203</v>
      </c>
      <c r="E361" s="1" t="n">
        <v>46216</v>
      </c>
      <c r="F361" t="inlineStr">
        <is>
          <t>VÄSTERBOTTENS LÄN</t>
        </is>
      </c>
      <c r="G361" t="inlineStr">
        <is>
          <t>BJURHOLM</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60690-2022</t>
        </is>
      </c>
      <c r="B362" t="inlineStr">
        <is>
          <t>avverkningsanmälan</t>
        </is>
      </c>
      <c r="C362" t="inlineStr">
        <is>
          <t>Föryngringsavverkning</t>
        </is>
      </c>
      <c r="D362" s="1" t="n">
        <v>44911</v>
      </c>
      <c r="E362" s="1" t="n">
        <v>46216</v>
      </c>
      <c r="F362" t="inlineStr">
        <is>
          <t>VÄSTERBOTTENS LÄN</t>
        </is>
      </c>
      <c r="G362" t="inlineStr">
        <is>
          <t>BJURHOLM</t>
        </is>
      </c>
      <c r="H362" t="inlineStr">
        <is>
          <t>SCA</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52386-2023</t>
        </is>
      </c>
      <c r="B363" t="inlineStr">
        <is>
          <t>avverkningsanmälan</t>
        </is>
      </c>
      <c r="C363" t="inlineStr">
        <is>
          <t>Föryngringsavverkning</t>
        </is>
      </c>
      <c r="D363" s="1" t="n">
        <v>45224</v>
      </c>
      <c r="E363" s="1" t="n">
        <v>46216</v>
      </c>
      <c r="F363" t="inlineStr">
        <is>
          <t>VÄSTERBOTTENS LÄN</t>
        </is>
      </c>
      <c r="G363" t="inlineStr">
        <is>
          <t>BJURHOLM</t>
        </is>
      </c>
      <c r="I363" t="n">
        <v>5.2</v>
      </c>
      <c r="J363" t="n">
        <v>0</v>
      </c>
      <c r="K363" t="n">
        <v>0</v>
      </c>
      <c r="L363" t="n">
        <v>0</v>
      </c>
      <c r="M363" t="n">
        <v>0</v>
      </c>
      <c r="N363" t="n">
        <v>0</v>
      </c>
      <c r="O363" t="n">
        <v>0</v>
      </c>
      <c r="P363" t="n">
        <v>0</v>
      </c>
      <c r="Q363" t="n">
        <v>0</v>
      </c>
      <c r="R363" t="n">
        <v>0</v>
      </c>
      <c r="S363" t="n">
        <v>0</v>
      </c>
      <c r="T363" t="n">
        <v>0</v>
      </c>
      <c r="U363" s="2" t="inlineStr"/>
    </row>
    <row r="364" ht="15" customHeight="1">
      <c r="A364" t="inlineStr">
        <is>
          <t>A 29145-2026</t>
        </is>
      </c>
      <c r="B364" t="inlineStr">
        <is>
          <t>avverkningsanmälan</t>
        </is>
      </c>
      <c r="C364" t="inlineStr">
        <is>
          <t>Föryngringsavverkning</t>
        </is>
      </c>
      <c r="D364" s="1" t="n">
        <v>46202</v>
      </c>
      <c r="E364" s="1" t="n">
        <v>46216</v>
      </c>
      <c r="F364" t="inlineStr">
        <is>
          <t>VÄSTERBOTTENS LÄN</t>
        </is>
      </c>
      <c r="G364" t="inlineStr">
        <is>
          <t>BJURHOLM</t>
        </is>
      </c>
      <c r="H364" t="inlineStr">
        <is>
          <t>Holmen skog AB</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29189-2026</t>
        </is>
      </c>
      <c r="B365" t="inlineStr">
        <is>
          <t>avverkningsanmälan</t>
        </is>
      </c>
      <c r="C365" t="inlineStr">
        <is>
          <t>Föryngringsavverkning</t>
        </is>
      </c>
      <c r="D365" s="1" t="n">
        <v>46202</v>
      </c>
      <c r="E365" s="1" t="n">
        <v>46216</v>
      </c>
      <c r="F365" t="inlineStr">
        <is>
          <t>VÄSTERBOTTENS LÄN</t>
        </is>
      </c>
      <c r="G365" t="inlineStr">
        <is>
          <t>BJURHOLM</t>
        </is>
      </c>
      <c r="H365" t="inlineStr">
        <is>
          <t>Holmen skog AB</t>
        </is>
      </c>
      <c r="I365" t="n">
        <v>4.1</v>
      </c>
      <c r="J365" t="n">
        <v>0</v>
      </c>
      <c r="K365" t="n">
        <v>0</v>
      </c>
      <c r="L365" t="n">
        <v>0</v>
      </c>
      <c r="M365" t="n">
        <v>0</v>
      </c>
      <c r="N365" t="n">
        <v>0</v>
      </c>
      <c r="O365" t="n">
        <v>0</v>
      </c>
      <c r="P365" t="n">
        <v>0</v>
      </c>
      <c r="Q365" t="n">
        <v>0</v>
      </c>
      <c r="R365" t="n">
        <v>0</v>
      </c>
      <c r="S365" t="n">
        <v>0</v>
      </c>
      <c r="T365" t="n">
        <v>0</v>
      </c>
      <c r="U365" s="2" t="inlineStr"/>
    </row>
    <row r="366" ht="15" customHeight="1">
      <c r="A366" t="inlineStr">
        <is>
          <t>A 8502-2024</t>
        </is>
      </c>
      <c r="B366" t="inlineStr">
        <is>
          <t>avverkningsanmälan</t>
        </is>
      </c>
      <c r="C366" t="inlineStr">
        <is>
          <t>Föryngringsavverkning</t>
        </is>
      </c>
      <c r="D366" s="1" t="n">
        <v>45351</v>
      </c>
      <c r="E366" s="1" t="n">
        <v>46216</v>
      </c>
      <c r="F366" t="inlineStr">
        <is>
          <t>VÄSTERBOTTENS LÄN</t>
        </is>
      </c>
      <c r="G366" t="inlineStr">
        <is>
          <t>BJURHOLM</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23563-2026</t>
        </is>
      </c>
      <c r="B367" t="inlineStr">
        <is>
          <t>avverkningsanmälan</t>
        </is>
      </c>
      <c r="C367" t="inlineStr">
        <is>
          <t>Föryngringsavverkning</t>
        </is>
      </c>
      <c r="D367" s="1" t="n">
        <v>46163</v>
      </c>
      <c r="E367" s="1" t="n">
        <v>46216</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32436-2024</t>
        </is>
      </c>
      <c r="B368" t="inlineStr">
        <is>
          <t>avverkningsanmälan</t>
        </is>
      </c>
      <c r="C368" t="inlineStr">
        <is>
          <t>Föryngringsavverkning</t>
        </is>
      </c>
      <c r="D368" s="1" t="n">
        <v>45512</v>
      </c>
      <c r="E368" s="1" t="n">
        <v>46216</v>
      </c>
      <c r="F368" t="inlineStr">
        <is>
          <t>VÄSTERBOTTENS LÄN</t>
        </is>
      </c>
      <c r="G368" t="inlineStr">
        <is>
          <t>BJURHOLM</t>
        </is>
      </c>
      <c r="I368" t="n">
        <v>2.8</v>
      </c>
      <c r="J368" t="n">
        <v>0</v>
      </c>
      <c r="K368" t="n">
        <v>0</v>
      </c>
      <c r="L368" t="n">
        <v>0</v>
      </c>
      <c r="M368" t="n">
        <v>0</v>
      </c>
      <c r="N368" t="n">
        <v>0</v>
      </c>
      <c r="O368" t="n">
        <v>0</v>
      </c>
      <c r="P368" t="n">
        <v>0</v>
      </c>
      <c r="Q368" t="n">
        <v>0</v>
      </c>
      <c r="R368" t="n">
        <v>0</v>
      </c>
      <c r="S368" t="n">
        <v>0</v>
      </c>
      <c r="T368" t="n">
        <v>0</v>
      </c>
      <c r="U368" s="2" t="inlineStr"/>
    </row>
    <row r="369" ht="15" customHeight="1">
      <c r="A369" t="inlineStr">
        <is>
          <t>A 36978-2024</t>
        </is>
      </c>
      <c r="B369" t="inlineStr">
        <is>
          <t>avverkningsanmälan</t>
        </is>
      </c>
      <c r="C369" t="inlineStr">
        <is>
          <t>Avverkning för annat ändamål</t>
        </is>
      </c>
      <c r="D369" s="1" t="n">
        <v>45539</v>
      </c>
      <c r="E369" s="1" t="n">
        <v>46216</v>
      </c>
      <c r="F369" t="inlineStr">
        <is>
          <t>VÄSTERBOTTENS LÄN</t>
        </is>
      </c>
      <c r="G369" t="inlineStr">
        <is>
          <t>BJURHOLM</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74152-2021</t>
        </is>
      </c>
      <c r="B370" t="inlineStr">
        <is>
          <t>avverkningsanmälan</t>
        </is>
      </c>
      <c r="C370" t="inlineStr">
        <is>
          <t>Avverkning för annat ändamål</t>
        </is>
      </c>
      <c r="D370" s="1" t="n">
        <v>44557</v>
      </c>
      <c r="E370" s="1" t="n">
        <v>46216</v>
      </c>
      <c r="F370" t="inlineStr">
        <is>
          <t>VÄSTERBOTTENS LÄN</t>
        </is>
      </c>
      <c r="G370" t="inlineStr">
        <is>
          <t>BJURHOLM</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23841-2026</t>
        </is>
      </c>
      <c r="B371" t="inlineStr">
        <is>
          <t>avverkningsanmälan</t>
        </is>
      </c>
      <c r="C371" t="inlineStr">
        <is>
          <t>Föryngringsavverkning</t>
        </is>
      </c>
      <c r="D371" s="1" t="n">
        <v>46167</v>
      </c>
      <c r="E371" s="1" t="n">
        <v>46216</v>
      </c>
      <c r="F371" t="inlineStr">
        <is>
          <t>VÄSTERBOTTENS LÄN</t>
        </is>
      </c>
      <c r="G371" t="inlineStr">
        <is>
          <t>BJURHOLM</t>
        </is>
      </c>
      <c r="H371" t="inlineStr">
        <is>
          <t>Holmen skog AB</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61654-2022</t>
        </is>
      </c>
      <c r="B372" t="inlineStr">
        <is>
          <t>avverkningsanmälan</t>
        </is>
      </c>
      <c r="C372" t="inlineStr">
        <is>
          <t>Föryngringsavverkning</t>
        </is>
      </c>
      <c r="D372" s="1" t="n">
        <v>44916</v>
      </c>
      <c r="E372" s="1" t="n">
        <v>46216</v>
      </c>
      <c r="F372" t="inlineStr">
        <is>
          <t>VÄSTERBOTTENS LÄN</t>
        </is>
      </c>
      <c r="G372" t="inlineStr">
        <is>
          <t>BJURHOLM</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19578-2024</t>
        </is>
      </c>
      <c r="B373" t="inlineStr">
        <is>
          <t>avverkningsanmälan</t>
        </is>
      </c>
      <c r="C373" t="inlineStr">
        <is>
          <t>Föryngringsavverkning</t>
        </is>
      </c>
      <c r="D373" s="1" t="n">
        <v>45429</v>
      </c>
      <c r="E373" s="1" t="n">
        <v>46216</v>
      </c>
      <c r="F373" t="inlineStr">
        <is>
          <t>VÄSTERBOTTENS LÄN</t>
        </is>
      </c>
      <c r="G373" t="inlineStr">
        <is>
          <t>BJURHOLM</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23731-2026</t>
        </is>
      </c>
      <c r="B374" t="inlineStr">
        <is>
          <t>avverkningsanmälan</t>
        </is>
      </c>
      <c r="C374" t="inlineStr">
        <is>
          <t>Föryngringsavverkning</t>
        </is>
      </c>
      <c r="D374" s="1" t="n">
        <v>46164</v>
      </c>
      <c r="E374" s="1" t="n">
        <v>46216</v>
      </c>
      <c r="F374" t="inlineStr">
        <is>
          <t>VÄSTERBOTTENS LÄN</t>
        </is>
      </c>
      <c r="G374" t="inlineStr">
        <is>
          <t>BJURHOLM</t>
        </is>
      </c>
      <c r="H374" t="inlineStr">
        <is>
          <t>Holmen skog AB</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23967-2026</t>
        </is>
      </c>
      <c r="B375" t="inlineStr">
        <is>
          <t>avverkningsanmälan</t>
        </is>
      </c>
      <c r="C375" t="inlineStr">
        <is>
          <t>Föryngringsavverkning</t>
        </is>
      </c>
      <c r="D375" s="1" t="n">
        <v>46167</v>
      </c>
      <c r="E375" s="1" t="n">
        <v>46216</v>
      </c>
      <c r="F375" t="inlineStr">
        <is>
          <t>VÄSTERBOTTENS LÄN</t>
        </is>
      </c>
      <c r="G375" t="inlineStr">
        <is>
          <t>BJURHOLM</t>
        </is>
      </c>
      <c r="H375" t="inlineStr">
        <is>
          <t>Holmen skog AB</t>
        </is>
      </c>
      <c r="I375" t="n">
        <v>4.9</v>
      </c>
      <c r="J375" t="n">
        <v>0</v>
      </c>
      <c r="K375" t="n">
        <v>0</v>
      </c>
      <c r="L375" t="n">
        <v>0</v>
      </c>
      <c r="M375" t="n">
        <v>0</v>
      </c>
      <c r="N375" t="n">
        <v>0</v>
      </c>
      <c r="O375" t="n">
        <v>0</v>
      </c>
      <c r="P375" t="n">
        <v>0</v>
      </c>
      <c r="Q375" t="n">
        <v>0</v>
      </c>
      <c r="R375" t="n">
        <v>0</v>
      </c>
      <c r="S375" t="n">
        <v>0</v>
      </c>
      <c r="T375" t="n">
        <v>0</v>
      </c>
      <c r="U375" s="2" t="inlineStr"/>
    </row>
    <row r="376" ht="15" customHeight="1">
      <c r="A376" t="inlineStr">
        <is>
          <t>A 23835-2026</t>
        </is>
      </c>
      <c r="B376" t="inlineStr">
        <is>
          <t>avverkningsanmälan</t>
        </is>
      </c>
      <c r="C376" t="inlineStr">
        <is>
          <t>Föryngringsavverkning</t>
        </is>
      </c>
      <c r="D376" s="1" t="n">
        <v>46167</v>
      </c>
      <c r="E376" s="1" t="n">
        <v>46216</v>
      </c>
      <c r="F376" t="inlineStr">
        <is>
          <t>VÄSTERBOTTENS LÄN</t>
        </is>
      </c>
      <c r="G376" t="inlineStr">
        <is>
          <t>BJURHOLM</t>
        </is>
      </c>
      <c r="H376" t="inlineStr">
        <is>
          <t>Holmen skog AB</t>
        </is>
      </c>
      <c r="I376" t="n">
        <v>4.2</v>
      </c>
      <c r="J376" t="n">
        <v>0</v>
      </c>
      <c r="K376" t="n">
        <v>0</v>
      </c>
      <c r="L376" t="n">
        <v>0</v>
      </c>
      <c r="M376" t="n">
        <v>0</v>
      </c>
      <c r="N376" t="n">
        <v>0</v>
      </c>
      <c r="O376" t="n">
        <v>0</v>
      </c>
      <c r="P376" t="n">
        <v>0</v>
      </c>
      <c r="Q376" t="n">
        <v>0</v>
      </c>
      <c r="R376" t="n">
        <v>0</v>
      </c>
      <c r="S376" t="n">
        <v>0</v>
      </c>
      <c r="T376" t="n">
        <v>0</v>
      </c>
      <c r="U376" s="2" t="inlineStr"/>
    </row>
    <row r="377" ht="15" customHeight="1">
      <c r="A377" t="inlineStr">
        <is>
          <t>A 23868-2026</t>
        </is>
      </c>
      <c r="B377" t="inlineStr">
        <is>
          <t>avverkningsanmälan</t>
        </is>
      </c>
      <c r="C377" t="inlineStr">
        <is>
          <t>Föryngringsavverkning</t>
        </is>
      </c>
      <c r="D377" s="1" t="n">
        <v>46167</v>
      </c>
      <c r="E377" s="1" t="n">
        <v>46216</v>
      </c>
      <c r="F377" t="inlineStr">
        <is>
          <t>VÄSTERBOTTENS LÄN</t>
        </is>
      </c>
      <c r="G377" t="inlineStr">
        <is>
          <t>BJURHOLM</t>
        </is>
      </c>
      <c r="H377" t="inlineStr">
        <is>
          <t>Sveaskog</t>
        </is>
      </c>
      <c r="I377" t="n">
        <v>2.6</v>
      </c>
      <c r="J377" t="n">
        <v>0</v>
      </c>
      <c r="K377" t="n">
        <v>0</v>
      </c>
      <c r="L377" t="n">
        <v>0</v>
      </c>
      <c r="M377" t="n">
        <v>0</v>
      </c>
      <c r="N377" t="n">
        <v>0</v>
      </c>
      <c r="O377" t="n">
        <v>0</v>
      </c>
      <c r="P377" t="n">
        <v>0</v>
      </c>
      <c r="Q377" t="n">
        <v>0</v>
      </c>
      <c r="R377" t="n">
        <v>0</v>
      </c>
      <c r="S377" t="n">
        <v>0</v>
      </c>
      <c r="T377" t="n">
        <v>0</v>
      </c>
      <c r="U377" s="2" t="inlineStr"/>
    </row>
    <row r="378" ht="15" customHeight="1">
      <c r="A378" t="inlineStr">
        <is>
          <t>A 23869-2026</t>
        </is>
      </c>
      <c r="B378" t="inlineStr">
        <is>
          <t>avverkningsanmälan</t>
        </is>
      </c>
      <c r="C378" t="inlineStr">
        <is>
          <t>Föryngringsavverkning</t>
        </is>
      </c>
      <c r="D378" s="1" t="n">
        <v>46167</v>
      </c>
      <c r="E378" s="1" t="n">
        <v>46216</v>
      </c>
      <c r="F378" t="inlineStr">
        <is>
          <t>VÄSTERBOTTENS LÄN</t>
        </is>
      </c>
      <c r="G378" t="inlineStr">
        <is>
          <t>BJURHOLM</t>
        </is>
      </c>
      <c r="H378" t="inlineStr">
        <is>
          <t>Sveaskog</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48314-2024</t>
        </is>
      </c>
      <c r="B379" t="inlineStr">
        <is>
          <t>avverkningsanmälan</t>
        </is>
      </c>
      <c r="C379" t="inlineStr">
        <is>
          <t>Föryngringsavverkning</t>
        </is>
      </c>
      <c r="D379" s="1" t="n">
        <v>45590</v>
      </c>
      <c r="E379" s="1" t="n">
        <v>46216</v>
      </c>
      <c r="F379" t="inlineStr">
        <is>
          <t>VÄSTERBOTTENS LÄN</t>
        </is>
      </c>
      <c r="G379" t="inlineStr">
        <is>
          <t>BJURHOLM</t>
        </is>
      </c>
      <c r="I379" t="n">
        <v>3.9</v>
      </c>
      <c r="J379" t="n">
        <v>0</v>
      </c>
      <c r="K379" t="n">
        <v>0</v>
      </c>
      <c r="L379" t="n">
        <v>0</v>
      </c>
      <c r="M379" t="n">
        <v>0</v>
      </c>
      <c r="N379" t="n">
        <v>0</v>
      </c>
      <c r="O379" t="n">
        <v>0</v>
      </c>
      <c r="P379" t="n">
        <v>0</v>
      </c>
      <c r="Q379" t="n">
        <v>0</v>
      </c>
      <c r="R379" t="n">
        <v>0</v>
      </c>
      <c r="S379" t="n">
        <v>0</v>
      </c>
      <c r="T379" t="n">
        <v>0</v>
      </c>
      <c r="U379" s="2" t="inlineStr"/>
    </row>
    <row r="380" ht="15" customHeight="1">
      <c r="A380" t="inlineStr">
        <is>
          <t>A 23325-2023</t>
        </is>
      </c>
      <c r="B380" t="inlineStr">
        <is>
          <t>avverkningsanmälan</t>
        </is>
      </c>
      <c r="C380" t="inlineStr">
        <is>
          <t>Föryngringsavverkning</t>
        </is>
      </c>
      <c r="D380" s="1" t="n">
        <v>45076</v>
      </c>
      <c r="E380" s="1" t="n">
        <v>46216</v>
      </c>
      <c r="F380" t="inlineStr">
        <is>
          <t>VÄSTERBOTTENS LÄN</t>
        </is>
      </c>
      <c r="G380" t="inlineStr">
        <is>
          <t>BJURHOLM</t>
        </is>
      </c>
      <c r="I380" t="n">
        <v>3.3</v>
      </c>
      <c r="J380" t="n">
        <v>0</v>
      </c>
      <c r="K380" t="n">
        <v>0</v>
      </c>
      <c r="L380" t="n">
        <v>0</v>
      </c>
      <c r="M380" t="n">
        <v>0</v>
      </c>
      <c r="N380" t="n">
        <v>0</v>
      </c>
      <c r="O380" t="n">
        <v>0</v>
      </c>
      <c r="P380" t="n">
        <v>0</v>
      </c>
      <c r="Q380" t="n">
        <v>0</v>
      </c>
      <c r="R380" t="n">
        <v>0</v>
      </c>
      <c r="S380" t="n">
        <v>0</v>
      </c>
      <c r="T380" t="n">
        <v>0</v>
      </c>
      <c r="U380" s="2" t="inlineStr"/>
    </row>
    <row r="381" ht="15" customHeight="1">
      <c r="A381" t="inlineStr">
        <is>
          <t>A 22852-2023</t>
        </is>
      </c>
      <c r="B381" t="inlineStr">
        <is>
          <t>avverkningsanmälan</t>
        </is>
      </c>
      <c r="C381" t="inlineStr">
        <is>
          <t>Föryngringsavverkning</t>
        </is>
      </c>
      <c r="D381" s="1" t="n">
        <v>45072</v>
      </c>
      <c r="E381" s="1" t="n">
        <v>46216</v>
      </c>
      <c r="F381" t="inlineStr">
        <is>
          <t>VÄSTERBOTTENS LÄN</t>
        </is>
      </c>
      <c r="G381" t="inlineStr">
        <is>
          <t>BJURHOLM</t>
        </is>
      </c>
      <c r="I381" t="n">
        <v>0.2</v>
      </c>
      <c r="J381" t="n">
        <v>0</v>
      </c>
      <c r="K381" t="n">
        <v>0</v>
      </c>
      <c r="L381" t="n">
        <v>0</v>
      </c>
      <c r="M381" t="n">
        <v>0</v>
      </c>
      <c r="N381" t="n">
        <v>0</v>
      </c>
      <c r="O381" t="n">
        <v>0</v>
      </c>
      <c r="P381" t="n">
        <v>0</v>
      </c>
      <c r="Q381" t="n">
        <v>0</v>
      </c>
      <c r="R381" t="n">
        <v>0</v>
      </c>
      <c r="S381" t="n">
        <v>0</v>
      </c>
      <c r="T381" t="n">
        <v>0</v>
      </c>
      <c r="U381" s="2" t="inlineStr"/>
    </row>
    <row r="382" ht="15" customHeight="1">
      <c r="A382" t="inlineStr">
        <is>
          <t>A 34712-2023</t>
        </is>
      </c>
      <c r="B382" t="inlineStr">
        <is>
          <t>avverkningsanmälan</t>
        </is>
      </c>
      <c r="C382" t="inlineStr">
        <is>
          <t>Föryngringsavverkning</t>
        </is>
      </c>
      <c r="D382" s="1" t="n">
        <v>45139</v>
      </c>
      <c r="E382" s="1" t="n">
        <v>46216</v>
      </c>
      <c r="F382" t="inlineStr">
        <is>
          <t>VÄSTERBOTTENS LÄN</t>
        </is>
      </c>
      <c r="G382" t="inlineStr">
        <is>
          <t>BJURHOLM</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24757-2026</t>
        </is>
      </c>
      <c r="B383" t="inlineStr">
        <is>
          <t>avverkningsanmälan</t>
        </is>
      </c>
      <c r="C383" t="inlineStr">
        <is>
          <t>Föryngringsavverkning</t>
        </is>
      </c>
      <c r="D383" s="1" t="n">
        <v>46171</v>
      </c>
      <c r="E383" s="1" t="n">
        <v>46216</v>
      </c>
      <c r="F383" t="inlineStr">
        <is>
          <t>VÄSTERBOTTENS LÄN</t>
        </is>
      </c>
      <c r="G383" t="inlineStr">
        <is>
          <t>BJURHOLM</t>
        </is>
      </c>
      <c r="H383" t="inlineStr">
        <is>
          <t>SCA</t>
        </is>
      </c>
      <c r="I383" t="n">
        <v>5.7</v>
      </c>
      <c r="J383" t="n">
        <v>0</v>
      </c>
      <c r="K383" t="n">
        <v>0</v>
      </c>
      <c r="L383" t="n">
        <v>0</v>
      </c>
      <c r="M383" t="n">
        <v>0</v>
      </c>
      <c r="N383" t="n">
        <v>0</v>
      </c>
      <c r="O383" t="n">
        <v>0</v>
      </c>
      <c r="P383" t="n">
        <v>0</v>
      </c>
      <c r="Q383" t="n">
        <v>0</v>
      </c>
      <c r="R383" t="n">
        <v>0</v>
      </c>
      <c r="S383" t="n">
        <v>0</v>
      </c>
      <c r="T383" t="n">
        <v>0</v>
      </c>
      <c r="U383" s="2" t="inlineStr"/>
    </row>
    <row r="384" ht="15" customHeight="1">
      <c r="A384" t="inlineStr">
        <is>
          <t>A 24663-2026</t>
        </is>
      </c>
      <c r="B384" t="inlineStr">
        <is>
          <t>avverkningsanmälan</t>
        </is>
      </c>
      <c r="C384" t="inlineStr">
        <is>
          <t>Föryngringsavverkning</t>
        </is>
      </c>
      <c r="D384" s="1" t="n">
        <v>46171</v>
      </c>
      <c r="E384" s="1" t="n">
        <v>46216</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51239-2022</t>
        </is>
      </c>
      <c r="B385" t="inlineStr">
        <is>
          <t>avverkningsanmälan</t>
        </is>
      </c>
      <c r="C385" t="inlineStr">
        <is>
          <t>Föryngringsavverkning</t>
        </is>
      </c>
      <c r="D385" s="1" t="n">
        <v>44866</v>
      </c>
      <c r="E385" s="1" t="n">
        <v>46216</v>
      </c>
      <c r="F385" t="inlineStr">
        <is>
          <t>VÄSTERBOTTENS LÄN</t>
        </is>
      </c>
      <c r="G385" t="inlineStr">
        <is>
          <t>BJURHOLM</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30867-2026</t>
        </is>
      </c>
      <c r="B386" t="inlineStr">
        <is>
          <t>avverkningsanmälan</t>
        </is>
      </c>
      <c r="C386" t="inlineStr">
        <is>
          <t>Föryngringsavverkning</t>
        </is>
      </c>
      <c r="D386" s="1" t="n">
        <v>46205</v>
      </c>
      <c r="E386" s="1" t="n">
        <v>46216</v>
      </c>
      <c r="F386" t="inlineStr">
        <is>
          <t>VÄSTERBOTTENS LÄN</t>
        </is>
      </c>
      <c r="G386" t="inlineStr">
        <is>
          <t>BJURHOLM</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30845-2026</t>
        </is>
      </c>
      <c r="B387" t="inlineStr">
        <is>
          <t>avverkningsanmälan</t>
        </is>
      </c>
      <c r="C387" t="inlineStr">
        <is>
          <t>Föryngringsavverkning</t>
        </is>
      </c>
      <c r="D387" s="1" t="n">
        <v>46205</v>
      </c>
      <c r="E387" s="1" t="n">
        <v>46216</v>
      </c>
      <c r="F387" t="inlineStr">
        <is>
          <t>VÄSTERBOTTENS LÄN</t>
        </is>
      </c>
      <c r="G387" t="inlineStr">
        <is>
          <t>BJURHOLM</t>
        </is>
      </c>
      <c r="I387" t="n">
        <v>27.9</v>
      </c>
      <c r="J387" t="n">
        <v>0</v>
      </c>
      <c r="K387" t="n">
        <v>0</v>
      </c>
      <c r="L387" t="n">
        <v>0</v>
      </c>
      <c r="M387" t="n">
        <v>0</v>
      </c>
      <c r="N387" t="n">
        <v>0</v>
      </c>
      <c r="O387" t="n">
        <v>0</v>
      </c>
      <c r="P387" t="n">
        <v>0</v>
      </c>
      <c r="Q387" t="n">
        <v>0</v>
      </c>
      <c r="R387" t="n">
        <v>0</v>
      </c>
      <c r="S387" t="n">
        <v>0</v>
      </c>
      <c r="T387" t="n">
        <v>0</v>
      </c>
      <c r="U387" s="2" t="inlineStr"/>
    </row>
    <row r="388" ht="15" customHeight="1">
      <c r="A388" t="inlineStr">
        <is>
          <t>A 30847-2026</t>
        </is>
      </c>
      <c r="B388" t="inlineStr">
        <is>
          <t>avverkningsanmälan</t>
        </is>
      </c>
      <c r="C388" t="inlineStr">
        <is>
          <t>Föryngringsavverkning</t>
        </is>
      </c>
      <c r="D388" s="1" t="n">
        <v>46205</v>
      </c>
      <c r="E388" s="1" t="n">
        <v>46216</v>
      </c>
      <c r="F388" t="inlineStr">
        <is>
          <t>VÄSTERBOTTENS LÄN</t>
        </is>
      </c>
      <c r="G388" t="inlineStr">
        <is>
          <t>BJURHOLM</t>
        </is>
      </c>
      <c r="I388" t="n">
        <v>5.1</v>
      </c>
      <c r="J388" t="n">
        <v>0</v>
      </c>
      <c r="K388" t="n">
        <v>0</v>
      </c>
      <c r="L388" t="n">
        <v>0</v>
      </c>
      <c r="M388" t="n">
        <v>0</v>
      </c>
      <c r="N388" t="n">
        <v>0</v>
      </c>
      <c r="O388" t="n">
        <v>0</v>
      </c>
      <c r="P388" t="n">
        <v>0</v>
      </c>
      <c r="Q388" t="n">
        <v>0</v>
      </c>
      <c r="R388" t="n">
        <v>0</v>
      </c>
      <c r="S388" t="n">
        <v>0</v>
      </c>
      <c r="T388" t="n">
        <v>0</v>
      </c>
      <c r="U388" s="2" t="inlineStr"/>
    </row>
    <row r="389" ht="15" customHeight="1">
      <c r="A389" t="inlineStr">
        <is>
          <t>A 24667-2026</t>
        </is>
      </c>
      <c r="B389" t="inlineStr">
        <is>
          <t>avverkningsanmälan</t>
        </is>
      </c>
      <c r="C389" t="inlineStr">
        <is>
          <t>Föryngringsavverkning</t>
        </is>
      </c>
      <c r="D389" s="1" t="n">
        <v>46171</v>
      </c>
      <c r="E389" s="1" t="n">
        <v>46216</v>
      </c>
      <c r="F389" t="inlineStr">
        <is>
          <t>VÄSTERBOTTENS LÄN</t>
        </is>
      </c>
      <c r="G389" t="inlineStr">
        <is>
          <t>BJURHOLM</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52584-2024</t>
        </is>
      </c>
      <c r="B390" t="inlineStr">
        <is>
          <t>avverkningsanmälan</t>
        </is>
      </c>
      <c r="C390" t="inlineStr">
        <is>
          <t>Föryngringsavverkning</t>
        </is>
      </c>
      <c r="D390" s="1" t="n">
        <v>45609</v>
      </c>
      <c r="E390" s="1" t="n">
        <v>46216</v>
      </c>
      <c r="F390" t="inlineStr">
        <is>
          <t>VÄSTERBOTTENS LÄN</t>
        </is>
      </c>
      <c r="G390" t="inlineStr">
        <is>
          <t>BJURHOLM</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30842-2026</t>
        </is>
      </c>
      <c r="B391" t="inlineStr">
        <is>
          <t>avverkningsanmälan</t>
        </is>
      </c>
      <c r="C391" t="inlineStr">
        <is>
          <t>Föryngringsavverkning</t>
        </is>
      </c>
      <c r="D391" s="1" t="n">
        <v>46205</v>
      </c>
      <c r="E391" s="1" t="n">
        <v>46216</v>
      </c>
      <c r="F391" t="inlineStr">
        <is>
          <t>VÄSTERBOTTENS LÄN</t>
        </is>
      </c>
      <c r="G391" t="inlineStr">
        <is>
          <t>BJURHOLM</t>
        </is>
      </c>
      <c r="I391" t="n">
        <v>6.3</v>
      </c>
      <c r="J391" t="n">
        <v>0</v>
      </c>
      <c r="K391" t="n">
        <v>0</v>
      </c>
      <c r="L391" t="n">
        <v>0</v>
      </c>
      <c r="M391" t="n">
        <v>0</v>
      </c>
      <c r="N391" t="n">
        <v>0</v>
      </c>
      <c r="O391" t="n">
        <v>0</v>
      </c>
      <c r="P391" t="n">
        <v>0</v>
      </c>
      <c r="Q391" t="n">
        <v>0</v>
      </c>
      <c r="R391" t="n">
        <v>0</v>
      </c>
      <c r="S391" t="n">
        <v>0</v>
      </c>
      <c r="T391" t="n">
        <v>0</v>
      </c>
      <c r="U391" s="2" t="inlineStr"/>
    </row>
    <row r="392" ht="15" customHeight="1">
      <c r="A392" t="inlineStr">
        <is>
          <t>A 30861-2026</t>
        </is>
      </c>
      <c r="B392" t="inlineStr">
        <is>
          <t>avverkningsanmälan</t>
        </is>
      </c>
      <c r="C392" t="inlineStr">
        <is>
          <t>Föryngringsavverkning</t>
        </is>
      </c>
      <c r="D392" s="1" t="n">
        <v>46205</v>
      </c>
      <c r="E392" s="1" t="n">
        <v>46216</v>
      </c>
      <c r="F392" t="inlineStr">
        <is>
          <t>VÄSTERBOTTENS LÄN</t>
        </is>
      </c>
      <c r="G392" t="inlineStr">
        <is>
          <t>BJURHOLM</t>
        </is>
      </c>
      <c r="I392" t="n">
        <v>12.4</v>
      </c>
      <c r="J392" t="n">
        <v>0</v>
      </c>
      <c r="K392" t="n">
        <v>0</v>
      </c>
      <c r="L392" t="n">
        <v>0</v>
      </c>
      <c r="M392" t="n">
        <v>0</v>
      </c>
      <c r="N392" t="n">
        <v>0</v>
      </c>
      <c r="O392" t="n">
        <v>0</v>
      </c>
      <c r="P392" t="n">
        <v>0</v>
      </c>
      <c r="Q392" t="n">
        <v>0</v>
      </c>
      <c r="R392" t="n">
        <v>0</v>
      </c>
      <c r="S392" t="n">
        <v>0</v>
      </c>
      <c r="T392" t="n">
        <v>0</v>
      </c>
      <c r="U392" s="2" t="inlineStr"/>
    </row>
    <row r="393" ht="15" customHeight="1">
      <c r="A393" t="inlineStr">
        <is>
          <t>A 20778-2024</t>
        </is>
      </c>
      <c r="B393" t="inlineStr">
        <is>
          <t>avverkningsanmälan</t>
        </is>
      </c>
      <c r="C393" t="inlineStr">
        <is>
          <t>Föryngringsavverkning</t>
        </is>
      </c>
      <c r="D393" s="1" t="n">
        <v>45436</v>
      </c>
      <c r="E393" s="1" t="n">
        <v>46216</v>
      </c>
      <c r="F393" t="inlineStr">
        <is>
          <t>VÄSTERBOTTENS LÄN</t>
        </is>
      </c>
      <c r="G393" t="inlineStr">
        <is>
          <t>BJURHOLM</t>
        </is>
      </c>
      <c r="H393" t="inlineStr">
        <is>
          <t>SCA</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24657-2026</t>
        </is>
      </c>
      <c r="B394" t="inlineStr">
        <is>
          <t>avverkningsanmälan</t>
        </is>
      </c>
      <c r="C394" t="inlineStr">
        <is>
          <t>Föryngringsavverkning</t>
        </is>
      </c>
      <c r="D394" s="1" t="n">
        <v>46171</v>
      </c>
      <c r="E394" s="1" t="n">
        <v>46216</v>
      </c>
      <c r="F394" t="inlineStr">
        <is>
          <t>VÄSTERBOTTENS LÄN</t>
        </is>
      </c>
      <c r="G394" t="inlineStr">
        <is>
          <t>BJURHOLM</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40142-2023</t>
        </is>
      </c>
      <c r="B395" t="inlineStr">
        <is>
          <t>avverkningsanmälan</t>
        </is>
      </c>
      <c r="C395" t="inlineStr">
        <is>
          <t>Föryngringsavverkning</t>
        </is>
      </c>
      <c r="D395" s="1" t="n">
        <v>45168</v>
      </c>
      <c r="E395" s="1" t="n">
        <v>46216</v>
      </c>
      <c r="F395" t="inlineStr">
        <is>
          <t>VÄSTERBOTTENS LÄN</t>
        </is>
      </c>
      <c r="G395" t="inlineStr">
        <is>
          <t>BJURHOLM</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30805-2026</t>
        </is>
      </c>
      <c r="B396" t="inlineStr">
        <is>
          <t>avverkningsanmälan</t>
        </is>
      </c>
      <c r="C396" t="inlineStr">
        <is>
          <t>Föryngringsavverkning</t>
        </is>
      </c>
      <c r="D396" s="1" t="n">
        <v>46205</v>
      </c>
      <c r="E396" s="1" t="n">
        <v>46216</v>
      </c>
      <c r="F396" t="inlineStr">
        <is>
          <t>VÄSTERBOTTENS LÄN</t>
        </is>
      </c>
      <c r="G396" t="inlineStr">
        <is>
          <t>BJURHOLM</t>
        </is>
      </c>
      <c r="I396" t="n">
        <v>5.9</v>
      </c>
      <c r="J396" t="n">
        <v>0</v>
      </c>
      <c r="K396" t="n">
        <v>0</v>
      </c>
      <c r="L396" t="n">
        <v>0</v>
      </c>
      <c r="M396" t="n">
        <v>0</v>
      </c>
      <c r="N396" t="n">
        <v>0</v>
      </c>
      <c r="O396" t="n">
        <v>0</v>
      </c>
      <c r="P396" t="n">
        <v>0</v>
      </c>
      <c r="Q396" t="n">
        <v>0</v>
      </c>
      <c r="R396" t="n">
        <v>0</v>
      </c>
      <c r="S396" t="n">
        <v>0</v>
      </c>
      <c r="T396" t="n">
        <v>0</v>
      </c>
      <c r="U396" s="2" t="inlineStr"/>
    </row>
    <row r="397" ht="15" customHeight="1">
      <c r="A397" t="inlineStr">
        <is>
          <t>A 30807-2026</t>
        </is>
      </c>
      <c r="B397" t="inlineStr">
        <is>
          <t>avverkningsanmälan</t>
        </is>
      </c>
      <c r="C397" t="inlineStr">
        <is>
          <t>Föryngringsavverkning</t>
        </is>
      </c>
      <c r="D397" s="1" t="n">
        <v>46205</v>
      </c>
      <c r="E397" s="1" t="n">
        <v>46216</v>
      </c>
      <c r="F397" t="inlineStr">
        <is>
          <t>VÄSTERBOTTENS LÄN</t>
        </is>
      </c>
      <c r="G397" t="inlineStr">
        <is>
          <t>BJURHOLM</t>
        </is>
      </c>
      <c r="I397" t="n">
        <v>8.1</v>
      </c>
      <c r="J397" t="n">
        <v>0</v>
      </c>
      <c r="K397" t="n">
        <v>0</v>
      </c>
      <c r="L397" t="n">
        <v>0</v>
      </c>
      <c r="M397" t="n">
        <v>0</v>
      </c>
      <c r="N397" t="n">
        <v>0</v>
      </c>
      <c r="O397" t="n">
        <v>0</v>
      </c>
      <c r="P397" t="n">
        <v>0</v>
      </c>
      <c r="Q397" t="n">
        <v>0</v>
      </c>
      <c r="R397" t="n">
        <v>0</v>
      </c>
      <c r="S397" t="n">
        <v>0</v>
      </c>
      <c r="T397" t="n">
        <v>0</v>
      </c>
      <c r="U397" s="2" t="inlineStr"/>
    </row>
    <row r="398" ht="15" customHeight="1">
      <c r="A398" t="inlineStr">
        <is>
          <t>A 30886-2026</t>
        </is>
      </c>
      <c r="B398" t="inlineStr">
        <is>
          <t>avverkningsanmälan</t>
        </is>
      </c>
      <c r="C398" t="inlineStr">
        <is>
          <t>Föryngringsavverkning</t>
        </is>
      </c>
      <c r="D398" s="1" t="n">
        <v>46212</v>
      </c>
      <c r="E398" s="1" t="n">
        <v>46216</v>
      </c>
      <c r="F398" t="inlineStr">
        <is>
          <t>VÄSTERBOTTENS LÄN</t>
        </is>
      </c>
      <c r="G398" t="inlineStr">
        <is>
          <t>BJURHOLM</t>
        </is>
      </c>
      <c r="I398" t="n">
        <v>9</v>
      </c>
      <c r="J398" t="n">
        <v>0</v>
      </c>
      <c r="K398" t="n">
        <v>0</v>
      </c>
      <c r="L398" t="n">
        <v>0</v>
      </c>
      <c r="M398" t="n">
        <v>0</v>
      </c>
      <c r="N398" t="n">
        <v>0</v>
      </c>
      <c r="O398" t="n">
        <v>0</v>
      </c>
      <c r="P398" t="n">
        <v>0</v>
      </c>
      <c r="Q398" t="n">
        <v>0</v>
      </c>
      <c r="R398" t="n">
        <v>0</v>
      </c>
      <c r="S398" t="n">
        <v>0</v>
      </c>
      <c r="T398" t="n">
        <v>0</v>
      </c>
      <c r="U398" s="2" t="inlineStr"/>
    </row>
    <row r="399" ht="15" customHeight="1">
      <c r="A399" t="inlineStr">
        <is>
          <t>A 50238-2024</t>
        </is>
      </c>
      <c r="B399" t="inlineStr">
        <is>
          <t>avverkningsanmälan</t>
        </is>
      </c>
      <c r="C399" t="inlineStr">
        <is>
          <t>Föryngringsavverkning</t>
        </is>
      </c>
      <c r="D399" s="1" t="n">
        <v>45600</v>
      </c>
      <c r="E399" s="1" t="n">
        <v>46216</v>
      </c>
      <c r="F399" t="inlineStr">
        <is>
          <t>VÄSTERBOTTENS LÄN</t>
        </is>
      </c>
      <c r="G399" t="inlineStr">
        <is>
          <t>BJURHOLM</t>
        </is>
      </c>
      <c r="H399" t="inlineStr">
        <is>
          <t>Holmen skog AB</t>
        </is>
      </c>
      <c r="I399" t="n">
        <v>5.7</v>
      </c>
      <c r="J399" t="n">
        <v>0</v>
      </c>
      <c r="K399" t="n">
        <v>0</v>
      </c>
      <c r="L399" t="n">
        <v>0</v>
      </c>
      <c r="M399" t="n">
        <v>0</v>
      </c>
      <c r="N399" t="n">
        <v>0</v>
      </c>
      <c r="O399" t="n">
        <v>0</v>
      </c>
      <c r="P399" t="n">
        <v>0</v>
      </c>
      <c r="Q399" t="n">
        <v>0</v>
      </c>
      <c r="R399" t="n">
        <v>0</v>
      </c>
      <c r="S399" t="n">
        <v>0</v>
      </c>
      <c r="T399" t="n">
        <v>0</v>
      </c>
      <c r="U399" s="2" t="inlineStr"/>
    </row>
    <row r="400" ht="15" customHeight="1">
      <c r="A400" t="inlineStr">
        <is>
          <t>A 8663-2025</t>
        </is>
      </c>
      <c r="B400" t="inlineStr">
        <is>
          <t>avverkningsanmälan</t>
        </is>
      </c>
      <c r="C400" t="inlineStr">
        <is>
          <t>Föryngringsavverkning</t>
        </is>
      </c>
      <c r="D400" s="1" t="n">
        <v>45712</v>
      </c>
      <c r="E400" s="1" t="n">
        <v>46216</v>
      </c>
      <c r="F400" t="inlineStr">
        <is>
          <t>VÄSTERBOTTENS LÄN</t>
        </is>
      </c>
      <c r="G400" t="inlineStr">
        <is>
          <t>BJURHOLM</t>
        </is>
      </c>
      <c r="H400" t="inlineStr">
        <is>
          <t>Holmen skog AB</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15910-2025</t>
        </is>
      </c>
      <c r="B401" t="inlineStr">
        <is>
          <t>avverkningsanmälan</t>
        </is>
      </c>
      <c r="C401" t="inlineStr">
        <is>
          <t>Föryngringsavverkning</t>
        </is>
      </c>
      <c r="D401" s="1" t="n">
        <v>45749</v>
      </c>
      <c r="E401" s="1" t="n">
        <v>46216</v>
      </c>
      <c r="F401" t="inlineStr">
        <is>
          <t>VÄSTERBOTTENS LÄN</t>
        </is>
      </c>
      <c r="G401" t="inlineStr">
        <is>
          <t>BJURHOLM</t>
        </is>
      </c>
      <c r="I401" t="n">
        <v>6</v>
      </c>
      <c r="J401" t="n">
        <v>0</v>
      </c>
      <c r="K401" t="n">
        <v>0</v>
      </c>
      <c r="L401" t="n">
        <v>0</v>
      </c>
      <c r="M401" t="n">
        <v>0</v>
      </c>
      <c r="N401" t="n">
        <v>0</v>
      </c>
      <c r="O401" t="n">
        <v>0</v>
      </c>
      <c r="P401" t="n">
        <v>0</v>
      </c>
      <c r="Q401" t="n">
        <v>0</v>
      </c>
      <c r="R401" t="n">
        <v>0</v>
      </c>
      <c r="S401" t="n">
        <v>0</v>
      </c>
      <c r="T401" t="n">
        <v>0</v>
      </c>
      <c r="U401" s="2" t="inlineStr"/>
    </row>
    <row r="402" ht="15" customHeight="1">
      <c r="A402" t="inlineStr">
        <is>
          <t>A 23074-2025</t>
        </is>
      </c>
      <c r="B402" t="inlineStr">
        <is>
          <t>avverkningsanmälan</t>
        </is>
      </c>
      <c r="C402" t="inlineStr">
        <is>
          <t>Föryngringsavverkning</t>
        </is>
      </c>
      <c r="D402" s="1" t="n">
        <v>45790</v>
      </c>
      <c r="E402" s="1" t="n">
        <v>46216</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29641-2024</t>
        </is>
      </c>
      <c r="B403" t="inlineStr">
        <is>
          <t>avverkningsanmälan</t>
        </is>
      </c>
      <c r="C403" t="inlineStr">
        <is>
          <t>Föryngringsavverkning</t>
        </is>
      </c>
      <c r="D403" s="1" t="n">
        <v>45484</v>
      </c>
      <c r="E403" s="1" t="n">
        <v>46216</v>
      </c>
      <c r="F403" t="inlineStr">
        <is>
          <t>VÄSTERBOTTENS LÄN</t>
        </is>
      </c>
      <c r="G403" t="inlineStr">
        <is>
          <t>BJURHOLM</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43043-2024</t>
        </is>
      </c>
      <c r="B404" t="inlineStr">
        <is>
          <t>avverkningsanmälan</t>
        </is>
      </c>
      <c r="C404" t="inlineStr">
        <is>
          <t>Föryngringsavverkning</t>
        </is>
      </c>
      <c r="D404" s="1" t="n">
        <v>45567</v>
      </c>
      <c r="E404" s="1" t="n">
        <v>46216</v>
      </c>
      <c r="F404" t="inlineStr">
        <is>
          <t>VÄSTERBOTTENS LÄN</t>
        </is>
      </c>
      <c r="G404" t="inlineStr">
        <is>
          <t>BJURHOLM</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S 5075-2024</t>
        </is>
      </c>
      <c r="B405" t="inlineStr">
        <is>
          <t>samrådsanmälan</t>
        </is>
      </c>
      <c r="C405" t="inlineStr">
        <is>
          <t>Annan skogsbruksåtgärd</t>
        </is>
      </c>
      <c r="D405" s="1" t="n">
        <v>45638</v>
      </c>
      <c r="E405" s="1" t="n">
        <v>46216</v>
      </c>
      <c r="F405" t="inlineStr">
        <is>
          <t>VÄSTERBOTTENS LÄN</t>
        </is>
      </c>
      <c r="G405" t="inlineStr">
        <is>
          <t>BJURHOLM</t>
        </is>
      </c>
      <c r="H405" t="inlineStr">
        <is>
          <t>SCA</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S 1118-2024</t>
        </is>
      </c>
      <c r="B406" t="inlineStr">
        <is>
          <t>samrådsanmälan</t>
        </is>
      </c>
      <c r="C406" t="inlineStr">
        <is>
          <t>Annan skogsbruksåtgärd</t>
        </is>
      </c>
      <c r="D406" s="1" t="n">
        <v>45393</v>
      </c>
      <c r="E406" s="1" t="n">
        <v>46216</v>
      </c>
      <c r="F406" t="inlineStr">
        <is>
          <t>VÄSTERBOTTENS LÄN</t>
        </is>
      </c>
      <c r="G406" t="inlineStr">
        <is>
          <t>BJURHOLM</t>
        </is>
      </c>
      <c r="H406" t="inlineStr">
        <is>
          <t>SCA</t>
        </is>
      </c>
      <c r="I406" t="n">
        <v>5.3</v>
      </c>
      <c r="J406" t="n">
        <v>0</v>
      </c>
      <c r="K406" t="n">
        <v>0</v>
      </c>
      <c r="L406" t="n">
        <v>0</v>
      </c>
      <c r="M406" t="n">
        <v>0</v>
      </c>
      <c r="N406" t="n">
        <v>0</v>
      </c>
      <c r="O406" t="n">
        <v>0</v>
      </c>
      <c r="P406" t="n">
        <v>0</v>
      </c>
      <c r="Q406" t="n">
        <v>0</v>
      </c>
      <c r="R406" t="n">
        <v>0</v>
      </c>
      <c r="S406" t="n">
        <v>0</v>
      </c>
      <c r="T406" t="n">
        <v>0</v>
      </c>
      <c r="U406" s="2" t="inlineStr"/>
    </row>
    <row r="407" ht="15" customHeight="1">
      <c r="A407" t="inlineStr">
        <is>
          <t>S 1122-2024</t>
        </is>
      </c>
      <c r="B407" t="inlineStr">
        <is>
          <t>samrådsanmälan</t>
        </is>
      </c>
      <c r="C407" t="inlineStr">
        <is>
          <t>Annan skogsbruksåtgärd</t>
        </is>
      </c>
      <c r="D407" s="1" t="n">
        <v>45393</v>
      </c>
      <c r="E407" s="1" t="n">
        <v>46216</v>
      </c>
      <c r="F407" t="inlineStr">
        <is>
          <t>VÄSTERBOTTENS LÄN</t>
        </is>
      </c>
      <c r="G407" t="inlineStr">
        <is>
          <t>BJURHOLM</t>
        </is>
      </c>
      <c r="H407" t="inlineStr">
        <is>
          <t>SCA</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S 1541-2022</t>
        </is>
      </c>
      <c r="B408" t="inlineStr">
        <is>
          <t>samrådsanmälan</t>
        </is>
      </c>
      <c r="C408" t="inlineStr">
        <is>
          <t>Skogsgödsling</t>
        </is>
      </c>
      <c r="D408" s="1" t="n">
        <v>44642</v>
      </c>
      <c r="E408" s="1" t="n">
        <v>46216</v>
      </c>
      <c r="F408" t="inlineStr">
        <is>
          <t>VÄSTERBOTTENS LÄN</t>
        </is>
      </c>
      <c r="G408" t="inlineStr">
        <is>
          <t>BJURHOLM</t>
        </is>
      </c>
      <c r="I408" t="n">
        <v>8.5</v>
      </c>
      <c r="J408" t="n">
        <v>0</v>
      </c>
      <c r="K408" t="n">
        <v>0</v>
      </c>
      <c r="L408" t="n">
        <v>0</v>
      </c>
      <c r="M408" t="n">
        <v>0</v>
      </c>
      <c r="N408" t="n">
        <v>0</v>
      </c>
      <c r="O408" t="n">
        <v>0</v>
      </c>
      <c r="P408" t="n">
        <v>0</v>
      </c>
      <c r="Q408" t="n">
        <v>0</v>
      </c>
      <c r="R408" t="n">
        <v>0</v>
      </c>
      <c r="S408" t="n">
        <v>0</v>
      </c>
      <c r="T408" t="n">
        <v>0</v>
      </c>
      <c r="U408" s="2" t="inlineStr"/>
    </row>
    <row r="409" ht="15" customHeight="1">
      <c r="A409" t="inlineStr">
        <is>
          <t>S 20-2022</t>
        </is>
      </c>
      <c r="B409" t="inlineStr">
        <is>
          <t>samrådsanmälan</t>
        </is>
      </c>
      <c r="C409" t="inlineStr">
        <is>
          <t>Skogsgödsling</t>
        </is>
      </c>
      <c r="D409" s="1" t="n">
        <v>44559</v>
      </c>
      <c r="E409" s="1" t="n">
        <v>46216</v>
      </c>
      <c r="F409" t="inlineStr">
        <is>
          <t>VÄSTERBOTTENS LÄN</t>
        </is>
      </c>
      <c r="G409" t="inlineStr">
        <is>
          <t>BJURHOLM</t>
        </is>
      </c>
      <c r="H409" t="inlineStr">
        <is>
          <t>Holmen skog AB</t>
        </is>
      </c>
      <c r="I409" t="n">
        <v>199.4</v>
      </c>
      <c r="J409" t="n">
        <v>0</v>
      </c>
      <c r="K409" t="n">
        <v>0</v>
      </c>
      <c r="L409" t="n">
        <v>0</v>
      </c>
      <c r="M409" t="n">
        <v>0</v>
      </c>
      <c r="N409" t="n">
        <v>0</v>
      </c>
      <c r="O409" t="n">
        <v>0</v>
      </c>
      <c r="P409" t="n">
        <v>0</v>
      </c>
      <c r="Q409" t="n">
        <v>0</v>
      </c>
      <c r="R409" t="n">
        <v>0</v>
      </c>
      <c r="S409" t="n">
        <v>0</v>
      </c>
      <c r="T409" t="n">
        <v>0</v>
      </c>
      <c r="U409" s="2" t="inlineStr"/>
    </row>
    <row r="410" ht="15" customHeight="1">
      <c r="A410" t="inlineStr">
        <is>
          <t>S 4196-2023</t>
        </is>
      </c>
      <c r="B410" t="inlineStr">
        <is>
          <t>samrådsanmälan</t>
        </is>
      </c>
      <c r="C410" t="inlineStr">
        <is>
          <t>Skogsgödsling</t>
        </is>
      </c>
      <c r="D410" s="1" t="n">
        <v>45250</v>
      </c>
      <c r="E410" s="1" t="n">
        <v>46216</v>
      </c>
      <c r="F410" t="inlineStr">
        <is>
          <t>VÄSTERBOTTENS LÄN</t>
        </is>
      </c>
      <c r="G410" t="inlineStr">
        <is>
          <t>BJURHOLM</t>
        </is>
      </c>
      <c r="H410" t="inlineStr">
        <is>
          <t>Holmen skog AB</t>
        </is>
      </c>
      <c r="I410" t="n">
        <v>69.8</v>
      </c>
      <c r="J410" t="n">
        <v>0</v>
      </c>
      <c r="K410" t="n">
        <v>0</v>
      </c>
      <c r="L410" t="n">
        <v>0</v>
      </c>
      <c r="M410" t="n">
        <v>0</v>
      </c>
      <c r="N410" t="n">
        <v>0</v>
      </c>
      <c r="O410" t="n">
        <v>0</v>
      </c>
      <c r="P410" t="n">
        <v>0</v>
      </c>
      <c r="Q410" t="n">
        <v>0</v>
      </c>
      <c r="R410" t="n">
        <v>0</v>
      </c>
      <c r="S410" t="n">
        <v>0</v>
      </c>
      <c r="T410" t="n">
        <v>0</v>
      </c>
      <c r="U410" s="2" t="inlineStr"/>
    </row>
    <row r="411" ht="15" customHeight="1">
      <c r="A411" t="inlineStr">
        <is>
          <t>S 1196-2025</t>
        </is>
      </c>
      <c r="B411" t="inlineStr">
        <is>
          <t>samrådsanmälan</t>
        </is>
      </c>
      <c r="C411" t="inlineStr">
        <is>
          <t>Annan skogsbruksåtgärd</t>
        </is>
      </c>
      <c r="D411" s="1" t="n">
        <v>45756</v>
      </c>
      <c r="E411" s="1" t="n">
        <v>46216</v>
      </c>
      <c r="F411" t="inlineStr">
        <is>
          <t>VÄSTERBOTTENS LÄN</t>
        </is>
      </c>
      <c r="G411" t="inlineStr">
        <is>
          <t>BJURHOLM</t>
        </is>
      </c>
      <c r="H411" t="inlineStr">
        <is>
          <t>SCA</t>
        </is>
      </c>
      <c r="I411" t="n">
        <v>14.7</v>
      </c>
      <c r="J411" t="n">
        <v>0</v>
      </c>
      <c r="K411" t="n">
        <v>0</v>
      </c>
      <c r="L411" t="n">
        <v>0</v>
      </c>
      <c r="M411" t="n">
        <v>0</v>
      </c>
      <c r="N411" t="n">
        <v>0</v>
      </c>
      <c r="O411" t="n">
        <v>0</v>
      </c>
      <c r="P411" t="n">
        <v>0</v>
      </c>
      <c r="Q411" t="n">
        <v>0</v>
      </c>
      <c r="R411" t="n">
        <v>0</v>
      </c>
      <c r="S411" t="n">
        <v>0</v>
      </c>
      <c r="T411" t="n">
        <v>0</v>
      </c>
      <c r="U411" s="2" t="inlineStr"/>
    </row>
    <row r="412" ht="15" customHeight="1">
      <c r="A412" t="inlineStr">
        <is>
          <t>S 3066-2025</t>
        </is>
      </c>
      <c r="B412" t="inlineStr">
        <is>
          <t>samrådsanmälan</t>
        </is>
      </c>
      <c r="C412" t="inlineStr">
        <is>
          <t>Annan skogsbruksåtgärd</t>
        </is>
      </c>
      <c r="D412" s="1" t="n">
        <v>45964</v>
      </c>
      <c r="E412" s="1" t="n">
        <v>46216</v>
      </c>
      <c r="F412" t="inlineStr">
        <is>
          <t>VÄSTERBOTTENS LÄN</t>
        </is>
      </c>
      <c r="G412" t="inlineStr">
        <is>
          <t>BJURHOLM</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S 1169-2026</t>
        </is>
      </c>
      <c r="B413" t="inlineStr">
        <is>
          <t>samrådsanmälan</t>
        </is>
      </c>
      <c r="C413" t="inlineStr">
        <is>
          <t>Skogsgödsling</t>
        </is>
      </c>
      <c r="D413" s="1" t="n">
        <v>46135</v>
      </c>
      <c r="E413" s="1" t="n">
        <v>46216</v>
      </c>
      <c r="F413" t="inlineStr">
        <is>
          <t>VÄSTERBOTTENS LÄN</t>
        </is>
      </c>
      <c r="G413" t="inlineStr">
        <is>
          <t>BJURHOLM</t>
        </is>
      </c>
      <c r="I413" t="n">
        <v>3.3</v>
      </c>
      <c r="J413" t="n">
        <v>0</v>
      </c>
      <c r="K413" t="n">
        <v>0</v>
      </c>
      <c r="L413" t="n">
        <v>0</v>
      </c>
      <c r="M413" t="n">
        <v>0</v>
      </c>
      <c r="N413" t="n">
        <v>0</v>
      </c>
      <c r="O413" t="n">
        <v>0</v>
      </c>
      <c r="P413" t="n">
        <v>0</v>
      </c>
      <c r="Q413" t="n">
        <v>0</v>
      </c>
      <c r="R413" t="n">
        <v>0</v>
      </c>
      <c r="S413" t="n">
        <v>0</v>
      </c>
      <c r="T413" t="n">
        <v>0</v>
      </c>
      <c r="U413" s="2" t="inlineStr"/>
    </row>
    <row r="414">
      <c r="A414" t="inlineStr">
        <is>
          <t>S 1349-2026</t>
        </is>
      </c>
      <c r="B414" t="inlineStr">
        <is>
          <t>samrådsanmälan</t>
        </is>
      </c>
      <c r="C414" t="inlineStr">
        <is>
          <t>Skogsgödsling</t>
        </is>
      </c>
      <c r="D414" s="1" t="n">
        <v>46150</v>
      </c>
      <c r="E414" s="1" t="n">
        <v>46216</v>
      </c>
      <c r="F414" t="inlineStr">
        <is>
          <t>VÄSTERBOTTENS LÄN</t>
        </is>
      </c>
      <c r="G414" t="inlineStr">
        <is>
          <t>BJURHOLM</t>
        </is>
      </c>
      <c r="I414" t="n">
        <v>6.3</v>
      </c>
      <c r="J414" t="n">
        <v>0</v>
      </c>
      <c r="K414" t="n">
        <v>0</v>
      </c>
      <c r="L414" t="n">
        <v>0</v>
      </c>
      <c r="M414" t="n">
        <v>0</v>
      </c>
      <c r="N414" t="n">
        <v>0</v>
      </c>
      <c r="O414" t="n">
        <v>0</v>
      </c>
      <c r="P414" t="n">
        <v>0</v>
      </c>
      <c r="Q414" t="n">
        <v>0</v>
      </c>
      <c r="R414" t="n">
        <v>0</v>
      </c>
      <c r="S414" t="n">
        <v>0</v>
      </c>
      <c r="T414" t="n">
        <v>0</v>
      </c>
      <c r="U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2026-07-13T14:50:30Z</dcterms:created>
  <dcterms:modified xmlns:dcterms="http://purl.org/dc/terms/" xmlns:xsi="http://www.w3.org/2001/XMLSchema-instance" xsi:type="dcterms:W3CDTF">2026-07-13T14:50:30Z</dcterms:modified>
</cp:coreProperties>
</file>