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45272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45272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45272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45272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45272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45272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45272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45272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45272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45272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45272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45272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45272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45272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45272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45272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45272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45272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45272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45272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45272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45272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40016-2018</t>
        </is>
      </c>
      <c r="B24" s="1" t="n">
        <v>43342</v>
      </c>
      <c r="C24" s="1" t="n">
        <v>45272</v>
      </c>
      <c r="D24" t="inlineStr">
        <is>
          <t>VÄSTERBOTTENS LÄN</t>
        </is>
      </c>
      <c r="E24" t="inlineStr">
        <is>
          <t>BJURHOLM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Stuplav</t>
        </is>
      </c>
      <c r="S24">
        <f>HYPERLINK("https://klasma.github.io/Logging_2403/artfynd/A 40016-2018 artfynd.xlsx", "A 40016-2018")</f>
        <v/>
      </c>
      <c r="T24">
        <f>HYPERLINK("https://klasma.github.io/Logging_2403/kartor/A 40016-2018 karta.png", "A 40016-2018")</f>
        <v/>
      </c>
      <c r="V24">
        <f>HYPERLINK("https://klasma.github.io/Logging_2403/klagomål/A 40016-2018 FSC-klagomål.docx", "A 40016-2018")</f>
        <v/>
      </c>
      <c r="W24">
        <f>HYPERLINK("https://klasma.github.io/Logging_2403/klagomålsmail/A 40016-2018 FSC-klagomål mail.docx", "A 40016-2018")</f>
        <v/>
      </c>
      <c r="X24">
        <f>HYPERLINK("https://klasma.github.io/Logging_2403/tillsyn/A 40016-2018 tillsynsbegäran.docx", "A 40016-2018")</f>
        <v/>
      </c>
      <c r="Y24">
        <f>HYPERLINK("https://klasma.github.io/Logging_2403/tillsynsmail/A 40016-2018 tillsynsbegäran mail.docx", "A 40016-2018")</f>
        <v/>
      </c>
    </row>
    <row r="25" ht="15" customHeight="1">
      <c r="A25" t="inlineStr">
        <is>
          <t>A 58398-2019</t>
        </is>
      </c>
      <c r="B25" s="1" t="n">
        <v>43772</v>
      </c>
      <c r="C25" s="1" t="n">
        <v>45272</v>
      </c>
      <c r="D25" t="inlineStr">
        <is>
          <t>VÄSTERBOTTENS LÄN</t>
        </is>
      </c>
      <c r="E25" t="inlineStr">
        <is>
          <t>BJURHOLM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Tallticka</t>
        </is>
      </c>
      <c r="S25">
        <f>HYPERLINK("https://klasma.github.io/Logging_2403/artfynd/A 58398-2019 artfynd.xlsx", "A 58398-2019")</f>
        <v/>
      </c>
      <c r="T25">
        <f>HYPERLINK("https://klasma.github.io/Logging_2403/kartor/A 58398-2019 karta.png", "A 58398-2019")</f>
        <v/>
      </c>
      <c r="V25">
        <f>HYPERLINK("https://klasma.github.io/Logging_2403/klagomål/A 58398-2019 FSC-klagomål.docx", "A 58398-2019")</f>
        <v/>
      </c>
      <c r="W25">
        <f>HYPERLINK("https://klasma.github.io/Logging_2403/klagomålsmail/A 58398-2019 FSC-klagomål mail.docx", "A 58398-2019")</f>
        <v/>
      </c>
      <c r="X25">
        <f>HYPERLINK("https://klasma.github.io/Logging_2403/tillsyn/A 58398-2019 tillsynsbegäran.docx", "A 58398-2019")</f>
        <v/>
      </c>
      <c r="Y25">
        <f>HYPERLINK("https://klasma.github.io/Logging_2403/tillsynsmail/A 58398-2019 tillsynsbegäran mail.docx", "A 58398-2019")</f>
        <v/>
      </c>
    </row>
    <row r="26" ht="15" customHeight="1">
      <c r="A26" t="inlineStr">
        <is>
          <t>A 54823-2022</t>
        </is>
      </c>
      <c r="B26" s="1" t="n">
        <v>44883</v>
      </c>
      <c r="C26" s="1" t="n">
        <v>45272</v>
      </c>
      <c r="D26" t="inlineStr">
        <is>
          <t>VÄSTERBOTTENS LÄN</t>
        </is>
      </c>
      <c r="E26" t="inlineStr">
        <is>
          <t>BJURHOLM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HYPERLINK("https://klasma.github.io/Logging_2403/artfynd/A 54823-2022 artfynd.xlsx", "A 54823-2022")</f>
        <v/>
      </c>
      <c r="T26">
        <f>HYPERLINK("https://klasma.github.io/Logging_2403/kartor/A 54823-2022 karta.png", "A 54823-2022")</f>
        <v/>
      </c>
      <c r="V26">
        <f>HYPERLINK("https://klasma.github.io/Logging_2403/klagomål/A 54823-2022 FSC-klagomål.docx", "A 54823-2022")</f>
        <v/>
      </c>
      <c r="W26">
        <f>HYPERLINK("https://klasma.github.io/Logging_2403/klagomålsmail/A 54823-2022 FSC-klagomål mail.docx", "A 54823-2022")</f>
        <v/>
      </c>
      <c r="X26">
        <f>HYPERLINK("https://klasma.github.io/Logging_2403/tillsyn/A 54823-2022 tillsynsbegäran.docx", "A 54823-2022")</f>
        <v/>
      </c>
      <c r="Y26">
        <f>HYPERLINK("https://klasma.github.io/Logging_2403/tillsynsmail/A 54823-2022 tillsynsbegäran mail.docx", "A 54823-2022")</f>
        <v/>
      </c>
    </row>
    <row r="27" ht="15" customHeight="1">
      <c r="A27" t="inlineStr">
        <is>
          <t>A 57634-2022</t>
        </is>
      </c>
      <c r="B27" s="1" t="n">
        <v>44897</v>
      </c>
      <c r="C27" s="1" t="n">
        <v>45272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HYPERLINK("https://klasma.github.io/Logging_2403/artfynd/A 57634-2022 artfynd.xlsx", "A 57634-2022")</f>
        <v/>
      </c>
      <c r="T27">
        <f>HYPERLINK("https://klasma.github.io/Logging_2403/kartor/A 57634-2022 karta.png", "A 57634-2022")</f>
        <v/>
      </c>
      <c r="V27">
        <f>HYPERLINK("https://klasma.github.io/Logging_2403/klagomål/A 57634-2022 FSC-klagomål.docx", "A 57634-2022")</f>
        <v/>
      </c>
      <c r="W27">
        <f>HYPERLINK("https://klasma.github.io/Logging_2403/klagomålsmail/A 57634-2022 FSC-klagomål mail.docx", "A 57634-2022")</f>
        <v/>
      </c>
      <c r="X27">
        <f>HYPERLINK("https://klasma.github.io/Logging_2403/tillsyn/A 57634-2022 tillsynsbegäran.docx", "A 57634-2022")</f>
        <v/>
      </c>
      <c r="Y27">
        <f>HYPERLINK("https://klasma.github.io/Logging_2403/tillsynsmail/A 57634-2022 tillsynsbegäran mail.docx", "A 57634-2022")</f>
        <v/>
      </c>
    </row>
    <row r="28" ht="15" customHeight="1">
      <c r="A28" t="inlineStr">
        <is>
          <t>A 60688-2022</t>
        </is>
      </c>
      <c r="B28" s="1" t="n">
        <v>44911</v>
      </c>
      <c r="C28" s="1" t="n">
        <v>45272</v>
      </c>
      <c r="D28" t="inlineStr">
        <is>
          <t>VÄSTERBOTTENS LÄN</t>
        </is>
      </c>
      <c r="E28" t="inlineStr">
        <is>
          <t>BJURHOLM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Talltaggsvamp
Stuplav</t>
        </is>
      </c>
      <c r="S28">
        <f>HYPERLINK("https://klasma.github.io/Logging_2403/artfynd/A 60688-2022 artfynd.xlsx", "A 60688-2022")</f>
        <v/>
      </c>
      <c r="T28">
        <f>HYPERLINK("https://klasma.github.io/Logging_2403/kartor/A 60688-2022 karta.png", "A 60688-2022")</f>
        <v/>
      </c>
      <c r="V28">
        <f>HYPERLINK("https://klasma.github.io/Logging_2403/klagomål/A 60688-2022 FSC-klagomål.docx", "A 60688-2022")</f>
        <v/>
      </c>
      <c r="W28">
        <f>HYPERLINK("https://klasma.github.io/Logging_2403/klagomålsmail/A 60688-2022 FSC-klagomål mail.docx", "A 60688-2022")</f>
        <v/>
      </c>
      <c r="X28">
        <f>HYPERLINK("https://klasma.github.io/Logging_2403/tillsyn/A 60688-2022 tillsynsbegäran.docx", "A 60688-2022")</f>
        <v/>
      </c>
      <c r="Y28">
        <f>HYPERLINK("https://klasma.github.io/Logging_2403/tillsynsmail/A 60688-2022 tillsynsbegäran mail.docx", "A 60688-2022")</f>
        <v/>
      </c>
    </row>
    <row r="29" ht="15" customHeight="1">
      <c r="A29" t="inlineStr">
        <is>
          <t>A 31206-2023</t>
        </is>
      </c>
      <c r="B29" s="1" t="n">
        <v>45113</v>
      </c>
      <c r="C29" s="1" t="n">
        <v>45272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Skarp dropptaggsvamp</t>
        </is>
      </c>
      <c r="S29">
        <f>HYPERLINK("https://klasma.github.io/Logging_2403/artfynd/A 31206-2023 artfynd.xlsx", "A 31206-2023")</f>
        <v/>
      </c>
      <c r="T29">
        <f>HYPERLINK("https://klasma.github.io/Logging_2403/kartor/A 31206-2023 karta.png", "A 31206-2023")</f>
        <v/>
      </c>
      <c r="U29">
        <f>HYPERLINK("https://klasma.github.io/Logging_2403/knärot/A 31206-2023 karta knärot.png", "A 31206-2023")</f>
        <v/>
      </c>
      <c r="V29">
        <f>HYPERLINK("https://klasma.github.io/Logging_2403/klagomål/A 31206-2023 FSC-klagomål.docx", "A 31206-2023")</f>
        <v/>
      </c>
      <c r="W29">
        <f>HYPERLINK("https://klasma.github.io/Logging_2403/klagomålsmail/A 31206-2023 FSC-klagomål mail.docx", "A 31206-2023")</f>
        <v/>
      </c>
      <c r="X29">
        <f>HYPERLINK("https://klasma.github.io/Logging_2403/tillsyn/A 31206-2023 tillsynsbegäran.docx", "A 31206-2023")</f>
        <v/>
      </c>
      <c r="Y29">
        <f>HYPERLINK("https://klasma.github.io/Logging_2403/tillsynsmail/A 31206-2023 tillsynsbegäran mail.docx", "A 31206-2023")</f>
        <v/>
      </c>
    </row>
    <row r="30" ht="15" customHeight="1">
      <c r="A30" t="inlineStr">
        <is>
          <t>A 31737-2023</t>
        </is>
      </c>
      <c r="B30" s="1" t="n">
        <v>45117</v>
      </c>
      <c r="C30" s="1" t="n">
        <v>45272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4.5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Vedskivlav</t>
        </is>
      </c>
      <c r="S30">
        <f>HYPERLINK("https://klasma.github.io/Logging_2403/artfynd/A 31737-2023 artfynd.xlsx", "A 31737-2023")</f>
        <v/>
      </c>
      <c r="T30">
        <f>HYPERLINK("https://klasma.github.io/Logging_2403/kartor/A 31737-2023 karta.png", "A 31737-2023")</f>
        <v/>
      </c>
      <c r="V30">
        <f>HYPERLINK("https://klasma.github.io/Logging_2403/klagomål/A 31737-2023 FSC-klagomål.docx", "A 31737-2023")</f>
        <v/>
      </c>
      <c r="W30">
        <f>HYPERLINK("https://klasma.github.io/Logging_2403/klagomålsmail/A 31737-2023 FSC-klagomål mail.docx", "A 31737-2023")</f>
        <v/>
      </c>
      <c r="X30">
        <f>HYPERLINK("https://klasma.github.io/Logging_2403/tillsyn/A 31737-2023 tillsynsbegäran.docx", "A 31737-2023")</f>
        <v/>
      </c>
      <c r="Y30">
        <f>HYPERLINK("https://klasma.github.io/Logging_2403/tillsynsmail/A 31737-2023 tillsynsbegäran mail.docx", "A 31737-2023")</f>
        <v/>
      </c>
    </row>
    <row r="31" ht="15" customHeight="1">
      <c r="A31" t="inlineStr">
        <is>
          <t>A 68353-2018</t>
        </is>
      </c>
      <c r="B31" s="1" t="n">
        <v>43441</v>
      </c>
      <c r="C31" s="1" t="n">
        <v>45272</v>
      </c>
      <c r="D31" t="inlineStr">
        <is>
          <t>VÄSTERBOTTENS LÄN</t>
        </is>
      </c>
      <c r="E31" t="inlineStr">
        <is>
          <t>BJURHOLM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HYPERLINK("https://klasma.github.io/Logging_2403/artfynd/A 68353-2018 artfynd.xlsx", "A 68353-2018")</f>
        <v/>
      </c>
      <c r="T31">
        <f>HYPERLINK("https://klasma.github.io/Logging_2403/kartor/A 68353-2018 karta.png", "A 68353-2018")</f>
        <v/>
      </c>
      <c r="V31">
        <f>HYPERLINK("https://klasma.github.io/Logging_2403/klagomål/A 68353-2018 FSC-klagomål.docx", "A 68353-2018")</f>
        <v/>
      </c>
      <c r="W31">
        <f>HYPERLINK("https://klasma.github.io/Logging_2403/klagomålsmail/A 68353-2018 FSC-klagomål mail.docx", "A 68353-2018")</f>
        <v/>
      </c>
      <c r="X31">
        <f>HYPERLINK("https://klasma.github.io/Logging_2403/tillsyn/A 68353-2018 tillsynsbegäran.docx", "A 68353-2018")</f>
        <v/>
      </c>
      <c r="Y31">
        <f>HYPERLINK("https://klasma.github.io/Logging_2403/tillsynsmail/A 68353-2018 tillsynsbegäran mail.docx", "A 68353-2018")</f>
        <v/>
      </c>
    </row>
    <row r="32" ht="15" customHeight="1">
      <c r="A32" t="inlineStr">
        <is>
          <t>A 7978-2019</t>
        </is>
      </c>
      <c r="B32" s="1" t="n">
        <v>43497</v>
      </c>
      <c r="C32" s="1" t="n">
        <v>45272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HYPERLINK("https://klasma.github.io/Logging_2403/artfynd/A 7978-2019 artfynd.xlsx", "A 7978-2019")</f>
        <v/>
      </c>
      <c r="T32">
        <f>HYPERLINK("https://klasma.github.io/Logging_2403/kartor/A 7978-2019 karta.png", "A 7978-2019")</f>
        <v/>
      </c>
      <c r="V32">
        <f>HYPERLINK("https://klasma.github.io/Logging_2403/klagomål/A 7978-2019 FSC-klagomål.docx", "A 7978-2019")</f>
        <v/>
      </c>
      <c r="W32">
        <f>HYPERLINK("https://klasma.github.io/Logging_2403/klagomålsmail/A 7978-2019 FSC-klagomål mail.docx", "A 7978-2019")</f>
        <v/>
      </c>
      <c r="X32">
        <f>HYPERLINK("https://klasma.github.io/Logging_2403/tillsyn/A 7978-2019 tillsynsbegäran.docx", "A 7978-2019")</f>
        <v/>
      </c>
      <c r="Y32">
        <f>HYPERLINK("https://klasma.github.io/Logging_2403/tillsynsmail/A 7978-2019 tillsynsbegäran mail.docx", "A 7978-2019")</f>
        <v/>
      </c>
    </row>
    <row r="33" ht="15" customHeight="1">
      <c r="A33" t="inlineStr">
        <is>
          <t>A 7576-2019</t>
        </is>
      </c>
      <c r="B33" s="1" t="n">
        <v>43497</v>
      </c>
      <c r="C33" s="1" t="n">
        <v>45272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39.8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HYPERLINK("https://klasma.github.io/Logging_2403/artfynd/A 7576-2019 artfynd.xlsx", "A 7576-2019")</f>
        <v/>
      </c>
      <c r="T33">
        <f>HYPERLINK("https://klasma.github.io/Logging_2403/kartor/A 7576-2019 karta.png", "A 7576-2019")</f>
        <v/>
      </c>
      <c r="V33">
        <f>HYPERLINK("https://klasma.github.io/Logging_2403/klagomål/A 7576-2019 FSC-klagomål.docx", "A 7576-2019")</f>
        <v/>
      </c>
      <c r="W33">
        <f>HYPERLINK("https://klasma.github.io/Logging_2403/klagomålsmail/A 7576-2019 FSC-klagomål mail.docx", "A 7576-2019")</f>
        <v/>
      </c>
      <c r="X33">
        <f>HYPERLINK("https://klasma.github.io/Logging_2403/tillsyn/A 7576-2019 tillsynsbegäran.docx", "A 7576-2019")</f>
        <v/>
      </c>
      <c r="Y33">
        <f>HYPERLINK("https://klasma.github.io/Logging_2403/tillsynsmail/A 7576-2019 tillsynsbegäran mail.docx", "A 7576-2019")</f>
        <v/>
      </c>
    </row>
    <row r="34" ht="15" customHeight="1">
      <c r="A34" t="inlineStr">
        <is>
          <t>A 19106-2019</t>
        </is>
      </c>
      <c r="B34" s="1" t="n">
        <v>43564</v>
      </c>
      <c r="C34" s="1" t="n">
        <v>45272</v>
      </c>
      <c r="D34" t="inlineStr">
        <is>
          <t>VÄSTERBOTTENS LÄN</t>
        </is>
      </c>
      <c r="E34" t="inlineStr">
        <is>
          <t>BJURHOLM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HYPERLINK("https://klasma.github.io/Logging_2403/artfynd/A 19106-2019 artfynd.xlsx", "A 19106-2019")</f>
        <v/>
      </c>
      <c r="T34">
        <f>HYPERLINK("https://klasma.github.io/Logging_2403/kartor/A 19106-2019 karta.png", "A 19106-2019")</f>
        <v/>
      </c>
      <c r="V34">
        <f>HYPERLINK("https://klasma.github.io/Logging_2403/klagomål/A 19106-2019 FSC-klagomål.docx", "A 19106-2019")</f>
        <v/>
      </c>
      <c r="W34">
        <f>HYPERLINK("https://klasma.github.io/Logging_2403/klagomålsmail/A 19106-2019 FSC-klagomål mail.docx", "A 19106-2019")</f>
        <v/>
      </c>
      <c r="X34">
        <f>HYPERLINK("https://klasma.github.io/Logging_2403/tillsyn/A 19106-2019 tillsynsbegäran.docx", "A 19106-2019")</f>
        <v/>
      </c>
      <c r="Y34">
        <f>HYPERLINK("https://klasma.github.io/Logging_2403/tillsynsmail/A 19106-2019 tillsynsbegäran mail.docx", "A 19106-2019")</f>
        <v/>
      </c>
    </row>
    <row r="35" ht="15" customHeight="1">
      <c r="A35" t="inlineStr">
        <is>
          <t>A 39136-2019</t>
        </is>
      </c>
      <c r="B35" s="1" t="n">
        <v>43689</v>
      </c>
      <c r="C35" s="1" t="n">
        <v>45272</v>
      </c>
      <c r="D35" t="inlineStr">
        <is>
          <t>VÄSTERBOTTENS LÄN</t>
        </is>
      </c>
      <c r="E35" t="inlineStr">
        <is>
          <t>BJURHOLM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HYPERLINK("https://klasma.github.io/Logging_2403/artfynd/A 39136-2019 artfynd.xlsx", "A 39136-2019")</f>
        <v/>
      </c>
      <c r="T35">
        <f>HYPERLINK("https://klasma.github.io/Logging_2403/kartor/A 39136-2019 karta.png", "A 39136-2019")</f>
        <v/>
      </c>
      <c r="V35">
        <f>HYPERLINK("https://klasma.github.io/Logging_2403/klagomål/A 39136-2019 FSC-klagomål.docx", "A 39136-2019")</f>
        <v/>
      </c>
      <c r="W35">
        <f>HYPERLINK("https://klasma.github.io/Logging_2403/klagomålsmail/A 39136-2019 FSC-klagomål mail.docx", "A 39136-2019")</f>
        <v/>
      </c>
      <c r="X35">
        <f>HYPERLINK("https://klasma.github.io/Logging_2403/tillsyn/A 39136-2019 tillsynsbegäran.docx", "A 39136-2019")</f>
        <v/>
      </c>
      <c r="Y35">
        <f>HYPERLINK("https://klasma.github.io/Logging_2403/tillsynsmail/A 39136-2019 tillsynsbegäran mail.docx", "A 39136-2019")</f>
        <v/>
      </c>
    </row>
    <row r="36" ht="15" customHeight="1">
      <c r="A36" t="inlineStr">
        <is>
          <t>A 54215-2019</t>
        </is>
      </c>
      <c r="B36" s="1" t="n">
        <v>43753</v>
      </c>
      <c r="C36" s="1" t="n">
        <v>45272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HYPERLINK("https://klasma.github.io/Logging_2403/artfynd/A 54215-2019 artfynd.xlsx", "A 54215-2019")</f>
        <v/>
      </c>
      <c r="T36">
        <f>HYPERLINK("https://klasma.github.io/Logging_2403/kartor/A 54215-2019 karta.png", "A 54215-2019")</f>
        <v/>
      </c>
      <c r="U36">
        <f>HYPERLINK("https://klasma.github.io/Logging_2403/knärot/A 54215-2019 karta knärot.png", "A 54215-2019")</f>
        <v/>
      </c>
      <c r="V36">
        <f>HYPERLINK("https://klasma.github.io/Logging_2403/klagomål/A 54215-2019 FSC-klagomål.docx", "A 54215-2019")</f>
        <v/>
      </c>
      <c r="W36">
        <f>HYPERLINK("https://klasma.github.io/Logging_2403/klagomålsmail/A 54215-2019 FSC-klagomål mail.docx", "A 54215-2019")</f>
        <v/>
      </c>
      <c r="X36">
        <f>HYPERLINK("https://klasma.github.io/Logging_2403/tillsyn/A 54215-2019 tillsynsbegäran.docx", "A 54215-2019")</f>
        <v/>
      </c>
      <c r="Y36">
        <f>HYPERLINK("https://klasma.github.io/Logging_2403/tillsynsmail/A 54215-2019 tillsynsbegäran mail.docx", "A 54215-2019")</f>
        <v/>
      </c>
    </row>
    <row r="37" ht="15" customHeight="1">
      <c r="A37" t="inlineStr">
        <is>
          <t>A 495-2020</t>
        </is>
      </c>
      <c r="B37" s="1" t="n">
        <v>43837</v>
      </c>
      <c r="C37" s="1" t="n">
        <v>45272</v>
      </c>
      <c r="D37" t="inlineStr">
        <is>
          <t>VÄSTERBOTTENS LÄN</t>
        </is>
      </c>
      <c r="E37" t="inlineStr">
        <is>
          <t>BJURHOLM</t>
        </is>
      </c>
      <c r="F37" t="inlineStr">
        <is>
          <t>Sveaskog</t>
        </is>
      </c>
      <c r="G37" t="n">
        <v>10.7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HYPERLINK("https://klasma.github.io/Logging_2403/artfynd/A 495-2020 artfynd.xlsx", "A 495-2020")</f>
        <v/>
      </c>
      <c r="T37">
        <f>HYPERLINK("https://klasma.github.io/Logging_2403/kartor/A 495-2020 karta.png", "A 495-2020")</f>
        <v/>
      </c>
      <c r="V37">
        <f>HYPERLINK("https://klasma.github.io/Logging_2403/klagomål/A 495-2020 FSC-klagomål.docx", "A 495-2020")</f>
        <v/>
      </c>
      <c r="W37">
        <f>HYPERLINK("https://klasma.github.io/Logging_2403/klagomålsmail/A 495-2020 FSC-klagomål mail.docx", "A 495-2020")</f>
        <v/>
      </c>
      <c r="X37">
        <f>HYPERLINK("https://klasma.github.io/Logging_2403/tillsyn/A 495-2020 tillsynsbegäran.docx", "A 495-2020")</f>
        <v/>
      </c>
      <c r="Y37">
        <f>HYPERLINK("https://klasma.github.io/Logging_2403/tillsynsmail/A 495-2020 tillsynsbegäran mail.docx", "A 495-2020")</f>
        <v/>
      </c>
    </row>
    <row r="38" ht="15" customHeight="1">
      <c r="A38" t="inlineStr">
        <is>
          <t>A 19295-2020</t>
        </is>
      </c>
      <c r="B38" s="1" t="n">
        <v>43937</v>
      </c>
      <c r="C38" s="1" t="n">
        <v>45272</v>
      </c>
      <c r="D38" t="inlineStr">
        <is>
          <t>VÄSTERBOTTENS LÄN</t>
        </is>
      </c>
      <c r="E38" t="inlineStr">
        <is>
          <t>BJURHOLM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HYPERLINK("https://klasma.github.io/Logging_2403/artfynd/A 19295-2020 artfynd.xlsx", "A 19295-2020")</f>
        <v/>
      </c>
      <c r="T38">
        <f>HYPERLINK("https://klasma.github.io/Logging_2403/kartor/A 19295-2020 karta.png", "A 19295-2020")</f>
        <v/>
      </c>
      <c r="V38">
        <f>HYPERLINK("https://klasma.github.io/Logging_2403/klagomål/A 19295-2020 FSC-klagomål.docx", "A 19295-2020")</f>
        <v/>
      </c>
      <c r="W38">
        <f>HYPERLINK("https://klasma.github.io/Logging_2403/klagomålsmail/A 19295-2020 FSC-klagomål mail.docx", "A 19295-2020")</f>
        <v/>
      </c>
      <c r="X38">
        <f>HYPERLINK("https://klasma.github.io/Logging_2403/tillsyn/A 19295-2020 tillsynsbegäran.docx", "A 19295-2020")</f>
        <v/>
      </c>
      <c r="Y38">
        <f>HYPERLINK("https://klasma.github.io/Logging_2403/tillsynsmail/A 19295-2020 tillsynsbegäran mail.docx", "A 19295-2020")</f>
        <v/>
      </c>
    </row>
    <row r="39" ht="15" customHeight="1">
      <c r="A39" t="inlineStr">
        <is>
          <t>A 14083-2021</t>
        </is>
      </c>
      <c r="B39" s="1" t="n">
        <v>44277</v>
      </c>
      <c r="C39" s="1" t="n">
        <v>45272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HYPERLINK("https://klasma.github.io/Logging_2403/artfynd/A 14083-2021 artfynd.xlsx", "A 14083-2021")</f>
        <v/>
      </c>
      <c r="T39">
        <f>HYPERLINK("https://klasma.github.io/Logging_2403/kartor/A 14083-2021 karta.png", "A 14083-2021")</f>
        <v/>
      </c>
      <c r="V39">
        <f>HYPERLINK("https://klasma.github.io/Logging_2403/klagomål/A 14083-2021 FSC-klagomål.docx", "A 14083-2021")</f>
        <v/>
      </c>
      <c r="W39">
        <f>HYPERLINK("https://klasma.github.io/Logging_2403/klagomålsmail/A 14083-2021 FSC-klagomål mail.docx", "A 14083-2021")</f>
        <v/>
      </c>
      <c r="X39">
        <f>HYPERLINK("https://klasma.github.io/Logging_2403/tillsyn/A 14083-2021 tillsynsbegäran.docx", "A 14083-2021")</f>
        <v/>
      </c>
      <c r="Y39">
        <f>HYPERLINK("https://klasma.github.io/Logging_2403/tillsynsmail/A 14083-2021 tillsynsbegäran mail.docx", "A 14083-2021")</f>
        <v/>
      </c>
    </row>
    <row r="40" ht="15" customHeight="1">
      <c r="A40" t="inlineStr">
        <is>
          <t>A 14088-2021</t>
        </is>
      </c>
      <c r="B40" s="1" t="n">
        <v>44277</v>
      </c>
      <c r="C40" s="1" t="n">
        <v>45272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HYPERLINK("https://klasma.github.io/Logging_2403/artfynd/A 14088-2021 artfynd.xlsx", "A 14088-2021")</f>
        <v/>
      </c>
      <c r="T40">
        <f>HYPERLINK("https://klasma.github.io/Logging_2403/kartor/A 14088-2021 karta.png", "A 14088-2021")</f>
        <v/>
      </c>
      <c r="V40">
        <f>HYPERLINK("https://klasma.github.io/Logging_2403/klagomål/A 14088-2021 FSC-klagomål.docx", "A 14088-2021")</f>
        <v/>
      </c>
      <c r="W40">
        <f>HYPERLINK("https://klasma.github.io/Logging_2403/klagomålsmail/A 14088-2021 FSC-klagomål mail.docx", "A 14088-2021")</f>
        <v/>
      </c>
      <c r="X40">
        <f>HYPERLINK("https://klasma.github.io/Logging_2403/tillsyn/A 14088-2021 tillsynsbegäran.docx", "A 14088-2021")</f>
        <v/>
      </c>
      <c r="Y40">
        <f>HYPERLINK("https://klasma.github.io/Logging_2403/tillsynsmail/A 14088-2021 tillsynsbegäran mail.docx", "A 14088-2021")</f>
        <v/>
      </c>
    </row>
    <row r="41" ht="15" customHeight="1">
      <c r="A41" t="inlineStr">
        <is>
          <t>A 57865-2021</t>
        </is>
      </c>
      <c r="B41" s="1" t="n">
        <v>44484</v>
      </c>
      <c r="C41" s="1" t="n">
        <v>45272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HYPERLINK("https://klasma.github.io/Logging_2403/artfynd/A 57865-2021 artfynd.xlsx", "A 57865-2021")</f>
        <v/>
      </c>
      <c r="T41">
        <f>HYPERLINK("https://klasma.github.io/Logging_2403/kartor/A 57865-2021 karta.png", "A 57865-2021")</f>
        <v/>
      </c>
      <c r="V41">
        <f>HYPERLINK("https://klasma.github.io/Logging_2403/klagomål/A 57865-2021 FSC-klagomål.docx", "A 57865-2021")</f>
        <v/>
      </c>
      <c r="W41">
        <f>HYPERLINK("https://klasma.github.io/Logging_2403/klagomålsmail/A 57865-2021 FSC-klagomål mail.docx", "A 57865-2021")</f>
        <v/>
      </c>
      <c r="X41">
        <f>HYPERLINK("https://klasma.github.io/Logging_2403/tillsyn/A 57865-2021 tillsynsbegäran.docx", "A 57865-2021")</f>
        <v/>
      </c>
      <c r="Y41">
        <f>HYPERLINK("https://klasma.github.io/Logging_2403/tillsynsmail/A 57865-2021 tillsynsbegäran mail.docx", "A 57865-2021")</f>
        <v/>
      </c>
    </row>
    <row r="42" ht="15" customHeight="1">
      <c r="A42" t="inlineStr">
        <is>
          <t>A 16145-2022</t>
        </is>
      </c>
      <c r="B42" s="1" t="n">
        <v>44665</v>
      </c>
      <c r="C42" s="1" t="n">
        <v>45272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5.9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HYPERLINK("https://klasma.github.io/Logging_2403/artfynd/A 16145-2022 artfynd.xlsx", "A 16145-2022")</f>
        <v/>
      </c>
      <c r="T42">
        <f>HYPERLINK("https://klasma.github.io/Logging_2403/kartor/A 16145-2022 karta.png", "A 16145-2022")</f>
        <v/>
      </c>
      <c r="V42">
        <f>HYPERLINK("https://klasma.github.io/Logging_2403/klagomål/A 16145-2022 FSC-klagomål.docx", "A 16145-2022")</f>
        <v/>
      </c>
      <c r="W42">
        <f>HYPERLINK("https://klasma.github.io/Logging_2403/klagomålsmail/A 16145-2022 FSC-klagomål mail.docx", "A 16145-2022")</f>
        <v/>
      </c>
      <c r="X42">
        <f>HYPERLINK("https://klasma.github.io/Logging_2403/tillsyn/A 16145-2022 tillsynsbegäran.docx", "A 16145-2022")</f>
        <v/>
      </c>
      <c r="Y42">
        <f>HYPERLINK("https://klasma.github.io/Logging_2403/tillsynsmail/A 16145-2022 tillsynsbegäran mail.docx", "A 16145-2022")</f>
        <v/>
      </c>
    </row>
    <row r="43" ht="15" customHeight="1">
      <c r="A43" t="inlineStr">
        <is>
          <t>A 43969-2022</t>
        </is>
      </c>
      <c r="B43" s="1" t="n">
        <v>44837</v>
      </c>
      <c r="C43" s="1" t="n">
        <v>45272</v>
      </c>
      <c r="D43" t="inlineStr">
        <is>
          <t>VÄSTERBOTTENS LÄN</t>
        </is>
      </c>
      <c r="E43" t="inlineStr">
        <is>
          <t>BJURHOLM</t>
        </is>
      </c>
      <c r="G43" t="n">
        <v>2.3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Lappranunkel</t>
        </is>
      </c>
      <c r="S43">
        <f>HYPERLINK("https://klasma.github.io/Logging_2403/artfynd/A 43969-2022 artfynd.xlsx", "A 43969-2022")</f>
        <v/>
      </c>
      <c r="T43">
        <f>HYPERLINK("https://klasma.github.io/Logging_2403/kartor/A 43969-2022 karta.png", "A 43969-2022")</f>
        <v/>
      </c>
      <c r="V43">
        <f>HYPERLINK("https://klasma.github.io/Logging_2403/klagomål/A 43969-2022 FSC-klagomål.docx", "A 43969-2022")</f>
        <v/>
      </c>
      <c r="W43">
        <f>HYPERLINK("https://klasma.github.io/Logging_2403/klagomålsmail/A 43969-2022 FSC-klagomål mail.docx", "A 43969-2022")</f>
        <v/>
      </c>
      <c r="X43">
        <f>HYPERLINK("https://klasma.github.io/Logging_2403/tillsyn/A 43969-2022 tillsynsbegäran.docx", "A 43969-2022")</f>
        <v/>
      </c>
      <c r="Y43">
        <f>HYPERLINK("https://klasma.github.io/Logging_2403/tillsynsmail/A 43969-2022 tillsynsbegäran mail.docx", "A 43969-2022")</f>
        <v/>
      </c>
    </row>
    <row r="44" ht="15" customHeight="1">
      <c r="A44" t="inlineStr">
        <is>
          <t>A 52690-2022</t>
        </is>
      </c>
      <c r="B44" s="1" t="n">
        <v>44874</v>
      </c>
      <c r="C44" s="1" t="n">
        <v>45272</v>
      </c>
      <c r="D44" t="inlineStr">
        <is>
          <t>VÄSTERBOTTENS LÄN</t>
        </is>
      </c>
      <c r="E44" t="inlineStr">
        <is>
          <t>BJURHOLM</t>
        </is>
      </c>
      <c r="F44" t="inlineStr">
        <is>
          <t>Sveaskog</t>
        </is>
      </c>
      <c r="G44" t="n">
        <v>17.3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HYPERLINK("https://klasma.github.io/Logging_2403/artfynd/A 52690-2022 artfynd.xlsx", "A 52690-2022")</f>
        <v/>
      </c>
      <c r="T44">
        <f>HYPERLINK("https://klasma.github.io/Logging_2403/kartor/A 52690-2022 karta.png", "A 52690-2022")</f>
        <v/>
      </c>
      <c r="V44">
        <f>HYPERLINK("https://klasma.github.io/Logging_2403/klagomål/A 52690-2022 FSC-klagomål.docx", "A 52690-2022")</f>
        <v/>
      </c>
      <c r="W44">
        <f>HYPERLINK("https://klasma.github.io/Logging_2403/klagomålsmail/A 52690-2022 FSC-klagomål mail.docx", "A 52690-2022")</f>
        <v/>
      </c>
      <c r="X44">
        <f>HYPERLINK("https://klasma.github.io/Logging_2403/tillsyn/A 52690-2022 tillsynsbegäran.docx", "A 52690-2022")</f>
        <v/>
      </c>
      <c r="Y44">
        <f>HYPERLINK("https://klasma.github.io/Logging_2403/tillsynsmail/A 52690-2022 tillsynsbegäran mail.docx", "A 52690-2022")</f>
        <v/>
      </c>
    </row>
    <row r="45" ht="15" customHeight="1">
      <c r="A45" t="inlineStr">
        <is>
          <t>A 62112-2022</t>
        </is>
      </c>
      <c r="B45" s="1" t="n">
        <v>44920</v>
      </c>
      <c r="C45" s="1" t="n">
        <v>45272</v>
      </c>
      <c r="D45" t="inlineStr">
        <is>
          <t>VÄSTERBOTTENS LÄN</t>
        </is>
      </c>
      <c r="E45" t="inlineStr">
        <is>
          <t>BJURHOLM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HYPERLINK("https://klasma.github.io/Logging_2403/artfynd/A 62112-2022 artfynd.xlsx", "A 62112-2022")</f>
        <v/>
      </c>
      <c r="T45">
        <f>HYPERLINK("https://klasma.github.io/Logging_2403/kartor/A 62112-2022 karta.png", "A 62112-2022")</f>
        <v/>
      </c>
      <c r="V45">
        <f>HYPERLINK("https://klasma.github.io/Logging_2403/klagomål/A 62112-2022 FSC-klagomål.docx", "A 62112-2022")</f>
        <v/>
      </c>
      <c r="W45">
        <f>HYPERLINK("https://klasma.github.io/Logging_2403/klagomålsmail/A 62112-2022 FSC-klagomål mail.docx", "A 62112-2022")</f>
        <v/>
      </c>
      <c r="X45">
        <f>HYPERLINK("https://klasma.github.io/Logging_2403/tillsyn/A 62112-2022 tillsynsbegäran.docx", "A 62112-2022")</f>
        <v/>
      </c>
      <c r="Y45">
        <f>HYPERLINK("https://klasma.github.io/Logging_2403/tillsynsmail/A 62112-2022 tillsynsbegäran mail.docx", "A 62112-2022")</f>
        <v/>
      </c>
    </row>
    <row r="46" ht="15" customHeight="1">
      <c r="A46" t="inlineStr">
        <is>
          <t>A 11819-2023</t>
        </is>
      </c>
      <c r="B46" s="1" t="n">
        <v>44994</v>
      </c>
      <c r="C46" s="1" t="n">
        <v>45272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HYPERLINK("https://klasma.github.io/Logging_2403/artfynd/A 11819-2023 artfynd.xlsx", "A 11819-2023")</f>
        <v/>
      </c>
      <c r="T46">
        <f>HYPERLINK("https://klasma.github.io/Logging_2403/kartor/A 11819-2023 karta.png", "A 11819-2023")</f>
        <v/>
      </c>
      <c r="V46">
        <f>HYPERLINK("https://klasma.github.io/Logging_2403/klagomål/A 11819-2023 FSC-klagomål.docx", "A 11819-2023")</f>
        <v/>
      </c>
      <c r="W46">
        <f>HYPERLINK("https://klasma.github.io/Logging_2403/klagomålsmail/A 11819-2023 FSC-klagomål mail.docx", "A 11819-2023")</f>
        <v/>
      </c>
      <c r="X46">
        <f>HYPERLINK("https://klasma.github.io/Logging_2403/tillsyn/A 11819-2023 tillsynsbegäran.docx", "A 11819-2023")</f>
        <v/>
      </c>
      <c r="Y46">
        <f>HYPERLINK("https://klasma.github.io/Logging_2403/tillsynsmail/A 11819-2023 tillsynsbegäran mail.docx", "A 11819-2023")</f>
        <v/>
      </c>
    </row>
    <row r="47" ht="15" customHeight="1">
      <c r="A47" t="inlineStr">
        <is>
          <t>A 20608-2023</t>
        </is>
      </c>
      <c r="B47" s="1" t="n">
        <v>45057</v>
      </c>
      <c r="C47" s="1" t="n">
        <v>45272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10.5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Goliatmusseron</t>
        </is>
      </c>
      <c r="S47">
        <f>HYPERLINK("https://klasma.github.io/Logging_2403/artfynd/A 20608-2023 artfynd.xlsx", "A 20608-2023")</f>
        <v/>
      </c>
      <c r="T47">
        <f>HYPERLINK("https://klasma.github.io/Logging_2403/kartor/A 20608-2023 karta.png", "A 20608-2023")</f>
        <v/>
      </c>
      <c r="V47">
        <f>HYPERLINK("https://klasma.github.io/Logging_2403/klagomål/A 20608-2023 FSC-klagomål.docx", "A 20608-2023")</f>
        <v/>
      </c>
      <c r="W47">
        <f>HYPERLINK("https://klasma.github.io/Logging_2403/klagomålsmail/A 20608-2023 FSC-klagomål mail.docx", "A 20608-2023")</f>
        <v/>
      </c>
      <c r="X47">
        <f>HYPERLINK("https://klasma.github.io/Logging_2403/tillsyn/A 20608-2023 tillsynsbegäran.docx", "A 20608-2023")</f>
        <v/>
      </c>
      <c r="Y47">
        <f>HYPERLINK("https://klasma.github.io/Logging_2403/tillsynsmail/A 20608-2023 tillsynsbegäran mail.docx", "A 20608-2023")</f>
        <v/>
      </c>
    </row>
    <row r="48" ht="15" customHeight="1">
      <c r="A48" t="inlineStr">
        <is>
          <t>A 35280-2023</t>
        </is>
      </c>
      <c r="B48" s="1" t="n">
        <v>45145</v>
      </c>
      <c r="C48" s="1" t="n">
        <v>45272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35280-2023 artfynd.xlsx", "A 35280-2023")</f>
        <v/>
      </c>
      <c r="T48">
        <f>HYPERLINK("https://klasma.github.io/Logging_2403/kartor/A 35280-2023 karta.png", "A 35280-2023")</f>
        <v/>
      </c>
      <c r="V48">
        <f>HYPERLINK("https://klasma.github.io/Logging_2403/klagomål/A 35280-2023 FSC-klagomål.docx", "A 35280-2023")</f>
        <v/>
      </c>
      <c r="W48">
        <f>HYPERLINK("https://klasma.github.io/Logging_2403/klagomålsmail/A 35280-2023 FSC-klagomål mail.docx", "A 35280-2023")</f>
        <v/>
      </c>
      <c r="X48">
        <f>HYPERLINK("https://klasma.github.io/Logging_2403/tillsyn/A 35280-2023 tillsynsbegäran.docx", "A 35280-2023")</f>
        <v/>
      </c>
      <c r="Y48">
        <f>HYPERLINK("https://klasma.github.io/Logging_2403/tillsynsmail/A 35280-2023 tillsynsbegäran mail.docx", "A 35280-2023")</f>
        <v/>
      </c>
    </row>
    <row r="49" ht="15" customHeight="1">
      <c r="A49" t="inlineStr">
        <is>
          <t>A 39628-2023</t>
        </is>
      </c>
      <c r="B49" s="1" t="n">
        <v>45167</v>
      </c>
      <c r="C49" s="1" t="n">
        <v>45272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39628-2023 artfynd.xlsx", "A 39628-2023")</f>
        <v/>
      </c>
      <c r="T49">
        <f>HYPERLINK("https://klasma.github.io/Logging_2403/kartor/A 39628-2023 karta.png", "A 39628-2023")</f>
        <v/>
      </c>
      <c r="V49">
        <f>HYPERLINK("https://klasma.github.io/Logging_2403/klagomål/A 39628-2023 FSC-klagomål.docx", "A 39628-2023")</f>
        <v/>
      </c>
      <c r="W49">
        <f>HYPERLINK("https://klasma.github.io/Logging_2403/klagomålsmail/A 39628-2023 FSC-klagomål mail.docx", "A 39628-2023")</f>
        <v/>
      </c>
      <c r="X49">
        <f>HYPERLINK("https://klasma.github.io/Logging_2403/tillsyn/A 39628-2023 tillsynsbegäran.docx", "A 39628-2023")</f>
        <v/>
      </c>
      <c r="Y49">
        <f>HYPERLINK("https://klasma.github.io/Logging_2403/tillsynsmail/A 39628-2023 tillsynsbegäran mail.docx", "A 39628-2023")</f>
        <v/>
      </c>
    </row>
    <row r="50" ht="15" customHeight="1">
      <c r="A50" t="inlineStr">
        <is>
          <t>A 44773-2023</t>
        </is>
      </c>
      <c r="B50" s="1" t="n">
        <v>45190</v>
      </c>
      <c r="C50" s="1" t="n">
        <v>45272</v>
      </c>
      <c r="D50" t="inlineStr">
        <is>
          <t>VÄSTERBOTTENS LÄN</t>
        </is>
      </c>
      <c r="E50" t="inlineStr">
        <is>
          <t>BJURHOLM</t>
        </is>
      </c>
      <c r="F50" t="inlineStr">
        <is>
          <t>Sveaskog</t>
        </is>
      </c>
      <c r="G50" t="n">
        <v>48.5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44773-2023 artfynd.xlsx", "A 44773-2023")</f>
        <v/>
      </c>
      <c r="T50">
        <f>HYPERLINK("https://klasma.github.io/Logging_2403/kartor/A 44773-2023 karta.png", "A 44773-2023")</f>
        <v/>
      </c>
      <c r="V50">
        <f>HYPERLINK("https://klasma.github.io/Logging_2403/klagomål/A 44773-2023 FSC-klagomål.docx", "A 44773-2023")</f>
        <v/>
      </c>
      <c r="W50">
        <f>HYPERLINK("https://klasma.github.io/Logging_2403/klagomålsmail/A 44773-2023 FSC-klagomål mail.docx", "A 44773-2023")</f>
        <v/>
      </c>
      <c r="X50">
        <f>HYPERLINK("https://klasma.github.io/Logging_2403/tillsyn/A 44773-2023 tillsynsbegäran.docx", "A 44773-2023")</f>
        <v/>
      </c>
      <c r="Y50">
        <f>HYPERLINK("https://klasma.github.io/Logging_2403/tillsynsmail/A 44773-2023 tillsynsbegäran mail.docx", "A 44773-2023")</f>
        <v/>
      </c>
    </row>
    <row r="51" ht="15" customHeight="1">
      <c r="A51" t="inlineStr">
        <is>
          <t>A 58232-2023</t>
        </is>
      </c>
      <c r="B51" s="1" t="n">
        <v>45245</v>
      </c>
      <c r="C51" s="1" t="n">
        <v>45272</v>
      </c>
      <c r="D51" t="inlineStr">
        <is>
          <t>VÄSTERBOTTENS LÄN</t>
        </is>
      </c>
      <c r="E51" t="inlineStr">
        <is>
          <t>BJURHOLM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HYPERLINK("https://klasma.github.io/Logging_2403/artfynd/A 58232-2023 artfynd.xlsx", "A 58232-2023")</f>
        <v/>
      </c>
      <c r="T51">
        <f>HYPERLINK("https://klasma.github.io/Logging_2403/kartor/A 58232-2023 karta.png", "A 58232-2023")</f>
        <v/>
      </c>
      <c r="V51">
        <f>HYPERLINK("https://klasma.github.io/Logging_2403/klagomål/A 58232-2023 FSC-klagomål.docx", "A 58232-2023")</f>
        <v/>
      </c>
      <c r="W51">
        <f>HYPERLINK("https://klasma.github.io/Logging_2403/klagomålsmail/A 58232-2023 FSC-klagomål mail.docx", "A 58232-2023")</f>
        <v/>
      </c>
      <c r="X51">
        <f>HYPERLINK("https://klasma.github.io/Logging_2403/tillsyn/A 58232-2023 tillsynsbegäran.docx", "A 58232-2023")</f>
        <v/>
      </c>
      <c r="Y51">
        <f>HYPERLINK("https://klasma.github.io/Logging_2403/tillsynsmail/A 58232-2023 tillsynsbegäran mail.docx", "A 58232-2023")</f>
        <v/>
      </c>
    </row>
    <row r="52" ht="15" customHeight="1">
      <c r="A52" t="inlineStr">
        <is>
          <t>A 57802-2023</t>
        </is>
      </c>
      <c r="B52" s="1" t="n">
        <v>45246</v>
      </c>
      <c r="C52" s="1" t="n">
        <v>45272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14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HYPERLINK("https://klasma.github.io/Logging_2403/artfynd/A 57802-2023 artfynd.xlsx", "A 57802-2023")</f>
        <v/>
      </c>
      <c r="T52">
        <f>HYPERLINK("https://klasma.github.io/Logging_2403/kartor/A 57802-2023 karta.png", "A 57802-2023")</f>
        <v/>
      </c>
      <c r="V52">
        <f>HYPERLINK("https://klasma.github.io/Logging_2403/klagomål/A 57802-2023 FSC-klagomål.docx", "A 57802-2023")</f>
        <v/>
      </c>
      <c r="W52">
        <f>HYPERLINK("https://klasma.github.io/Logging_2403/klagomålsmail/A 57802-2023 FSC-klagomål mail.docx", "A 57802-2023")</f>
        <v/>
      </c>
      <c r="X52">
        <f>HYPERLINK("https://klasma.github.io/Logging_2403/tillsyn/A 57802-2023 tillsynsbegäran.docx", "A 57802-2023")</f>
        <v/>
      </c>
      <c r="Y52">
        <f>HYPERLINK("https://klasma.github.io/Logging_2403/tillsynsmail/A 57802-2023 tillsynsbegäran mail.docx", "A 57802-2023")</f>
        <v/>
      </c>
    </row>
    <row r="53" ht="15" customHeight="1">
      <c r="A53" t="inlineStr">
        <is>
          <t>A 45763-2018</t>
        </is>
      </c>
      <c r="B53" s="1" t="n">
        <v>43362</v>
      </c>
      <c r="C53" s="1" t="n">
        <v>45272</v>
      </c>
      <c r="D53" t="inlineStr">
        <is>
          <t>VÄSTERBOTTENS LÄN</t>
        </is>
      </c>
      <c r="E53" t="inlineStr">
        <is>
          <t>BJURHOLM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51391-2018</t>
        </is>
      </c>
      <c r="B54" s="1" t="n">
        <v>43378</v>
      </c>
      <c r="C54" s="1" t="n">
        <v>45272</v>
      </c>
      <c r="D54" t="inlineStr">
        <is>
          <t>VÄSTERBOTTENS LÄN</t>
        </is>
      </c>
      <c r="E54" t="inlineStr">
        <is>
          <t>BJURHOLM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53712-2018</t>
        </is>
      </c>
      <c r="B55" s="1" t="n">
        <v>43385</v>
      </c>
      <c r="C55" s="1" t="n">
        <v>45272</v>
      </c>
      <c r="D55" t="inlineStr">
        <is>
          <t>VÄSTERBOTTENS LÄN</t>
        </is>
      </c>
      <c r="E55" t="inlineStr">
        <is>
          <t>BJURHOLM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58466-2018</t>
        </is>
      </c>
      <c r="B56" s="1" t="n">
        <v>43397</v>
      </c>
      <c r="C56" s="1" t="n">
        <v>45272</v>
      </c>
      <c r="D56" t="inlineStr">
        <is>
          <t>VÄSTERBOTTENS LÄN</t>
        </is>
      </c>
      <c r="E56" t="inlineStr">
        <is>
          <t>BJURHOLM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58415-2018</t>
        </is>
      </c>
      <c r="B57" s="1" t="n">
        <v>43398</v>
      </c>
      <c r="C57" s="1" t="n">
        <v>45272</v>
      </c>
      <c r="D57" t="inlineStr">
        <is>
          <t>VÄSTERBOTTENS LÄN</t>
        </is>
      </c>
      <c r="E57" t="inlineStr">
        <is>
          <t>BJURHOLM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58629-2018</t>
        </is>
      </c>
      <c r="B58" s="1" t="n">
        <v>43399</v>
      </c>
      <c r="C58" s="1" t="n">
        <v>45272</v>
      </c>
      <c r="D58" t="inlineStr">
        <is>
          <t>VÄSTERBOTTENS LÄN</t>
        </is>
      </c>
      <c r="E58" t="inlineStr">
        <is>
          <t>BJURHOLM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58758-2018</t>
        </is>
      </c>
      <c r="B59" s="1" t="n">
        <v>43399</v>
      </c>
      <c r="C59" s="1" t="n">
        <v>45272</v>
      </c>
      <c r="D59" t="inlineStr">
        <is>
          <t>VÄSTERBOTTENS LÄN</t>
        </is>
      </c>
      <c r="E59" t="inlineStr">
        <is>
          <t>BJURHOLM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58639-2018</t>
        </is>
      </c>
      <c r="B60" s="1" t="n">
        <v>43399</v>
      </c>
      <c r="C60" s="1" t="n">
        <v>45272</v>
      </c>
      <c r="D60" t="inlineStr">
        <is>
          <t>VÄSTERBOTTENS LÄN</t>
        </is>
      </c>
      <c r="E60" t="inlineStr">
        <is>
          <t>BJURHOLM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58762-2018</t>
        </is>
      </c>
      <c r="B61" s="1" t="n">
        <v>43402</v>
      </c>
      <c r="C61" s="1" t="n">
        <v>45272</v>
      </c>
      <c r="D61" t="inlineStr">
        <is>
          <t>VÄSTERBOTTENS LÄN</t>
        </is>
      </c>
      <c r="E61" t="inlineStr">
        <is>
          <t>BJURHOLM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58729-2018</t>
        </is>
      </c>
      <c r="B62" s="1" t="n">
        <v>43402</v>
      </c>
      <c r="C62" s="1" t="n">
        <v>45272</v>
      </c>
      <c r="D62" t="inlineStr">
        <is>
          <t>VÄSTERBOTTENS LÄN</t>
        </is>
      </c>
      <c r="E62" t="inlineStr">
        <is>
          <t>BJURHOLM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57337-2018</t>
        </is>
      </c>
      <c r="B63" s="1" t="n">
        <v>43404</v>
      </c>
      <c r="C63" s="1" t="n">
        <v>45272</v>
      </c>
      <c r="D63" t="inlineStr">
        <is>
          <t>VÄSTERBOTTENS LÄN</t>
        </is>
      </c>
      <c r="E63" t="inlineStr">
        <is>
          <t>BJURHOLM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60339-2018</t>
        </is>
      </c>
      <c r="B64" s="1" t="n">
        <v>43406</v>
      </c>
      <c r="C64" s="1" t="n">
        <v>45272</v>
      </c>
      <c r="D64" t="inlineStr">
        <is>
          <t>VÄSTERBOTTENS LÄN</t>
        </is>
      </c>
      <c r="E64" t="inlineStr">
        <is>
          <t>BJURHOLM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60418-2018</t>
        </is>
      </c>
      <c r="B65" s="1" t="n">
        <v>43406</v>
      </c>
      <c r="C65" s="1" t="n">
        <v>45272</v>
      </c>
      <c r="D65" t="inlineStr">
        <is>
          <t>VÄSTERBOTTENS LÄN</t>
        </is>
      </c>
      <c r="E65" t="inlineStr">
        <is>
          <t>BJURHOLM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60391-2018</t>
        </is>
      </c>
      <c r="B66" s="1" t="n">
        <v>43406</v>
      </c>
      <c r="C66" s="1" t="n">
        <v>45272</v>
      </c>
      <c r="D66" t="inlineStr">
        <is>
          <t>VÄSTERBOTTENS LÄN</t>
        </is>
      </c>
      <c r="E66" t="inlineStr">
        <is>
          <t>BJURHOLM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60421-2018</t>
        </is>
      </c>
      <c r="B67" s="1" t="n">
        <v>43406</v>
      </c>
      <c r="C67" s="1" t="n">
        <v>45272</v>
      </c>
      <c r="D67" t="inlineStr">
        <is>
          <t>VÄSTERBOTTENS LÄN</t>
        </is>
      </c>
      <c r="E67" t="inlineStr">
        <is>
          <t>BJURHOLM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58102-2018</t>
        </is>
      </c>
      <c r="B68" s="1" t="n">
        <v>43406</v>
      </c>
      <c r="C68" s="1" t="n">
        <v>45272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60401-2018</t>
        </is>
      </c>
      <c r="B69" s="1" t="n">
        <v>43406</v>
      </c>
      <c r="C69" s="1" t="n">
        <v>45272</v>
      </c>
      <c r="D69" t="inlineStr">
        <is>
          <t>VÄSTERBOTTENS LÄN</t>
        </is>
      </c>
      <c r="E69" t="inlineStr">
        <is>
          <t>BJURHOLM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59827-2018</t>
        </is>
      </c>
      <c r="B70" s="1" t="n">
        <v>43411</v>
      </c>
      <c r="C70" s="1" t="n">
        <v>45272</v>
      </c>
      <c r="D70" t="inlineStr">
        <is>
          <t>VÄSTERBOTTENS LÄN</t>
        </is>
      </c>
      <c r="E70" t="inlineStr">
        <is>
          <t>BJURHOLM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62911-2018</t>
        </is>
      </c>
      <c r="B71" s="1" t="n">
        <v>43416</v>
      </c>
      <c r="C71" s="1" t="n">
        <v>45272</v>
      </c>
      <c r="D71" t="inlineStr">
        <is>
          <t>VÄSTERBOTTENS LÄN</t>
        </is>
      </c>
      <c r="E71" t="inlineStr">
        <is>
          <t>BJURHOLM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62927-2018</t>
        </is>
      </c>
      <c r="B72" s="1" t="n">
        <v>43416</v>
      </c>
      <c r="C72" s="1" t="n">
        <v>45272</v>
      </c>
      <c r="D72" t="inlineStr">
        <is>
          <t>VÄSTERBOTTENS LÄN</t>
        </is>
      </c>
      <c r="E72" t="inlineStr">
        <is>
          <t>BJURHOLM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63775-2018</t>
        </is>
      </c>
      <c r="B73" s="1" t="n">
        <v>43418</v>
      </c>
      <c r="C73" s="1" t="n">
        <v>45272</v>
      </c>
      <c r="D73" t="inlineStr">
        <is>
          <t>VÄSTERBOTTENS LÄN</t>
        </is>
      </c>
      <c r="E73" t="inlineStr">
        <is>
          <t>BJURHOLM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65625-2018</t>
        </is>
      </c>
      <c r="B74" s="1" t="n">
        <v>43425</v>
      </c>
      <c r="C74" s="1" t="n">
        <v>45272</v>
      </c>
      <c r="D74" t="inlineStr">
        <is>
          <t>VÄSTERBOTTENS LÄN</t>
        </is>
      </c>
      <c r="E74" t="inlineStr">
        <is>
          <t>BJURHOLM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66237-2018</t>
        </is>
      </c>
      <c r="B75" s="1" t="n">
        <v>43426</v>
      </c>
      <c r="C75" s="1" t="n">
        <v>45272</v>
      </c>
      <c r="D75" t="inlineStr">
        <is>
          <t>VÄSTERBOTTENS LÄN</t>
        </is>
      </c>
      <c r="E75" t="inlineStr">
        <is>
          <t>BJURHOLM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68106-2018</t>
        </is>
      </c>
      <c r="B76" s="1" t="n">
        <v>43434</v>
      </c>
      <c r="C76" s="1" t="n">
        <v>45272</v>
      </c>
      <c r="D76" t="inlineStr">
        <is>
          <t>VÄSTERBOTTENS LÄN</t>
        </is>
      </c>
      <c r="E76" t="inlineStr">
        <is>
          <t>BJURHOLM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68100-2018</t>
        </is>
      </c>
      <c r="B77" s="1" t="n">
        <v>43434</v>
      </c>
      <c r="C77" s="1" t="n">
        <v>45272</v>
      </c>
      <c r="D77" t="inlineStr">
        <is>
          <t>VÄSTERBOTTENS LÄN</t>
        </is>
      </c>
      <c r="E77" t="inlineStr">
        <is>
          <t>BJURHOLM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68352-2018</t>
        </is>
      </c>
      <c r="B78" s="1" t="n">
        <v>43441</v>
      </c>
      <c r="C78" s="1" t="n">
        <v>45272</v>
      </c>
      <c r="D78" t="inlineStr">
        <is>
          <t>VÄSTERBOTTENS LÄN</t>
        </is>
      </c>
      <c r="E78" t="inlineStr">
        <is>
          <t>BJURHOLM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68932-2018</t>
        </is>
      </c>
      <c r="B79" s="1" t="n">
        <v>43445</v>
      </c>
      <c r="C79" s="1" t="n">
        <v>45272</v>
      </c>
      <c r="D79" t="inlineStr">
        <is>
          <t>VÄSTERBOTTENS LÄN</t>
        </is>
      </c>
      <c r="E79" t="inlineStr">
        <is>
          <t>BJURHOLM</t>
        </is>
      </c>
      <c r="F79" t="inlineStr">
        <is>
          <t>Holmen skog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71094-2018</t>
        </is>
      </c>
      <c r="B80" s="1" t="n">
        <v>43452</v>
      </c>
      <c r="C80" s="1" t="n">
        <v>45272</v>
      </c>
      <c r="D80" t="inlineStr">
        <is>
          <t>VÄSTERBOTTENS LÄN</t>
        </is>
      </c>
      <c r="E80" t="inlineStr">
        <is>
          <t>BJURHOLM</t>
        </is>
      </c>
      <c r="F80" t="inlineStr">
        <is>
          <t>Sveaskog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402-2019</t>
        </is>
      </c>
      <c r="B81" s="1" t="n">
        <v>43455</v>
      </c>
      <c r="C81" s="1" t="n">
        <v>45272</v>
      </c>
      <c r="D81" t="inlineStr">
        <is>
          <t>VÄSTERBOTTENS LÄN</t>
        </is>
      </c>
      <c r="E81" t="inlineStr">
        <is>
          <t>BJURHOLM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955-2019</t>
        </is>
      </c>
      <c r="B82" s="1" t="n">
        <v>43456</v>
      </c>
      <c r="C82" s="1" t="n">
        <v>45272</v>
      </c>
      <c r="D82" t="inlineStr">
        <is>
          <t>VÄSTERBOTTENS LÄN</t>
        </is>
      </c>
      <c r="E82" t="inlineStr">
        <is>
          <t>BJURHOLM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254-2019</t>
        </is>
      </c>
      <c r="B83" s="1" t="n">
        <v>43468</v>
      </c>
      <c r="C83" s="1" t="n">
        <v>45272</v>
      </c>
      <c r="D83" t="inlineStr">
        <is>
          <t>VÄSTERBOTTENS LÄN</t>
        </is>
      </c>
      <c r="E83" t="inlineStr">
        <is>
          <t>BJURHOLM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1540-2019</t>
        </is>
      </c>
      <c r="B84" s="1" t="n">
        <v>43473</v>
      </c>
      <c r="C84" s="1" t="n">
        <v>45272</v>
      </c>
      <c r="D84" t="inlineStr">
        <is>
          <t>VÄSTERBOTTENS LÄN</t>
        </is>
      </c>
      <c r="E84" t="inlineStr">
        <is>
          <t>BJURHOLM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1542-2019</t>
        </is>
      </c>
      <c r="B85" s="1" t="n">
        <v>43473</v>
      </c>
      <c r="C85" s="1" t="n">
        <v>45272</v>
      </c>
      <c r="D85" t="inlineStr">
        <is>
          <t>VÄSTERBOTTENS LÄN</t>
        </is>
      </c>
      <c r="E85" t="inlineStr">
        <is>
          <t>BJURHOLM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1430-2019</t>
        </is>
      </c>
      <c r="B86" s="1" t="n">
        <v>43473</v>
      </c>
      <c r="C86" s="1" t="n">
        <v>45272</v>
      </c>
      <c r="D86" t="inlineStr">
        <is>
          <t>VÄSTERBOTTENS LÄN</t>
        </is>
      </c>
      <c r="E86" t="inlineStr">
        <is>
          <t>BJURHOLM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1473-2019</t>
        </is>
      </c>
      <c r="B87" s="1" t="n">
        <v>43473</v>
      </c>
      <c r="C87" s="1" t="n">
        <v>45272</v>
      </c>
      <c r="D87" t="inlineStr">
        <is>
          <t>VÄSTERBOTTENS LÄN</t>
        </is>
      </c>
      <c r="E87" t="inlineStr">
        <is>
          <t>BJURHOLM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7250-2019</t>
        </is>
      </c>
      <c r="B88" s="1" t="n">
        <v>43489</v>
      </c>
      <c r="C88" s="1" t="n">
        <v>45272</v>
      </c>
      <c r="D88" t="inlineStr">
        <is>
          <t>VÄSTERBOTTENS LÄN</t>
        </is>
      </c>
      <c r="E88" t="inlineStr">
        <is>
          <t>BJURHOLM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7201-2019</t>
        </is>
      </c>
      <c r="B89" s="1" t="n">
        <v>43496</v>
      </c>
      <c r="C89" s="1" t="n">
        <v>45272</v>
      </c>
      <c r="D89" t="inlineStr">
        <is>
          <t>VÄSTERBOTTENS LÄN</t>
        </is>
      </c>
      <c r="E89" t="inlineStr">
        <is>
          <t>BJURHOLM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7407-2019</t>
        </is>
      </c>
      <c r="B90" s="1" t="n">
        <v>43496</v>
      </c>
      <c r="C90" s="1" t="n">
        <v>45272</v>
      </c>
      <c r="D90" t="inlineStr">
        <is>
          <t>VÄSTERBOTTENS LÄN</t>
        </is>
      </c>
      <c r="E90" t="inlineStr">
        <is>
          <t>BJURHOLM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8004-2019</t>
        </is>
      </c>
      <c r="B91" s="1" t="n">
        <v>43497</v>
      </c>
      <c r="C91" s="1" t="n">
        <v>45272</v>
      </c>
      <c r="D91" t="inlineStr">
        <is>
          <t>VÄSTERBOTTENS LÄN</t>
        </is>
      </c>
      <c r="E91" t="inlineStr">
        <is>
          <t>BJURHOLM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12172-2019</t>
        </is>
      </c>
      <c r="B92" s="1" t="n">
        <v>43522</v>
      </c>
      <c r="C92" s="1" t="n">
        <v>45272</v>
      </c>
      <c r="D92" t="inlineStr">
        <is>
          <t>VÄSTERBOTTENS LÄN</t>
        </is>
      </c>
      <c r="E92" t="inlineStr">
        <is>
          <t>BJURHOLM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14528-2019</t>
        </is>
      </c>
      <c r="B93" s="1" t="n">
        <v>43537</v>
      </c>
      <c r="C93" s="1" t="n">
        <v>45272</v>
      </c>
      <c r="D93" t="inlineStr">
        <is>
          <t>VÄSTERBOTTENS LÄN</t>
        </is>
      </c>
      <c r="E93" t="inlineStr">
        <is>
          <t>BJURHOLM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17898-2019</t>
        </is>
      </c>
      <c r="B94" s="1" t="n">
        <v>43557</v>
      </c>
      <c r="C94" s="1" t="n">
        <v>45272</v>
      </c>
      <c r="D94" t="inlineStr">
        <is>
          <t>VÄSTERBOTTENS LÄN</t>
        </is>
      </c>
      <c r="E94" t="inlineStr">
        <is>
          <t>BJURHOLM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17891-2019</t>
        </is>
      </c>
      <c r="B95" s="1" t="n">
        <v>43557</v>
      </c>
      <c r="C95" s="1" t="n">
        <v>45272</v>
      </c>
      <c r="D95" t="inlineStr">
        <is>
          <t>VÄSTERBOTTENS LÄN</t>
        </is>
      </c>
      <c r="E95" t="inlineStr">
        <is>
          <t>BJURHOLM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20103-2019</t>
        </is>
      </c>
      <c r="B96" s="1" t="n">
        <v>43570</v>
      </c>
      <c r="C96" s="1" t="n">
        <v>45272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20842-2019</t>
        </is>
      </c>
      <c r="B97" s="1" t="n">
        <v>43577</v>
      </c>
      <c r="C97" s="1" t="n">
        <v>45272</v>
      </c>
      <c r="D97" t="inlineStr">
        <is>
          <t>VÄSTERBOTTENS LÄN</t>
        </is>
      </c>
      <c r="E97" t="inlineStr">
        <is>
          <t>BJURHOLM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21104-2019</t>
        </is>
      </c>
      <c r="B98" s="1" t="n">
        <v>43578</v>
      </c>
      <c r="C98" s="1" t="n">
        <v>45272</v>
      </c>
      <c r="D98" t="inlineStr">
        <is>
          <t>VÄSTERBOTTENS LÄN</t>
        </is>
      </c>
      <c r="E98" t="inlineStr">
        <is>
          <t>BJURHOLM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21325-2019</t>
        </is>
      </c>
      <c r="B99" s="1" t="n">
        <v>43579</v>
      </c>
      <c r="C99" s="1" t="n">
        <v>45272</v>
      </c>
      <c r="D99" t="inlineStr">
        <is>
          <t>VÄSTERBOTTENS LÄN</t>
        </is>
      </c>
      <c r="E99" t="inlineStr">
        <is>
          <t>BJURHOLM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22370-2019</t>
        </is>
      </c>
      <c r="B100" s="1" t="n">
        <v>43585</v>
      </c>
      <c r="C100" s="1" t="n">
        <v>45272</v>
      </c>
      <c r="D100" t="inlineStr">
        <is>
          <t>VÄSTERBOTTENS LÄN</t>
        </is>
      </c>
      <c r="E100" t="inlineStr">
        <is>
          <t>BJURHOLM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24259-2019</t>
        </is>
      </c>
      <c r="B101" s="1" t="n">
        <v>43597</v>
      </c>
      <c r="C101" s="1" t="n">
        <v>45272</v>
      </c>
      <c r="D101" t="inlineStr">
        <is>
          <t>VÄSTERBOTTENS LÄN</t>
        </is>
      </c>
      <c r="E101" t="inlineStr">
        <is>
          <t>BJURHOLM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25935-2019</t>
        </is>
      </c>
      <c r="B102" s="1" t="n">
        <v>43608</v>
      </c>
      <c r="C102" s="1" t="n">
        <v>45272</v>
      </c>
      <c r="D102" t="inlineStr">
        <is>
          <t>VÄSTERBOTTENS LÄN</t>
        </is>
      </c>
      <c r="E102" t="inlineStr">
        <is>
          <t>BJURHOLM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28945-2019</t>
        </is>
      </c>
      <c r="B103" s="1" t="n">
        <v>43619</v>
      </c>
      <c r="C103" s="1" t="n">
        <v>45272</v>
      </c>
      <c r="D103" t="inlineStr">
        <is>
          <t>VÄSTERBOTTENS LÄN</t>
        </is>
      </c>
      <c r="E103" t="inlineStr">
        <is>
          <t>BJURHOLM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28946-2019</t>
        </is>
      </c>
      <c r="B104" s="1" t="n">
        <v>43619</v>
      </c>
      <c r="C104" s="1" t="n">
        <v>45272</v>
      </c>
      <c r="D104" t="inlineStr">
        <is>
          <t>VÄSTERBOTTENS LÄN</t>
        </is>
      </c>
      <c r="E104" t="inlineStr">
        <is>
          <t>BJURHOLM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28941-2019</t>
        </is>
      </c>
      <c r="B105" s="1" t="n">
        <v>43619</v>
      </c>
      <c r="C105" s="1" t="n">
        <v>45272</v>
      </c>
      <c r="D105" t="inlineStr">
        <is>
          <t>VÄSTERBOTTENS LÄN</t>
        </is>
      </c>
      <c r="E105" t="inlineStr">
        <is>
          <t>BJURHOLM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29348-2019</t>
        </is>
      </c>
      <c r="B106" s="1" t="n">
        <v>43626</v>
      </c>
      <c r="C106" s="1" t="n">
        <v>45272</v>
      </c>
      <c r="D106" t="inlineStr">
        <is>
          <t>VÄSTERBOTTENS LÄN</t>
        </is>
      </c>
      <c r="E106" t="inlineStr">
        <is>
          <t>BJURHOLM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29657-2019</t>
        </is>
      </c>
      <c r="B107" s="1" t="n">
        <v>43628</v>
      </c>
      <c r="C107" s="1" t="n">
        <v>45272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30354-2019</t>
        </is>
      </c>
      <c r="B108" s="1" t="n">
        <v>43634</v>
      </c>
      <c r="C108" s="1" t="n">
        <v>45272</v>
      </c>
      <c r="D108" t="inlineStr">
        <is>
          <t>VÄSTERBOTTENS LÄN</t>
        </is>
      </c>
      <c r="E108" t="inlineStr">
        <is>
          <t>BJURHOLM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30882-2019</t>
        </is>
      </c>
      <c r="B109" s="1" t="n">
        <v>43636</v>
      </c>
      <c r="C109" s="1" t="n">
        <v>45272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38007-2019</t>
        </is>
      </c>
      <c r="B110" s="1" t="n">
        <v>43683</v>
      </c>
      <c r="C110" s="1" t="n">
        <v>45272</v>
      </c>
      <c r="D110" t="inlineStr">
        <is>
          <t>VÄSTERBOTTENS LÄN</t>
        </is>
      </c>
      <c r="E110" t="inlineStr">
        <is>
          <t>BJURHOLM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38011-2019</t>
        </is>
      </c>
      <c r="B111" s="1" t="n">
        <v>43683</v>
      </c>
      <c r="C111" s="1" t="n">
        <v>45272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38018-2019</t>
        </is>
      </c>
      <c r="B112" s="1" t="n">
        <v>43683</v>
      </c>
      <c r="C112" s="1" t="n">
        <v>45272</v>
      </c>
      <c r="D112" t="inlineStr">
        <is>
          <t>VÄSTERBOTTENS LÄN</t>
        </is>
      </c>
      <c r="E112" t="inlineStr">
        <is>
          <t>BJURHOLM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38022-2019</t>
        </is>
      </c>
      <c r="B113" s="1" t="n">
        <v>43683</v>
      </c>
      <c r="C113" s="1" t="n">
        <v>45272</v>
      </c>
      <c r="D113" t="inlineStr">
        <is>
          <t>VÄSTERBOTTENS LÄN</t>
        </is>
      </c>
      <c r="E113" t="inlineStr">
        <is>
          <t>BJURHOLM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40932-2019</t>
        </is>
      </c>
      <c r="B114" s="1" t="n">
        <v>43693</v>
      </c>
      <c r="C114" s="1" t="n">
        <v>45272</v>
      </c>
      <c r="D114" t="inlineStr">
        <is>
          <t>VÄSTERBOTTENS LÄN</t>
        </is>
      </c>
      <c r="E114" t="inlineStr">
        <is>
          <t>BJURHOLM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41080-2019</t>
        </is>
      </c>
      <c r="B115" s="1" t="n">
        <v>43698</v>
      </c>
      <c r="C115" s="1" t="n">
        <v>45272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Holmen skog AB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41287-2019</t>
        </is>
      </c>
      <c r="B116" s="1" t="n">
        <v>43698</v>
      </c>
      <c r="C116" s="1" t="n">
        <v>45272</v>
      </c>
      <c r="D116" t="inlineStr">
        <is>
          <t>VÄSTERBOTTENS LÄN</t>
        </is>
      </c>
      <c r="E116" t="inlineStr">
        <is>
          <t>BJURHOLM</t>
        </is>
      </c>
      <c r="F116" t="inlineStr">
        <is>
          <t>Holmen skog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42482-2019</t>
        </is>
      </c>
      <c r="B117" s="1" t="n">
        <v>43703</v>
      </c>
      <c r="C117" s="1" t="n">
        <v>45272</v>
      </c>
      <c r="D117" t="inlineStr">
        <is>
          <t>VÄSTERBOTTENS LÄN</t>
        </is>
      </c>
      <c r="E117" t="inlineStr">
        <is>
          <t>BJURHOLM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45134-2019</t>
        </is>
      </c>
      <c r="B118" s="1" t="n">
        <v>43713</v>
      </c>
      <c r="C118" s="1" t="n">
        <v>45272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48427-2019</t>
        </is>
      </c>
      <c r="B119" s="1" t="n">
        <v>43727</v>
      </c>
      <c r="C119" s="1" t="n">
        <v>45272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48513-2019</t>
        </is>
      </c>
      <c r="B120" s="1" t="n">
        <v>43727</v>
      </c>
      <c r="C120" s="1" t="n">
        <v>45272</v>
      </c>
      <c r="D120" t="inlineStr">
        <is>
          <t>VÄSTERBOTTENS LÄN</t>
        </is>
      </c>
      <c r="E120" t="inlineStr">
        <is>
          <t>BJURHOLM</t>
        </is>
      </c>
      <c r="F120" t="inlineStr">
        <is>
          <t>Holmen skog AB</t>
        </is>
      </c>
      <c r="G120" t="n">
        <v>17.3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48853-2019</t>
        </is>
      </c>
      <c r="B121" s="1" t="n">
        <v>43728</v>
      </c>
      <c r="C121" s="1" t="n">
        <v>45272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Sveaskog</t>
        </is>
      </c>
      <c r="G121" t="n">
        <v>32.9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50124-2019</t>
        </is>
      </c>
      <c r="B122" s="1" t="n">
        <v>43734</v>
      </c>
      <c r="C122" s="1" t="n">
        <v>45272</v>
      </c>
      <c r="D122" t="inlineStr">
        <is>
          <t>VÄSTERBOTTENS LÄN</t>
        </is>
      </c>
      <c r="E122" t="inlineStr">
        <is>
          <t>BJURHOLM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53154-2019</t>
        </is>
      </c>
      <c r="B123" s="1" t="n">
        <v>43747</v>
      </c>
      <c r="C123" s="1" t="n">
        <v>45272</v>
      </c>
      <c r="D123" t="inlineStr">
        <is>
          <t>VÄSTERBOTTENS LÄN</t>
        </is>
      </c>
      <c r="E123" t="inlineStr">
        <is>
          <t>BJURHOLM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53378-2019</t>
        </is>
      </c>
      <c r="B124" s="1" t="n">
        <v>43748</v>
      </c>
      <c r="C124" s="1" t="n">
        <v>45272</v>
      </c>
      <c r="D124" t="inlineStr">
        <is>
          <t>VÄSTERBOTTENS LÄN</t>
        </is>
      </c>
      <c r="E124" t="inlineStr">
        <is>
          <t>BJURHOLM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53828-2019</t>
        </is>
      </c>
      <c r="B125" s="1" t="n">
        <v>43752</v>
      </c>
      <c r="C125" s="1" t="n">
        <v>45272</v>
      </c>
      <c r="D125" t="inlineStr">
        <is>
          <t>VÄSTERBOTTENS LÄN</t>
        </is>
      </c>
      <c r="E125" t="inlineStr">
        <is>
          <t>BJURHOLM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60023-2019</t>
        </is>
      </c>
      <c r="B126" s="1" t="n">
        <v>43777</v>
      </c>
      <c r="C126" s="1" t="n">
        <v>45272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61413-2019</t>
        </is>
      </c>
      <c r="B127" s="1" t="n">
        <v>43780</v>
      </c>
      <c r="C127" s="1" t="n">
        <v>45272</v>
      </c>
      <c r="D127" t="inlineStr">
        <is>
          <t>VÄSTERBOTTENS LÄN</t>
        </is>
      </c>
      <c r="E127" t="inlineStr">
        <is>
          <t>BJURHOLM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62097-2019</t>
        </is>
      </c>
      <c r="B128" s="1" t="n">
        <v>43787</v>
      </c>
      <c r="C128" s="1" t="n">
        <v>45272</v>
      </c>
      <c r="D128" t="inlineStr">
        <is>
          <t>VÄSTERBOTTENS LÄN</t>
        </is>
      </c>
      <c r="E128" t="inlineStr">
        <is>
          <t>BJURHOLM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64146-2019</t>
        </is>
      </c>
      <c r="B129" s="1" t="n">
        <v>43796</v>
      </c>
      <c r="C129" s="1" t="n">
        <v>45272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SCA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64156-2019</t>
        </is>
      </c>
      <c r="B130" s="1" t="n">
        <v>43796</v>
      </c>
      <c r="C130" s="1" t="n">
        <v>45272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SCA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64930-2019</t>
        </is>
      </c>
      <c r="B131" s="1" t="n">
        <v>43801</v>
      </c>
      <c r="C131" s="1" t="n">
        <v>45272</v>
      </c>
      <c r="D131" t="inlineStr">
        <is>
          <t>VÄSTERBOTTENS LÄN</t>
        </is>
      </c>
      <c r="E131" t="inlineStr">
        <is>
          <t>BJURHOLM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67964-2019</t>
        </is>
      </c>
      <c r="B132" s="1" t="n">
        <v>43811</v>
      </c>
      <c r="C132" s="1" t="n">
        <v>45272</v>
      </c>
      <c r="D132" t="inlineStr">
        <is>
          <t>VÄSTERBOTTENS LÄN</t>
        </is>
      </c>
      <c r="E132" t="inlineStr">
        <is>
          <t>BJURHOLM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830-2020</t>
        </is>
      </c>
      <c r="B133" s="1" t="n">
        <v>43839</v>
      </c>
      <c r="C133" s="1" t="n">
        <v>45272</v>
      </c>
      <c r="D133" t="inlineStr">
        <is>
          <t>VÄSTERBOTTENS LÄN</t>
        </is>
      </c>
      <c r="E133" t="inlineStr">
        <is>
          <t>BJURHOLM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3076-2020</t>
        </is>
      </c>
      <c r="B134" s="1" t="n">
        <v>43851</v>
      </c>
      <c r="C134" s="1" t="n">
        <v>45272</v>
      </c>
      <c r="D134" t="inlineStr">
        <is>
          <t>VÄSTERBOTTENS LÄN</t>
        </is>
      </c>
      <c r="E134" t="inlineStr">
        <is>
          <t>BJURHOLM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3924-2020</t>
        </is>
      </c>
      <c r="B135" s="1" t="n">
        <v>43854</v>
      </c>
      <c r="C135" s="1" t="n">
        <v>45272</v>
      </c>
      <c r="D135" t="inlineStr">
        <is>
          <t>VÄSTERBOTTENS LÄN</t>
        </is>
      </c>
      <c r="E135" t="inlineStr">
        <is>
          <t>BJURHOLM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8128-2020</t>
        </is>
      </c>
      <c r="B136" s="1" t="n">
        <v>43873</v>
      </c>
      <c r="C136" s="1" t="n">
        <v>45272</v>
      </c>
      <c r="D136" t="inlineStr">
        <is>
          <t>VÄSTERBOTTENS LÄN</t>
        </is>
      </c>
      <c r="E136" t="inlineStr">
        <is>
          <t>BJURHOLM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8867-2020</t>
        </is>
      </c>
      <c r="B137" s="1" t="n">
        <v>43878</v>
      </c>
      <c r="C137" s="1" t="n">
        <v>45272</v>
      </c>
      <c r="D137" t="inlineStr">
        <is>
          <t>VÄSTERBOTTENS LÄN</t>
        </is>
      </c>
      <c r="E137" t="inlineStr">
        <is>
          <t>BJURHOLM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9266-2020</t>
        </is>
      </c>
      <c r="B138" s="1" t="n">
        <v>43879</v>
      </c>
      <c r="C138" s="1" t="n">
        <v>45272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9265-2020</t>
        </is>
      </c>
      <c r="B139" s="1" t="n">
        <v>43879</v>
      </c>
      <c r="C139" s="1" t="n">
        <v>45272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SCA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10388-2020</t>
        </is>
      </c>
      <c r="B140" s="1" t="n">
        <v>43885</v>
      </c>
      <c r="C140" s="1" t="n">
        <v>45272</v>
      </c>
      <c r="D140" t="inlineStr">
        <is>
          <t>VÄSTERBOTTENS LÄN</t>
        </is>
      </c>
      <c r="E140" t="inlineStr">
        <is>
          <t>BJURHOLM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13110-2020</t>
        </is>
      </c>
      <c r="B141" s="1" t="n">
        <v>43901</v>
      </c>
      <c r="C141" s="1" t="n">
        <v>45272</v>
      </c>
      <c r="D141" t="inlineStr">
        <is>
          <t>VÄSTERBOTTENS LÄN</t>
        </is>
      </c>
      <c r="E141" t="inlineStr">
        <is>
          <t>BJURHOLM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14672-2020</t>
        </is>
      </c>
      <c r="B142" s="1" t="n">
        <v>43909</v>
      </c>
      <c r="C142" s="1" t="n">
        <v>45272</v>
      </c>
      <c r="D142" t="inlineStr">
        <is>
          <t>VÄSTERBOTTENS LÄN</t>
        </is>
      </c>
      <c r="E142" t="inlineStr">
        <is>
          <t>BJURHOLM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16193-2020</t>
        </is>
      </c>
      <c r="B143" s="1" t="n">
        <v>43917</v>
      </c>
      <c r="C143" s="1" t="n">
        <v>45272</v>
      </c>
      <c r="D143" t="inlineStr">
        <is>
          <t>VÄSTERBOTTENS LÄN</t>
        </is>
      </c>
      <c r="E143" t="inlineStr">
        <is>
          <t>BJURHOLM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16811-2020</t>
        </is>
      </c>
      <c r="B144" s="1" t="n">
        <v>43920</v>
      </c>
      <c r="C144" s="1" t="n">
        <v>45272</v>
      </c>
      <c r="D144" t="inlineStr">
        <is>
          <t>VÄSTERBOTTENS LÄN</t>
        </is>
      </c>
      <c r="E144" t="inlineStr">
        <is>
          <t>BJURHOLM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18647-2020</t>
        </is>
      </c>
      <c r="B145" s="1" t="n">
        <v>43929</v>
      </c>
      <c r="C145" s="1" t="n">
        <v>45272</v>
      </c>
      <c r="D145" t="inlineStr">
        <is>
          <t>VÄSTERBOTTENS LÄN</t>
        </is>
      </c>
      <c r="E145" t="inlineStr">
        <is>
          <t>BJURHOLM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19652-2020</t>
        </is>
      </c>
      <c r="B146" s="1" t="n">
        <v>43937</v>
      </c>
      <c r="C146" s="1" t="n">
        <v>45272</v>
      </c>
      <c r="D146" t="inlineStr">
        <is>
          <t>VÄSTERBOTTENS LÄN</t>
        </is>
      </c>
      <c r="E146" t="inlineStr">
        <is>
          <t>BJURHOLM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20403-2020</t>
        </is>
      </c>
      <c r="B147" s="1" t="n">
        <v>43945</v>
      </c>
      <c r="C147" s="1" t="n">
        <v>45272</v>
      </c>
      <c r="D147" t="inlineStr">
        <is>
          <t>VÄSTERBOTTENS LÄN</t>
        </is>
      </c>
      <c r="E147" t="inlineStr">
        <is>
          <t>BJURHOLM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20851-2020</t>
        </is>
      </c>
      <c r="B148" s="1" t="n">
        <v>43948</v>
      </c>
      <c r="C148" s="1" t="n">
        <v>45272</v>
      </c>
      <c r="D148" t="inlineStr">
        <is>
          <t>VÄSTERBOTTENS LÄN</t>
        </is>
      </c>
      <c r="E148" t="inlineStr">
        <is>
          <t>BJURHOLM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25244-2020</t>
        </is>
      </c>
      <c r="B149" s="1" t="n">
        <v>43980</v>
      </c>
      <c r="C149" s="1" t="n">
        <v>45272</v>
      </c>
      <c r="D149" t="inlineStr">
        <is>
          <t>VÄSTERBOTTENS LÄN</t>
        </is>
      </c>
      <c r="E149" t="inlineStr">
        <is>
          <t>BJURHOLM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25883-2020</t>
        </is>
      </c>
      <c r="B150" s="1" t="n">
        <v>43984</v>
      </c>
      <c r="C150" s="1" t="n">
        <v>45272</v>
      </c>
      <c r="D150" t="inlineStr">
        <is>
          <t>VÄSTERBOTTENS LÄN</t>
        </is>
      </c>
      <c r="E150" t="inlineStr">
        <is>
          <t>BJURHOLM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26566-2020</t>
        </is>
      </c>
      <c r="B151" s="1" t="n">
        <v>43987</v>
      </c>
      <c r="C151" s="1" t="n">
        <v>45272</v>
      </c>
      <c r="D151" t="inlineStr">
        <is>
          <t>VÄSTERBOTTENS LÄN</t>
        </is>
      </c>
      <c r="E151" t="inlineStr">
        <is>
          <t>BJURHOLM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26758-2020</t>
        </is>
      </c>
      <c r="B152" s="1" t="n">
        <v>43990</v>
      </c>
      <c r="C152" s="1" t="n">
        <v>45272</v>
      </c>
      <c r="D152" t="inlineStr">
        <is>
          <t>VÄSTERBOTTENS LÄN</t>
        </is>
      </c>
      <c r="E152" t="inlineStr">
        <is>
          <t>BJURHOLM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27824-2020</t>
        </is>
      </c>
      <c r="B153" s="1" t="n">
        <v>43994</v>
      </c>
      <c r="C153" s="1" t="n">
        <v>45272</v>
      </c>
      <c r="D153" t="inlineStr">
        <is>
          <t>VÄSTERBOTTENS LÄN</t>
        </is>
      </c>
      <c r="E153" t="inlineStr">
        <is>
          <t>BJURHOLM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29132-2020</t>
        </is>
      </c>
      <c r="B154" s="1" t="n">
        <v>44004</v>
      </c>
      <c r="C154" s="1" t="n">
        <v>45272</v>
      </c>
      <c r="D154" t="inlineStr">
        <is>
          <t>VÄSTERBOTTENS LÄN</t>
        </is>
      </c>
      <c r="E154" t="inlineStr">
        <is>
          <t>BJURHOLM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29817-2020</t>
        </is>
      </c>
      <c r="B155" s="1" t="n">
        <v>44005</v>
      </c>
      <c r="C155" s="1" t="n">
        <v>45272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29846-2020</t>
        </is>
      </c>
      <c r="B156" s="1" t="n">
        <v>44006</v>
      </c>
      <c r="C156" s="1" t="n">
        <v>45272</v>
      </c>
      <c r="D156" t="inlineStr">
        <is>
          <t>VÄSTERBOTTENS LÄN</t>
        </is>
      </c>
      <c r="E156" t="inlineStr">
        <is>
          <t>BJURHOLM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30418-2020</t>
        </is>
      </c>
      <c r="B157" s="1" t="n">
        <v>44007</v>
      </c>
      <c r="C157" s="1" t="n">
        <v>45272</v>
      </c>
      <c r="D157" t="inlineStr">
        <is>
          <t>VÄSTERBOTTENS LÄN</t>
        </is>
      </c>
      <c r="E157" t="inlineStr">
        <is>
          <t>BJURHOLM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30251-2020</t>
        </is>
      </c>
      <c r="B158" s="1" t="n">
        <v>44007</v>
      </c>
      <c r="C158" s="1" t="n">
        <v>45272</v>
      </c>
      <c r="D158" t="inlineStr">
        <is>
          <t>VÄSTERBOTTENS LÄN</t>
        </is>
      </c>
      <c r="E158" t="inlineStr">
        <is>
          <t>BJURHOLM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33729-2020</t>
        </is>
      </c>
      <c r="B159" s="1" t="n">
        <v>44026</v>
      </c>
      <c r="C159" s="1" t="n">
        <v>45272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37337-2020</t>
        </is>
      </c>
      <c r="B160" s="1" t="n">
        <v>44055</v>
      </c>
      <c r="C160" s="1" t="n">
        <v>45272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Holmen skog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40002-2020</t>
        </is>
      </c>
      <c r="B161" s="1" t="n">
        <v>44067</v>
      </c>
      <c r="C161" s="1" t="n">
        <v>45272</v>
      </c>
      <c r="D161" t="inlineStr">
        <is>
          <t>VÄSTERBOTTENS LÄN</t>
        </is>
      </c>
      <c r="E161" t="inlineStr">
        <is>
          <t>BJURHOLM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43068-2020</t>
        </is>
      </c>
      <c r="B162" s="1" t="n">
        <v>44078</v>
      </c>
      <c r="C162" s="1" t="n">
        <v>45272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43992-2020</t>
        </is>
      </c>
      <c r="B163" s="1" t="n">
        <v>44081</v>
      </c>
      <c r="C163" s="1" t="n">
        <v>45272</v>
      </c>
      <c r="D163" t="inlineStr">
        <is>
          <t>VÄSTERBOTTENS LÄN</t>
        </is>
      </c>
      <c r="E163" t="inlineStr">
        <is>
          <t>BJURHOLM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43845-2020</t>
        </is>
      </c>
      <c r="B164" s="1" t="n">
        <v>44082</v>
      </c>
      <c r="C164" s="1" t="n">
        <v>45272</v>
      </c>
      <c r="D164" t="inlineStr">
        <is>
          <t>VÄSTERBOTTENS LÄN</t>
        </is>
      </c>
      <c r="E164" t="inlineStr">
        <is>
          <t>BJURHOLM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44791-2020</t>
        </is>
      </c>
      <c r="B165" s="1" t="n">
        <v>44085</v>
      </c>
      <c r="C165" s="1" t="n">
        <v>45272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48481-2020</t>
        </is>
      </c>
      <c r="B166" s="1" t="n">
        <v>44102</v>
      </c>
      <c r="C166" s="1" t="n">
        <v>45272</v>
      </c>
      <c r="D166" t="inlineStr">
        <is>
          <t>VÄSTERBOTTENS LÄN</t>
        </is>
      </c>
      <c r="E166" t="inlineStr">
        <is>
          <t>BJURHOLM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54045-2020</t>
        </is>
      </c>
      <c r="B167" s="1" t="n">
        <v>44123</v>
      </c>
      <c r="C167" s="1" t="n">
        <v>45272</v>
      </c>
      <c r="D167" t="inlineStr">
        <is>
          <t>VÄSTERBOTTENS LÄN</t>
        </is>
      </c>
      <c r="E167" t="inlineStr">
        <is>
          <t>BJURHOLM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60117-2020</t>
        </is>
      </c>
      <c r="B168" s="1" t="n">
        <v>44152</v>
      </c>
      <c r="C168" s="1" t="n">
        <v>45272</v>
      </c>
      <c r="D168" t="inlineStr">
        <is>
          <t>VÄSTERBOTTENS LÄN</t>
        </is>
      </c>
      <c r="E168" t="inlineStr">
        <is>
          <t>BJURHOLM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60114-2020</t>
        </is>
      </c>
      <c r="B169" s="1" t="n">
        <v>44152</v>
      </c>
      <c r="C169" s="1" t="n">
        <v>45272</v>
      </c>
      <c r="D169" t="inlineStr">
        <is>
          <t>VÄSTERBOTTENS LÄN</t>
        </is>
      </c>
      <c r="E169" t="inlineStr">
        <is>
          <t>BJURHOLM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60111-2020</t>
        </is>
      </c>
      <c r="B170" s="1" t="n">
        <v>44152</v>
      </c>
      <c r="C170" s="1" t="n">
        <v>45272</v>
      </c>
      <c r="D170" t="inlineStr">
        <is>
          <t>VÄSTERBOTTENS LÄN</t>
        </is>
      </c>
      <c r="E170" t="inlineStr">
        <is>
          <t>BJURHOLM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61585-2020</t>
        </is>
      </c>
      <c r="B171" s="1" t="n">
        <v>44154</v>
      </c>
      <c r="C171" s="1" t="n">
        <v>45272</v>
      </c>
      <c r="D171" t="inlineStr">
        <is>
          <t>VÄSTERBOTTENS LÄN</t>
        </is>
      </c>
      <c r="E171" t="inlineStr">
        <is>
          <t>BJURHOLM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61412-2020</t>
        </is>
      </c>
      <c r="B172" s="1" t="n">
        <v>44156</v>
      </c>
      <c r="C172" s="1" t="n">
        <v>45272</v>
      </c>
      <c r="D172" t="inlineStr">
        <is>
          <t>VÄSTERBOTTENS LÄN</t>
        </is>
      </c>
      <c r="E172" t="inlineStr">
        <is>
          <t>BJURHOLM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64537-2020</t>
        </is>
      </c>
      <c r="B173" s="1" t="n">
        <v>44167</v>
      </c>
      <c r="C173" s="1" t="n">
        <v>45272</v>
      </c>
      <c r="D173" t="inlineStr">
        <is>
          <t>VÄSTERBOTTENS LÄN</t>
        </is>
      </c>
      <c r="E173" t="inlineStr">
        <is>
          <t>BJURHOLM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65799-2020</t>
        </is>
      </c>
      <c r="B174" s="1" t="n">
        <v>44172</v>
      </c>
      <c r="C174" s="1" t="n">
        <v>45272</v>
      </c>
      <c r="D174" t="inlineStr">
        <is>
          <t>VÄSTERBOTTENS LÄN</t>
        </is>
      </c>
      <c r="E174" t="inlineStr">
        <is>
          <t>BJURHOLM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67663-2020</t>
        </is>
      </c>
      <c r="B175" s="1" t="n">
        <v>44180</v>
      </c>
      <c r="C175" s="1" t="n">
        <v>45272</v>
      </c>
      <c r="D175" t="inlineStr">
        <is>
          <t>VÄSTERBOTTENS LÄN</t>
        </is>
      </c>
      <c r="E175" t="inlineStr">
        <is>
          <t>BJURHOLM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67684-2020</t>
        </is>
      </c>
      <c r="B176" s="1" t="n">
        <v>44182</v>
      </c>
      <c r="C176" s="1" t="n">
        <v>45272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69008-2020</t>
        </is>
      </c>
      <c r="B177" s="1" t="n">
        <v>44187</v>
      </c>
      <c r="C177" s="1" t="n">
        <v>45272</v>
      </c>
      <c r="D177" t="inlineStr">
        <is>
          <t>VÄSTERBOTTENS LÄN</t>
        </is>
      </c>
      <c r="E177" t="inlineStr">
        <is>
          <t>BJURHOLM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6323-2021</t>
        </is>
      </c>
      <c r="B178" s="1" t="n">
        <v>44235</v>
      </c>
      <c r="C178" s="1" t="n">
        <v>45272</v>
      </c>
      <c r="D178" t="inlineStr">
        <is>
          <t>VÄSTERBOTTENS LÄN</t>
        </is>
      </c>
      <c r="E178" t="inlineStr">
        <is>
          <t>BJURHOLM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14540-2021</t>
        </is>
      </c>
      <c r="B179" s="1" t="n">
        <v>44279</v>
      </c>
      <c r="C179" s="1" t="n">
        <v>45272</v>
      </c>
      <c r="D179" t="inlineStr">
        <is>
          <t>VÄSTERBOTTENS LÄN</t>
        </is>
      </c>
      <c r="E179" t="inlineStr">
        <is>
          <t>BJURHOLM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17850-2021</t>
        </is>
      </c>
      <c r="B180" s="1" t="n">
        <v>44301</v>
      </c>
      <c r="C180" s="1" t="n">
        <v>45272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SCA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19688-2021</t>
        </is>
      </c>
      <c r="B181" s="1" t="n">
        <v>44312</v>
      </c>
      <c r="C181" s="1" t="n">
        <v>45272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Holmen skog AB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20081-2021</t>
        </is>
      </c>
      <c r="B182" s="1" t="n">
        <v>44313</v>
      </c>
      <c r="C182" s="1" t="n">
        <v>45272</v>
      </c>
      <c r="D182" t="inlineStr">
        <is>
          <t>VÄSTERBOTTENS LÄN</t>
        </is>
      </c>
      <c r="E182" t="inlineStr">
        <is>
          <t>BJURHOLM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32035-2021</t>
        </is>
      </c>
      <c r="B183" s="1" t="n">
        <v>44370</v>
      </c>
      <c r="C183" s="1" t="n">
        <v>45272</v>
      </c>
      <c r="D183" t="inlineStr">
        <is>
          <t>VÄSTERBOTTENS LÄN</t>
        </is>
      </c>
      <c r="E183" t="inlineStr">
        <is>
          <t>BJURHOLM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32081-2021</t>
        </is>
      </c>
      <c r="B184" s="1" t="n">
        <v>44370</v>
      </c>
      <c r="C184" s="1" t="n">
        <v>45272</v>
      </c>
      <c r="D184" t="inlineStr">
        <is>
          <t>VÄSTERBOTTENS LÄN</t>
        </is>
      </c>
      <c r="E184" t="inlineStr">
        <is>
          <t>BJURHOLM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32934-2021</t>
        </is>
      </c>
      <c r="B185" s="1" t="n">
        <v>44375</v>
      </c>
      <c r="C185" s="1" t="n">
        <v>45272</v>
      </c>
      <c r="D185" t="inlineStr">
        <is>
          <t>VÄSTERBOTTENS LÄN</t>
        </is>
      </c>
      <c r="E185" t="inlineStr">
        <is>
          <t>BJURHOLM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35848-2021</t>
        </is>
      </c>
      <c r="B186" s="1" t="n">
        <v>44386</v>
      </c>
      <c r="C186" s="1" t="n">
        <v>45272</v>
      </c>
      <c r="D186" t="inlineStr">
        <is>
          <t>VÄSTERBOTTENS LÄN</t>
        </is>
      </c>
      <c r="E186" t="inlineStr">
        <is>
          <t>BJURHOLM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37328-2021</t>
        </is>
      </c>
      <c r="B187" s="1" t="n">
        <v>44397</v>
      </c>
      <c r="C187" s="1" t="n">
        <v>45272</v>
      </c>
      <c r="D187" t="inlineStr">
        <is>
          <t>VÄSTERBOTTENS LÄN</t>
        </is>
      </c>
      <c r="E187" t="inlineStr">
        <is>
          <t>BJURHOLM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37332-2021</t>
        </is>
      </c>
      <c r="B188" s="1" t="n">
        <v>44397</v>
      </c>
      <c r="C188" s="1" t="n">
        <v>45272</v>
      </c>
      <c r="D188" t="inlineStr">
        <is>
          <t>VÄSTERBOTTENS LÄN</t>
        </is>
      </c>
      <c r="E188" t="inlineStr">
        <is>
          <t>BJURHOLM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39431-2021</t>
        </is>
      </c>
      <c r="B189" s="1" t="n">
        <v>44414</v>
      </c>
      <c r="C189" s="1" t="n">
        <v>45272</v>
      </c>
      <c r="D189" t="inlineStr">
        <is>
          <t>VÄSTERBOTTENS LÄN</t>
        </is>
      </c>
      <c r="E189" t="inlineStr">
        <is>
          <t>BJURHOLM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41503-2021</t>
        </is>
      </c>
      <c r="B190" s="1" t="n">
        <v>44424</v>
      </c>
      <c r="C190" s="1" t="n">
        <v>45272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41505-2021</t>
        </is>
      </c>
      <c r="B191" s="1" t="n">
        <v>44425</v>
      </c>
      <c r="C191" s="1" t="n">
        <v>45272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45553-2021</t>
        </is>
      </c>
      <c r="B192" s="1" t="n">
        <v>44440</v>
      </c>
      <c r="C192" s="1" t="n">
        <v>45272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45844-2021</t>
        </is>
      </c>
      <c r="B193" s="1" t="n">
        <v>44441</v>
      </c>
      <c r="C193" s="1" t="n">
        <v>45272</v>
      </c>
      <c r="D193" t="inlineStr">
        <is>
          <t>VÄSTERBOTTENS LÄN</t>
        </is>
      </c>
      <c r="E193" t="inlineStr">
        <is>
          <t>BJURHOLM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46462-2021</t>
        </is>
      </c>
      <c r="B194" s="1" t="n">
        <v>44442</v>
      </c>
      <c r="C194" s="1" t="n">
        <v>45272</v>
      </c>
      <c r="D194" t="inlineStr">
        <is>
          <t>VÄSTERBOTTENS LÄN</t>
        </is>
      </c>
      <c r="E194" t="inlineStr">
        <is>
          <t>BJURHOLM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48258-2021</t>
        </is>
      </c>
      <c r="B195" s="1" t="n">
        <v>44449</v>
      </c>
      <c r="C195" s="1" t="n">
        <v>45272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51368-2021</t>
        </is>
      </c>
      <c r="B196" s="1" t="n">
        <v>44461</v>
      </c>
      <c r="C196" s="1" t="n">
        <v>45272</v>
      </c>
      <c r="D196" t="inlineStr">
        <is>
          <t>VÄSTERBOTTENS LÄN</t>
        </is>
      </c>
      <c r="E196" t="inlineStr">
        <is>
          <t>BJURHOLM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51361-2021</t>
        </is>
      </c>
      <c r="B197" s="1" t="n">
        <v>44461</v>
      </c>
      <c r="C197" s="1" t="n">
        <v>45272</v>
      </c>
      <c r="D197" t="inlineStr">
        <is>
          <t>VÄSTERBOTTENS LÄN</t>
        </is>
      </c>
      <c r="E197" t="inlineStr">
        <is>
          <t>BJURHOLM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51406-2021</t>
        </is>
      </c>
      <c r="B198" s="1" t="n">
        <v>44461</v>
      </c>
      <c r="C198" s="1" t="n">
        <v>45272</v>
      </c>
      <c r="D198" t="inlineStr">
        <is>
          <t>VÄSTERBOTTENS LÄN</t>
        </is>
      </c>
      <c r="E198" t="inlineStr">
        <is>
          <t>BJURHOLM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51723-2021</t>
        </is>
      </c>
      <c r="B199" s="1" t="n">
        <v>44462</v>
      </c>
      <c r="C199" s="1" t="n">
        <v>45272</v>
      </c>
      <c r="D199" t="inlineStr">
        <is>
          <t>VÄSTERBOTTENS LÄN</t>
        </is>
      </c>
      <c r="E199" t="inlineStr">
        <is>
          <t>BJURHOLM</t>
        </is>
      </c>
      <c r="F199" t="inlineStr">
        <is>
          <t>Sveaskog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52111-2021</t>
        </is>
      </c>
      <c r="B200" s="1" t="n">
        <v>44462</v>
      </c>
      <c r="C200" s="1" t="n">
        <v>45272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52484-2021</t>
        </is>
      </c>
      <c r="B201" s="1" t="n">
        <v>44463</v>
      </c>
      <c r="C201" s="1" t="n">
        <v>45272</v>
      </c>
      <c r="D201" t="inlineStr">
        <is>
          <t>VÄSTERBOTTENS LÄN</t>
        </is>
      </c>
      <c r="E201" t="inlineStr">
        <is>
          <t>BJURHOLM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55474-2021</t>
        </is>
      </c>
      <c r="B202" s="1" t="n">
        <v>44475</v>
      </c>
      <c r="C202" s="1" t="n">
        <v>45272</v>
      </c>
      <c r="D202" t="inlineStr">
        <is>
          <t>VÄSTERBOTTENS LÄN</t>
        </is>
      </c>
      <c r="E202" t="inlineStr">
        <is>
          <t>BJURHOLM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55512-2021</t>
        </is>
      </c>
      <c r="B203" s="1" t="n">
        <v>44475</v>
      </c>
      <c r="C203" s="1" t="n">
        <v>45272</v>
      </c>
      <c r="D203" t="inlineStr">
        <is>
          <t>VÄSTERBOTTENS LÄN</t>
        </is>
      </c>
      <c r="E203" t="inlineStr">
        <is>
          <t>BJURHOLM</t>
        </is>
      </c>
      <c r="F203" t="inlineStr">
        <is>
          <t>Holmen skog AB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57866-2021</t>
        </is>
      </c>
      <c r="B204" s="1" t="n">
        <v>44485</v>
      </c>
      <c r="C204" s="1" t="n">
        <v>45272</v>
      </c>
      <c r="D204" t="inlineStr">
        <is>
          <t>VÄSTERBOTTENS LÄN</t>
        </is>
      </c>
      <c r="E204" t="inlineStr">
        <is>
          <t>BJURHOLM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57867-2021</t>
        </is>
      </c>
      <c r="B205" s="1" t="n">
        <v>44485</v>
      </c>
      <c r="C205" s="1" t="n">
        <v>45272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58058-2021</t>
        </is>
      </c>
      <c r="B206" s="1" t="n">
        <v>44487</v>
      </c>
      <c r="C206" s="1" t="n">
        <v>45272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Holmen skog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59178-2021</t>
        </is>
      </c>
      <c r="B207" s="1" t="n">
        <v>44490</v>
      </c>
      <c r="C207" s="1" t="n">
        <v>45272</v>
      </c>
      <c r="D207" t="inlineStr">
        <is>
          <t>VÄSTERBOTTENS LÄN</t>
        </is>
      </c>
      <c r="E207" t="inlineStr">
        <is>
          <t>BJURHOLM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59257-2021</t>
        </is>
      </c>
      <c r="B208" s="1" t="n">
        <v>44490</v>
      </c>
      <c r="C208" s="1" t="n">
        <v>45272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59675-2021</t>
        </is>
      </c>
      <c r="B209" s="1" t="n">
        <v>44494</v>
      </c>
      <c r="C209" s="1" t="n">
        <v>45272</v>
      </c>
      <c r="D209" t="inlineStr">
        <is>
          <t>VÄSTERBOTTENS LÄN</t>
        </is>
      </c>
      <c r="E209" t="inlineStr">
        <is>
          <t>BJURHOLM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59798-2021</t>
        </is>
      </c>
      <c r="B210" s="1" t="n">
        <v>44494</v>
      </c>
      <c r="C210" s="1" t="n">
        <v>45272</v>
      </c>
      <c r="D210" t="inlineStr">
        <is>
          <t>VÄSTERBOTTENS LÄN</t>
        </is>
      </c>
      <c r="E210" t="inlineStr">
        <is>
          <t>BJURHOLM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62807-2021</t>
        </is>
      </c>
      <c r="B211" s="1" t="n">
        <v>44504</v>
      </c>
      <c r="C211" s="1" t="n">
        <v>45272</v>
      </c>
      <c r="D211" t="inlineStr">
        <is>
          <t>VÄSTERBOTTENS LÄN</t>
        </is>
      </c>
      <c r="E211" t="inlineStr">
        <is>
          <t>BJURHOLM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62776-2021</t>
        </is>
      </c>
      <c r="B212" s="1" t="n">
        <v>44504</v>
      </c>
      <c r="C212" s="1" t="n">
        <v>45272</v>
      </c>
      <c r="D212" t="inlineStr">
        <is>
          <t>VÄSTERBOTTENS LÄN</t>
        </is>
      </c>
      <c r="E212" t="inlineStr">
        <is>
          <t>BJURHOLM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63678-2021</t>
        </is>
      </c>
      <c r="B213" s="1" t="n">
        <v>44508</v>
      </c>
      <c r="C213" s="1" t="n">
        <v>45272</v>
      </c>
      <c r="D213" t="inlineStr">
        <is>
          <t>VÄSTERBOTTENS LÄN</t>
        </is>
      </c>
      <c r="E213" t="inlineStr">
        <is>
          <t>BJURHOLM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63929-2021</t>
        </is>
      </c>
      <c r="B214" s="1" t="n">
        <v>44509</v>
      </c>
      <c r="C214" s="1" t="n">
        <v>45272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65311-2021</t>
        </is>
      </c>
      <c r="B215" s="1" t="n">
        <v>44515</v>
      </c>
      <c r="C215" s="1" t="n">
        <v>45272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Holmen skog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67762-2021</t>
        </is>
      </c>
      <c r="B216" s="1" t="n">
        <v>44524</v>
      </c>
      <c r="C216" s="1" t="n">
        <v>45272</v>
      </c>
      <c r="D216" t="inlineStr">
        <is>
          <t>VÄSTERBOTTENS LÄN</t>
        </is>
      </c>
      <c r="E216" t="inlineStr">
        <is>
          <t>BJURHOLM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67751-2021</t>
        </is>
      </c>
      <c r="B217" s="1" t="n">
        <v>44524</v>
      </c>
      <c r="C217" s="1" t="n">
        <v>45272</v>
      </c>
      <c r="D217" t="inlineStr">
        <is>
          <t>VÄSTERBOTTENS LÄN</t>
        </is>
      </c>
      <c r="E217" t="inlineStr">
        <is>
          <t>BJURHOLM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67775-2021</t>
        </is>
      </c>
      <c r="B218" s="1" t="n">
        <v>44524</v>
      </c>
      <c r="C218" s="1" t="n">
        <v>45272</v>
      </c>
      <c r="D218" t="inlineStr">
        <is>
          <t>VÄSTERBOTTENS LÄN</t>
        </is>
      </c>
      <c r="E218" t="inlineStr">
        <is>
          <t>BJURHOLM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68814-2021</t>
        </is>
      </c>
      <c r="B219" s="1" t="n">
        <v>44530</v>
      </c>
      <c r="C219" s="1" t="n">
        <v>45272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69347-2021</t>
        </is>
      </c>
      <c r="B220" s="1" t="n">
        <v>44531</v>
      </c>
      <c r="C220" s="1" t="n">
        <v>45272</v>
      </c>
      <c r="D220" t="inlineStr">
        <is>
          <t>VÄSTERBOTTENS LÄN</t>
        </is>
      </c>
      <c r="E220" t="inlineStr">
        <is>
          <t>BJURHOLM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69544-2021</t>
        </is>
      </c>
      <c r="B221" s="1" t="n">
        <v>44531</v>
      </c>
      <c r="C221" s="1" t="n">
        <v>45272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SCA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70740-2021</t>
        </is>
      </c>
      <c r="B222" s="1" t="n">
        <v>44536</v>
      </c>
      <c r="C222" s="1" t="n">
        <v>45272</v>
      </c>
      <c r="D222" t="inlineStr">
        <is>
          <t>VÄSTERBOTTENS LÄN</t>
        </is>
      </c>
      <c r="E222" t="inlineStr">
        <is>
          <t>BJURHOLM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73665-2021</t>
        </is>
      </c>
      <c r="B223" s="1" t="n">
        <v>44551</v>
      </c>
      <c r="C223" s="1" t="n">
        <v>45272</v>
      </c>
      <c r="D223" t="inlineStr">
        <is>
          <t>VÄSTERBOTTENS LÄN</t>
        </is>
      </c>
      <c r="E223" t="inlineStr">
        <is>
          <t>BJURHOLM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74152-2021</t>
        </is>
      </c>
      <c r="B224" s="1" t="n">
        <v>44557</v>
      </c>
      <c r="C224" s="1" t="n">
        <v>45272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2706-2022</t>
        </is>
      </c>
      <c r="B225" s="1" t="n">
        <v>44580</v>
      </c>
      <c r="C225" s="1" t="n">
        <v>45272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4105-2022</t>
        </is>
      </c>
      <c r="B226" s="1" t="n">
        <v>44588</v>
      </c>
      <c r="C226" s="1" t="n">
        <v>45272</v>
      </c>
      <c r="D226" t="inlineStr">
        <is>
          <t>VÄSTERBOTTENS LÄN</t>
        </is>
      </c>
      <c r="E226" t="inlineStr">
        <is>
          <t>BJURHOLM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4623-2022</t>
        </is>
      </c>
      <c r="B227" s="1" t="n">
        <v>44592</v>
      </c>
      <c r="C227" s="1" t="n">
        <v>45272</v>
      </c>
      <c r="D227" t="inlineStr">
        <is>
          <t>VÄSTERBOTTENS LÄN</t>
        </is>
      </c>
      <c r="E227" t="inlineStr">
        <is>
          <t>BJURHOLM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6053-2022</t>
        </is>
      </c>
      <c r="B228" s="1" t="n">
        <v>44599</v>
      </c>
      <c r="C228" s="1" t="n">
        <v>45272</v>
      </c>
      <c r="D228" t="inlineStr">
        <is>
          <t>VÄSTERBOTTENS LÄN</t>
        </is>
      </c>
      <c r="E228" t="inlineStr">
        <is>
          <t>BJURHOLM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6658-2022</t>
        </is>
      </c>
      <c r="B229" s="1" t="n">
        <v>44602</v>
      </c>
      <c r="C229" s="1" t="n">
        <v>45272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7148-2022</t>
        </is>
      </c>
      <c r="B230" s="1" t="n">
        <v>44603</v>
      </c>
      <c r="C230" s="1" t="n">
        <v>45272</v>
      </c>
      <c r="D230" t="inlineStr">
        <is>
          <t>VÄSTERBOTTENS LÄN</t>
        </is>
      </c>
      <c r="E230" t="inlineStr">
        <is>
          <t>BJURHOLM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7897-2022</t>
        </is>
      </c>
      <c r="B231" s="1" t="n">
        <v>44608</v>
      </c>
      <c r="C231" s="1" t="n">
        <v>45272</v>
      </c>
      <c r="D231" t="inlineStr">
        <is>
          <t>VÄSTERBOTTENS LÄN</t>
        </is>
      </c>
      <c r="E231" t="inlineStr">
        <is>
          <t>BJURHOLM</t>
        </is>
      </c>
      <c r="G231" t="n">
        <v>17.8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7908-2022</t>
        </is>
      </c>
      <c r="B232" s="1" t="n">
        <v>44608</v>
      </c>
      <c r="C232" s="1" t="n">
        <v>45272</v>
      </c>
      <c r="D232" t="inlineStr">
        <is>
          <t>VÄSTERBOTTENS LÄN</t>
        </is>
      </c>
      <c r="E232" t="inlineStr">
        <is>
          <t>BJURHOLM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7901-2022</t>
        </is>
      </c>
      <c r="B233" s="1" t="n">
        <v>44608</v>
      </c>
      <c r="C233" s="1" t="n">
        <v>45272</v>
      </c>
      <c r="D233" t="inlineStr">
        <is>
          <t>VÄSTERBOTTENS LÄN</t>
        </is>
      </c>
      <c r="E233" t="inlineStr">
        <is>
          <t>BJURHOLM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7910-2022</t>
        </is>
      </c>
      <c r="B234" s="1" t="n">
        <v>44608</v>
      </c>
      <c r="C234" s="1" t="n">
        <v>45272</v>
      </c>
      <c r="D234" t="inlineStr">
        <is>
          <t>VÄSTERBOTTENS LÄN</t>
        </is>
      </c>
      <c r="E234" t="inlineStr">
        <is>
          <t>BJURHOLM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7915-2022</t>
        </is>
      </c>
      <c r="B235" s="1" t="n">
        <v>44608</v>
      </c>
      <c r="C235" s="1" t="n">
        <v>45272</v>
      </c>
      <c r="D235" t="inlineStr">
        <is>
          <t>VÄSTERBOTTENS LÄN</t>
        </is>
      </c>
      <c r="E235" t="inlineStr">
        <is>
          <t>BJURHOLM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7907-2022</t>
        </is>
      </c>
      <c r="B236" s="1" t="n">
        <v>44608</v>
      </c>
      <c r="C236" s="1" t="n">
        <v>45272</v>
      </c>
      <c r="D236" t="inlineStr">
        <is>
          <t>VÄSTERBOTTENS LÄN</t>
        </is>
      </c>
      <c r="E236" t="inlineStr">
        <is>
          <t>BJURHOLM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9926-2022</t>
        </is>
      </c>
      <c r="B237" s="1" t="n">
        <v>44620</v>
      </c>
      <c r="C237" s="1" t="n">
        <v>45272</v>
      </c>
      <c r="D237" t="inlineStr">
        <is>
          <t>VÄSTERBOTTENS LÄN</t>
        </is>
      </c>
      <c r="E237" t="inlineStr">
        <is>
          <t>BJURHOLM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9923-2022</t>
        </is>
      </c>
      <c r="B238" s="1" t="n">
        <v>44620</v>
      </c>
      <c r="C238" s="1" t="n">
        <v>45272</v>
      </c>
      <c r="D238" t="inlineStr">
        <is>
          <t>VÄSTERBOTTENS LÄN</t>
        </is>
      </c>
      <c r="E238" t="inlineStr">
        <is>
          <t>BJURHOLM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9927-2022</t>
        </is>
      </c>
      <c r="B239" s="1" t="n">
        <v>44620</v>
      </c>
      <c r="C239" s="1" t="n">
        <v>45272</v>
      </c>
      <c r="D239" t="inlineStr">
        <is>
          <t>VÄSTERBOTTENS LÄN</t>
        </is>
      </c>
      <c r="E239" t="inlineStr">
        <is>
          <t>BJURHOLM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9928-2022</t>
        </is>
      </c>
      <c r="B240" s="1" t="n">
        <v>44620</v>
      </c>
      <c r="C240" s="1" t="n">
        <v>45272</v>
      </c>
      <c r="D240" t="inlineStr">
        <is>
          <t>VÄSTERBOTTENS LÄN</t>
        </is>
      </c>
      <c r="E240" t="inlineStr">
        <is>
          <t>BJURHOLM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9933-2022</t>
        </is>
      </c>
      <c r="B241" s="1" t="n">
        <v>44620</v>
      </c>
      <c r="C241" s="1" t="n">
        <v>45272</v>
      </c>
      <c r="D241" t="inlineStr">
        <is>
          <t>VÄSTERBOTTENS LÄN</t>
        </is>
      </c>
      <c r="E241" t="inlineStr">
        <is>
          <t>BJURHOLM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11120-2022</t>
        </is>
      </c>
      <c r="B242" s="1" t="n">
        <v>44628</v>
      </c>
      <c r="C242" s="1" t="n">
        <v>45272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11431-2022</t>
        </is>
      </c>
      <c r="B243" s="1" t="n">
        <v>44630</v>
      </c>
      <c r="C243" s="1" t="n">
        <v>45272</v>
      </c>
      <c r="D243" t="inlineStr">
        <is>
          <t>VÄSTERBOTTENS LÄN</t>
        </is>
      </c>
      <c r="E243" t="inlineStr">
        <is>
          <t>BJURHOLM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13184-2022</t>
        </is>
      </c>
      <c r="B244" s="1" t="n">
        <v>44644</v>
      </c>
      <c r="C244" s="1" t="n">
        <v>45272</v>
      </c>
      <c r="D244" t="inlineStr">
        <is>
          <t>VÄSTERBOTTENS LÄN</t>
        </is>
      </c>
      <c r="E244" t="inlineStr">
        <is>
          <t>BJURHOLM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16792-2022</t>
        </is>
      </c>
      <c r="B245" s="1" t="n">
        <v>44673</v>
      </c>
      <c r="C245" s="1" t="n">
        <v>45272</v>
      </c>
      <c r="D245" t="inlineStr">
        <is>
          <t>VÄSTERBOTTENS LÄN</t>
        </is>
      </c>
      <c r="E245" t="inlineStr">
        <is>
          <t>BJURHOLM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17409-2022</t>
        </is>
      </c>
      <c r="B246" s="1" t="n">
        <v>44678</v>
      </c>
      <c r="C246" s="1" t="n">
        <v>45272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17554-2022</t>
        </is>
      </c>
      <c r="B247" s="1" t="n">
        <v>44679</v>
      </c>
      <c r="C247" s="1" t="n">
        <v>45272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17551-2022</t>
        </is>
      </c>
      <c r="B248" s="1" t="n">
        <v>44679</v>
      </c>
      <c r="C248" s="1" t="n">
        <v>45272</v>
      </c>
      <c r="D248" t="inlineStr">
        <is>
          <t>VÄSTERBOTTENS LÄN</t>
        </is>
      </c>
      <c r="E248" t="inlineStr">
        <is>
          <t>BJURHOLM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17609-2022</t>
        </is>
      </c>
      <c r="B249" s="1" t="n">
        <v>44680</v>
      </c>
      <c r="C249" s="1" t="n">
        <v>45272</v>
      </c>
      <c r="D249" t="inlineStr">
        <is>
          <t>VÄSTERBOTTENS LÄN</t>
        </is>
      </c>
      <c r="E249" t="inlineStr">
        <is>
          <t>BJURHOLM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20753-2022</t>
        </is>
      </c>
      <c r="B250" s="1" t="n">
        <v>44700</v>
      </c>
      <c r="C250" s="1" t="n">
        <v>45272</v>
      </c>
      <c r="D250" t="inlineStr">
        <is>
          <t>VÄSTERBOTTENS LÄN</t>
        </is>
      </c>
      <c r="E250" t="inlineStr">
        <is>
          <t>BJURHOLM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20836-2022</t>
        </is>
      </c>
      <c r="B251" s="1" t="n">
        <v>44701</v>
      </c>
      <c r="C251" s="1" t="n">
        <v>45272</v>
      </c>
      <c r="D251" t="inlineStr">
        <is>
          <t>VÄSTERBOTTENS LÄN</t>
        </is>
      </c>
      <c r="E251" t="inlineStr">
        <is>
          <t>BJURHOLM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20830-2022</t>
        </is>
      </c>
      <c r="B252" s="1" t="n">
        <v>44701</v>
      </c>
      <c r="C252" s="1" t="n">
        <v>45272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22581-2022</t>
        </is>
      </c>
      <c r="B253" s="1" t="n">
        <v>44714</v>
      </c>
      <c r="C253" s="1" t="n">
        <v>45272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23662-2022</t>
        </is>
      </c>
      <c r="B254" s="1" t="n">
        <v>44721</v>
      </c>
      <c r="C254" s="1" t="n">
        <v>45272</v>
      </c>
      <c r="D254" t="inlineStr">
        <is>
          <t>VÄSTERBOTTENS LÄN</t>
        </is>
      </c>
      <c r="E254" t="inlineStr">
        <is>
          <t>BJURHOLM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23909-2022</t>
        </is>
      </c>
      <c r="B255" s="1" t="n">
        <v>44722</v>
      </c>
      <c r="C255" s="1" t="n">
        <v>45272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23974-2022</t>
        </is>
      </c>
      <c r="B256" s="1" t="n">
        <v>44722</v>
      </c>
      <c r="C256" s="1" t="n">
        <v>45272</v>
      </c>
      <c r="D256" t="inlineStr">
        <is>
          <t>VÄSTERBOTTENS LÄN</t>
        </is>
      </c>
      <c r="E256" t="inlineStr">
        <is>
          <t>BJURHOLM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26352-2022</t>
        </is>
      </c>
      <c r="B257" s="1" t="n">
        <v>44735</v>
      </c>
      <c r="C257" s="1" t="n">
        <v>45272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26833-2022</t>
        </is>
      </c>
      <c r="B258" s="1" t="n">
        <v>44740</v>
      </c>
      <c r="C258" s="1" t="n">
        <v>45272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27886-2022</t>
        </is>
      </c>
      <c r="B259" s="1" t="n">
        <v>44743</v>
      </c>
      <c r="C259" s="1" t="n">
        <v>45272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27952-2022</t>
        </is>
      </c>
      <c r="B260" s="1" t="n">
        <v>44743</v>
      </c>
      <c r="C260" s="1" t="n">
        <v>45272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27951-2022</t>
        </is>
      </c>
      <c r="B261" s="1" t="n">
        <v>44744</v>
      </c>
      <c r="C261" s="1" t="n">
        <v>45272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28040-2022</t>
        </is>
      </c>
      <c r="B262" s="1" t="n">
        <v>44746</v>
      </c>
      <c r="C262" s="1" t="n">
        <v>45272</v>
      </c>
      <c r="D262" t="inlineStr">
        <is>
          <t>VÄSTERBOTTENS LÄN</t>
        </is>
      </c>
      <c r="E262" t="inlineStr">
        <is>
          <t>BJURHOLM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28037-2022</t>
        </is>
      </c>
      <c r="B263" s="1" t="n">
        <v>44746</v>
      </c>
      <c r="C263" s="1" t="n">
        <v>45272</v>
      </c>
      <c r="D263" t="inlineStr">
        <is>
          <t>VÄSTERBOTTENS LÄN</t>
        </is>
      </c>
      <c r="E263" t="inlineStr">
        <is>
          <t>BJURHOLM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29524-2022</t>
        </is>
      </c>
      <c r="B264" s="1" t="n">
        <v>44753</v>
      </c>
      <c r="C264" s="1" t="n">
        <v>45272</v>
      </c>
      <c r="D264" t="inlineStr">
        <is>
          <t>VÄSTERBOTTENS LÄN</t>
        </is>
      </c>
      <c r="E264" t="inlineStr">
        <is>
          <t>BJURHOLM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29867-2022</t>
        </is>
      </c>
      <c r="B265" s="1" t="n">
        <v>44756</v>
      </c>
      <c r="C265" s="1" t="n">
        <v>45272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29994-2022</t>
        </is>
      </c>
      <c r="B266" s="1" t="n">
        <v>44756</v>
      </c>
      <c r="C266" s="1" t="n">
        <v>45272</v>
      </c>
      <c r="D266" t="inlineStr">
        <is>
          <t>VÄSTERBOTTENS LÄN</t>
        </is>
      </c>
      <c r="E266" t="inlineStr">
        <is>
          <t>BJURHOLM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31180-2022</t>
        </is>
      </c>
      <c r="B267" s="1" t="n">
        <v>44770</v>
      </c>
      <c r="C267" s="1" t="n">
        <v>45272</v>
      </c>
      <c r="D267" t="inlineStr">
        <is>
          <t>VÄSTERBOTTENS LÄN</t>
        </is>
      </c>
      <c r="E267" t="inlineStr">
        <is>
          <t>BJURHOLM</t>
        </is>
      </c>
      <c r="F267" t="inlineStr">
        <is>
          <t>Holmen skog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31195-2022</t>
        </is>
      </c>
      <c r="B268" s="1" t="n">
        <v>44770</v>
      </c>
      <c r="C268" s="1" t="n">
        <v>45272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14.1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31177-2022</t>
        </is>
      </c>
      <c r="B269" s="1" t="n">
        <v>44770</v>
      </c>
      <c r="C269" s="1" t="n">
        <v>45272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31274-2022</t>
        </is>
      </c>
      <c r="B270" s="1" t="n">
        <v>44771</v>
      </c>
      <c r="C270" s="1" t="n">
        <v>45272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31381-2022</t>
        </is>
      </c>
      <c r="B271" s="1" t="n">
        <v>44774</v>
      </c>
      <c r="C271" s="1" t="n">
        <v>45272</v>
      </c>
      <c r="D271" t="inlineStr">
        <is>
          <t>VÄSTERBOTTENS LÄN</t>
        </is>
      </c>
      <c r="E271" t="inlineStr">
        <is>
          <t>BJURHOLM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31412-2022</t>
        </is>
      </c>
      <c r="B272" s="1" t="n">
        <v>44774</v>
      </c>
      <c r="C272" s="1" t="n">
        <v>45272</v>
      </c>
      <c r="D272" t="inlineStr">
        <is>
          <t>VÄSTERBOTTENS LÄN</t>
        </is>
      </c>
      <c r="E272" t="inlineStr">
        <is>
          <t>BJURHOLM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31782-2022</t>
        </is>
      </c>
      <c r="B273" s="1" t="n">
        <v>44776</v>
      </c>
      <c r="C273" s="1" t="n">
        <v>45272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32041-2022</t>
        </is>
      </c>
      <c r="B274" s="1" t="n">
        <v>44778</v>
      </c>
      <c r="C274" s="1" t="n">
        <v>45272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32033-2022</t>
        </is>
      </c>
      <c r="B275" s="1" t="n">
        <v>44778</v>
      </c>
      <c r="C275" s="1" t="n">
        <v>45272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32075-2022</t>
        </is>
      </c>
      <c r="B276" s="1" t="n">
        <v>44778</v>
      </c>
      <c r="C276" s="1" t="n">
        <v>45272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32617-2022</t>
        </is>
      </c>
      <c r="B277" s="1" t="n">
        <v>44783</v>
      </c>
      <c r="C277" s="1" t="n">
        <v>45272</v>
      </c>
      <c r="D277" t="inlineStr">
        <is>
          <t>VÄSTERBOTTENS LÄN</t>
        </is>
      </c>
      <c r="E277" t="inlineStr">
        <is>
          <t>BJURHOLM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32989-2022</t>
        </is>
      </c>
      <c r="B278" s="1" t="n">
        <v>44785</v>
      </c>
      <c r="C278" s="1" t="n">
        <v>45272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33042-2022</t>
        </is>
      </c>
      <c r="B279" s="1" t="n">
        <v>44785</v>
      </c>
      <c r="C279" s="1" t="n">
        <v>45272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33093-2022</t>
        </is>
      </c>
      <c r="B280" s="1" t="n">
        <v>44785</v>
      </c>
      <c r="C280" s="1" t="n">
        <v>45272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33460-2022</t>
        </is>
      </c>
      <c r="B281" s="1" t="n">
        <v>44788</v>
      </c>
      <c r="C281" s="1" t="n">
        <v>45272</v>
      </c>
      <c r="D281" t="inlineStr">
        <is>
          <t>VÄSTERBOTTENS LÄN</t>
        </is>
      </c>
      <c r="E281" t="inlineStr">
        <is>
          <t>BJURHOLM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34296-2022</t>
        </is>
      </c>
      <c r="B282" s="1" t="n">
        <v>44792</v>
      </c>
      <c r="C282" s="1" t="n">
        <v>45272</v>
      </c>
      <c r="D282" t="inlineStr">
        <is>
          <t>VÄSTERBOTTENS LÄN</t>
        </is>
      </c>
      <c r="E282" t="inlineStr">
        <is>
          <t>BJURHOLM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34332-2022</t>
        </is>
      </c>
      <c r="B283" s="1" t="n">
        <v>44792</v>
      </c>
      <c r="C283" s="1" t="n">
        <v>45272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34401-2022</t>
        </is>
      </c>
      <c r="B284" s="1" t="n">
        <v>44792</v>
      </c>
      <c r="C284" s="1" t="n">
        <v>45272</v>
      </c>
      <c r="D284" t="inlineStr">
        <is>
          <t>VÄSTERBOTTENS LÄN</t>
        </is>
      </c>
      <c r="E284" t="inlineStr">
        <is>
          <t>BJURHOLM</t>
        </is>
      </c>
      <c r="F284" t="inlineStr">
        <is>
          <t>Holmen skog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34560-2022</t>
        </is>
      </c>
      <c r="B285" s="1" t="n">
        <v>44794</v>
      </c>
      <c r="C285" s="1" t="n">
        <v>45272</v>
      </c>
      <c r="D285" t="inlineStr">
        <is>
          <t>VÄSTERBOTTENS LÄN</t>
        </is>
      </c>
      <c r="E285" t="inlineStr">
        <is>
          <t>BJURHOLM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34751-2022</t>
        </is>
      </c>
      <c r="B286" s="1" t="n">
        <v>44795</v>
      </c>
      <c r="C286" s="1" t="n">
        <v>45272</v>
      </c>
      <c r="D286" t="inlineStr">
        <is>
          <t>VÄSTERBOTTENS LÄN</t>
        </is>
      </c>
      <c r="E286" t="inlineStr">
        <is>
          <t>BJURHOLM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35482-2022</t>
        </is>
      </c>
      <c r="B287" s="1" t="n">
        <v>44799</v>
      </c>
      <c r="C287" s="1" t="n">
        <v>45272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36021-2022</t>
        </is>
      </c>
      <c r="B288" s="1" t="n">
        <v>44802</v>
      </c>
      <c r="C288" s="1" t="n">
        <v>45272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36507-2022</t>
        </is>
      </c>
      <c r="B289" s="1" t="n">
        <v>44804</v>
      </c>
      <c r="C289" s="1" t="n">
        <v>45272</v>
      </c>
      <c r="D289" t="inlineStr">
        <is>
          <t>VÄSTERBOTTENS LÄN</t>
        </is>
      </c>
      <c r="E289" t="inlineStr">
        <is>
          <t>BJURHOLM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36991-2022</t>
        </is>
      </c>
      <c r="B290" s="1" t="n">
        <v>44806</v>
      </c>
      <c r="C290" s="1" t="n">
        <v>45272</v>
      </c>
      <c r="D290" t="inlineStr">
        <is>
          <t>VÄSTERBOTTENS LÄN</t>
        </is>
      </c>
      <c r="E290" t="inlineStr">
        <is>
          <t>BJURHOLM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38838-2022</t>
        </is>
      </c>
      <c r="B291" s="1" t="n">
        <v>44816</v>
      </c>
      <c r="C291" s="1" t="n">
        <v>45272</v>
      </c>
      <c r="D291" t="inlineStr">
        <is>
          <t>VÄSTERBOTTENS LÄN</t>
        </is>
      </c>
      <c r="E291" t="inlineStr">
        <is>
          <t>BJURHOLM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40000-2022</t>
        </is>
      </c>
      <c r="B292" s="1" t="n">
        <v>44818</v>
      </c>
      <c r="C292" s="1" t="n">
        <v>45272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41388-2022</t>
        </is>
      </c>
      <c r="B293" s="1" t="n">
        <v>44826</v>
      </c>
      <c r="C293" s="1" t="n">
        <v>45272</v>
      </c>
      <c r="D293" t="inlineStr">
        <is>
          <t>VÄSTERBOTTENS LÄN</t>
        </is>
      </c>
      <c r="E293" t="inlineStr">
        <is>
          <t>BJURHOLM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42004-2022</t>
        </is>
      </c>
      <c r="B294" s="1" t="n">
        <v>44827</v>
      </c>
      <c r="C294" s="1" t="n">
        <v>45272</v>
      </c>
      <c r="D294" t="inlineStr">
        <is>
          <t>VÄSTERBOTTENS LÄN</t>
        </is>
      </c>
      <c r="E294" t="inlineStr">
        <is>
          <t>BJURHOLM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42403-2022</t>
        </is>
      </c>
      <c r="B295" s="1" t="n">
        <v>44831</v>
      </c>
      <c r="C295" s="1" t="n">
        <v>45272</v>
      </c>
      <c r="D295" t="inlineStr">
        <is>
          <t>VÄSTERBOTTENS LÄN</t>
        </is>
      </c>
      <c r="E295" t="inlineStr">
        <is>
          <t>BJURHOLM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42391-2022</t>
        </is>
      </c>
      <c r="B296" s="1" t="n">
        <v>44831</v>
      </c>
      <c r="C296" s="1" t="n">
        <v>45272</v>
      </c>
      <c r="D296" t="inlineStr">
        <is>
          <t>VÄSTERBOTTENS LÄN</t>
        </is>
      </c>
      <c r="E296" t="inlineStr">
        <is>
          <t>BJURHOLM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42752-2022</t>
        </is>
      </c>
      <c r="B297" s="1" t="n">
        <v>44832</v>
      </c>
      <c r="C297" s="1" t="n">
        <v>45272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Holmen skog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43326-2022</t>
        </is>
      </c>
      <c r="B298" s="1" t="n">
        <v>44834</v>
      </c>
      <c r="C298" s="1" t="n">
        <v>45272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43899-2022</t>
        </is>
      </c>
      <c r="B299" s="1" t="n">
        <v>44837</v>
      </c>
      <c r="C299" s="1" t="n">
        <v>45272</v>
      </c>
      <c r="D299" t="inlineStr">
        <is>
          <t>VÄSTERBOTTENS LÄN</t>
        </is>
      </c>
      <c r="E299" t="inlineStr">
        <is>
          <t>BJURHOLM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45417-2022</t>
        </is>
      </c>
      <c r="B300" s="1" t="n">
        <v>44844</v>
      </c>
      <c r="C300" s="1" t="n">
        <v>45272</v>
      </c>
      <c r="D300" t="inlineStr">
        <is>
          <t>VÄSTERBOTTENS LÄN</t>
        </is>
      </c>
      <c r="E300" t="inlineStr">
        <is>
          <t>BJURHOLM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45418-2022</t>
        </is>
      </c>
      <c r="B301" s="1" t="n">
        <v>44845</v>
      </c>
      <c r="C301" s="1" t="n">
        <v>45272</v>
      </c>
      <c r="D301" t="inlineStr">
        <is>
          <t>VÄSTERBOTTENS LÄN</t>
        </is>
      </c>
      <c r="E301" t="inlineStr">
        <is>
          <t>BJURHOLM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46246-2022</t>
        </is>
      </c>
      <c r="B302" s="1" t="n">
        <v>44846</v>
      </c>
      <c r="C302" s="1" t="n">
        <v>45272</v>
      </c>
      <c r="D302" t="inlineStr">
        <is>
          <t>VÄSTERBOTTENS LÄN</t>
        </is>
      </c>
      <c r="E302" t="inlineStr">
        <is>
          <t>BJURHOLM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47919-2022</t>
        </is>
      </c>
      <c r="B303" s="1" t="n">
        <v>44855</v>
      </c>
      <c r="C303" s="1" t="n">
        <v>45272</v>
      </c>
      <c r="D303" t="inlineStr">
        <is>
          <t>VÄSTERBOTTENS LÄN</t>
        </is>
      </c>
      <c r="E303" t="inlineStr">
        <is>
          <t>BJURHOLM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47907-2022</t>
        </is>
      </c>
      <c r="B304" s="1" t="n">
        <v>44855</v>
      </c>
      <c r="C304" s="1" t="n">
        <v>45272</v>
      </c>
      <c r="D304" t="inlineStr">
        <is>
          <t>VÄSTERBOTTENS LÄN</t>
        </is>
      </c>
      <c r="E304" t="inlineStr">
        <is>
          <t>BJURHOLM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48946-2022</t>
        </is>
      </c>
      <c r="B305" s="1" t="n">
        <v>44860</v>
      </c>
      <c r="C305" s="1" t="n">
        <v>45272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49648-2022</t>
        </is>
      </c>
      <c r="B306" s="1" t="n">
        <v>44862</v>
      </c>
      <c r="C306" s="1" t="n">
        <v>45272</v>
      </c>
      <c r="D306" t="inlineStr">
        <is>
          <t>VÄSTERBOTTENS LÄN</t>
        </is>
      </c>
      <c r="E306" t="inlineStr">
        <is>
          <t>BJURHOLM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49887-2022</t>
        </is>
      </c>
      <c r="B307" s="1" t="n">
        <v>44864</v>
      </c>
      <c r="C307" s="1" t="n">
        <v>45272</v>
      </c>
      <c r="D307" t="inlineStr">
        <is>
          <t>VÄSTERBOTTENS LÄN</t>
        </is>
      </c>
      <c r="E307" t="inlineStr">
        <is>
          <t>BJURHOLM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50928-2022</t>
        </is>
      </c>
      <c r="B308" s="1" t="n">
        <v>44865</v>
      </c>
      <c r="C308" s="1" t="n">
        <v>45272</v>
      </c>
      <c r="D308" t="inlineStr">
        <is>
          <t>VÄSTERBOTTENS LÄN</t>
        </is>
      </c>
      <c r="E308" t="inlineStr">
        <is>
          <t>BJURHOLM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51068-2022</t>
        </is>
      </c>
      <c r="B309" s="1" t="n">
        <v>44865</v>
      </c>
      <c r="C309" s="1" t="n">
        <v>45272</v>
      </c>
      <c r="D309" t="inlineStr">
        <is>
          <t>VÄSTERBOTTENS LÄN</t>
        </is>
      </c>
      <c r="E309" t="inlineStr">
        <is>
          <t>BJURHOLM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51239-2022</t>
        </is>
      </c>
      <c r="B310" s="1" t="n">
        <v>44866</v>
      </c>
      <c r="C310" s="1" t="n">
        <v>45272</v>
      </c>
      <c r="D310" t="inlineStr">
        <is>
          <t>VÄSTERBOTTENS LÄN</t>
        </is>
      </c>
      <c r="E310" t="inlineStr">
        <is>
          <t>BJURHOLM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51301-2022</t>
        </is>
      </c>
      <c r="B311" s="1" t="n">
        <v>44868</v>
      </c>
      <c r="C311" s="1" t="n">
        <v>45272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51300-2022</t>
        </is>
      </c>
      <c r="B312" s="1" t="n">
        <v>44868</v>
      </c>
      <c r="C312" s="1" t="n">
        <v>45272</v>
      </c>
      <c r="D312" t="inlineStr">
        <is>
          <t>VÄSTERBOTTENS LÄN</t>
        </is>
      </c>
      <c r="E312" t="inlineStr">
        <is>
          <t>BJURHOLM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52321-2022</t>
        </is>
      </c>
      <c r="B313" s="1" t="n">
        <v>44873</v>
      </c>
      <c r="C313" s="1" t="n">
        <v>45272</v>
      </c>
      <c r="D313" t="inlineStr">
        <is>
          <t>VÄSTERBOTTENS LÄN</t>
        </is>
      </c>
      <c r="E313" t="inlineStr">
        <is>
          <t>BJURHOLM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52562-2022</t>
        </is>
      </c>
      <c r="B314" s="1" t="n">
        <v>44874</v>
      </c>
      <c r="C314" s="1" t="n">
        <v>45272</v>
      </c>
      <c r="D314" t="inlineStr">
        <is>
          <t>VÄSTERBOTTENS LÄN</t>
        </is>
      </c>
      <c r="E314" t="inlineStr">
        <is>
          <t>BJURHOLM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52689-2022</t>
        </is>
      </c>
      <c r="B315" s="1" t="n">
        <v>44874</v>
      </c>
      <c r="C315" s="1" t="n">
        <v>45272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Sveaskog</t>
        </is>
      </c>
      <c r="G315" t="n">
        <v>18.4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53536-2022</t>
        </is>
      </c>
      <c r="B316" s="1" t="n">
        <v>44875</v>
      </c>
      <c r="C316" s="1" t="n">
        <v>45272</v>
      </c>
      <c r="D316" t="inlineStr">
        <is>
          <t>VÄSTERBOTTENS LÄN</t>
        </is>
      </c>
      <c r="E316" t="inlineStr">
        <is>
          <t>BJURHOLM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53672-2022</t>
        </is>
      </c>
      <c r="B317" s="1" t="n">
        <v>44879</v>
      </c>
      <c r="C317" s="1" t="n">
        <v>45272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55542-2022</t>
        </is>
      </c>
      <c r="B318" s="1" t="n">
        <v>44887</v>
      </c>
      <c r="C318" s="1" t="n">
        <v>45272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57334-2022</t>
        </is>
      </c>
      <c r="B319" s="1" t="n">
        <v>44896</v>
      </c>
      <c r="C319" s="1" t="n">
        <v>45272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57653-2022</t>
        </is>
      </c>
      <c r="B320" s="1" t="n">
        <v>44897</v>
      </c>
      <c r="C320" s="1" t="n">
        <v>45272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57883-2022</t>
        </is>
      </c>
      <c r="B321" s="1" t="n">
        <v>44899</v>
      </c>
      <c r="C321" s="1" t="n">
        <v>45272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58192-2022</t>
        </is>
      </c>
      <c r="B322" s="1" t="n">
        <v>44900</v>
      </c>
      <c r="C322" s="1" t="n">
        <v>45272</v>
      </c>
      <c r="D322" t="inlineStr">
        <is>
          <t>VÄSTERBOTTENS LÄN</t>
        </is>
      </c>
      <c r="E322" t="inlineStr">
        <is>
          <t>BJURHOLM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58420-2022</t>
        </is>
      </c>
      <c r="B323" s="1" t="n">
        <v>44901</v>
      </c>
      <c r="C323" s="1" t="n">
        <v>45272</v>
      </c>
      <c r="D323" t="inlineStr">
        <is>
          <t>VÄSTERBOTTENS LÄN</t>
        </is>
      </c>
      <c r="E323" t="inlineStr">
        <is>
          <t>BJURHOLM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59917-2022</t>
        </is>
      </c>
      <c r="B324" s="1" t="n">
        <v>44908</v>
      </c>
      <c r="C324" s="1" t="n">
        <v>45272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59866-2022</t>
        </is>
      </c>
      <c r="B325" s="1" t="n">
        <v>44908</v>
      </c>
      <c r="C325" s="1" t="n">
        <v>45272</v>
      </c>
      <c r="D325" t="inlineStr">
        <is>
          <t>VÄSTERBOTTENS LÄN</t>
        </is>
      </c>
      <c r="E325" t="inlineStr">
        <is>
          <t>BJURHOLM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60690-2022</t>
        </is>
      </c>
      <c r="B326" s="1" t="n">
        <v>44911</v>
      </c>
      <c r="C326" s="1" t="n">
        <v>45272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60692-2022</t>
        </is>
      </c>
      <c r="B327" s="1" t="n">
        <v>44911</v>
      </c>
      <c r="C327" s="1" t="n">
        <v>45272</v>
      </c>
      <c r="D327" t="inlineStr">
        <is>
          <t>VÄSTERBOTTENS LÄN</t>
        </is>
      </c>
      <c r="E327" t="inlineStr">
        <is>
          <t>BJURHOLM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60689-2022</t>
        </is>
      </c>
      <c r="B328" s="1" t="n">
        <v>44911</v>
      </c>
      <c r="C328" s="1" t="n">
        <v>45272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60691-2022</t>
        </is>
      </c>
      <c r="B329" s="1" t="n">
        <v>44911</v>
      </c>
      <c r="C329" s="1" t="n">
        <v>45272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61044-2022</t>
        </is>
      </c>
      <c r="B330" s="1" t="n">
        <v>44915</v>
      </c>
      <c r="C330" s="1" t="n">
        <v>45272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61658-2022</t>
        </is>
      </c>
      <c r="B331" s="1" t="n">
        <v>44916</v>
      </c>
      <c r="C331" s="1" t="n">
        <v>45272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61654-2022</t>
        </is>
      </c>
      <c r="B332" s="1" t="n">
        <v>44916</v>
      </c>
      <c r="C332" s="1" t="n">
        <v>45272</v>
      </c>
      <c r="D332" t="inlineStr">
        <is>
          <t>VÄSTERBOTTENS LÄN</t>
        </is>
      </c>
      <c r="E332" t="inlineStr">
        <is>
          <t>BJURHOLM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61655-2022</t>
        </is>
      </c>
      <c r="B333" s="1" t="n">
        <v>44916</v>
      </c>
      <c r="C333" s="1" t="n">
        <v>45272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62082-2022</t>
        </is>
      </c>
      <c r="B334" s="1" t="n">
        <v>44918</v>
      </c>
      <c r="C334" s="1" t="n">
        <v>45272</v>
      </c>
      <c r="D334" t="inlineStr">
        <is>
          <t>VÄSTERBOTTENS LÄN</t>
        </is>
      </c>
      <c r="E334" t="inlineStr">
        <is>
          <t>BJURHOLM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62087-2022</t>
        </is>
      </c>
      <c r="B335" s="1" t="n">
        <v>44919</v>
      </c>
      <c r="C335" s="1" t="n">
        <v>45272</v>
      </c>
      <c r="D335" t="inlineStr">
        <is>
          <t>VÄSTERBOTTENS LÄN</t>
        </is>
      </c>
      <c r="E335" t="inlineStr">
        <is>
          <t>BJURHOLM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62088-2022</t>
        </is>
      </c>
      <c r="B336" s="1" t="n">
        <v>44919</v>
      </c>
      <c r="C336" s="1" t="n">
        <v>45272</v>
      </c>
      <c r="D336" t="inlineStr">
        <is>
          <t>VÄSTERBOTTENS LÄN</t>
        </is>
      </c>
      <c r="E336" t="inlineStr">
        <is>
          <t>BJURHOLM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62581-2022</t>
        </is>
      </c>
      <c r="B337" s="1" t="n">
        <v>44924</v>
      </c>
      <c r="C337" s="1" t="n">
        <v>45272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366-2023</t>
        </is>
      </c>
      <c r="B338" s="1" t="n">
        <v>44929</v>
      </c>
      <c r="C338" s="1" t="n">
        <v>45272</v>
      </c>
      <c r="D338" t="inlineStr">
        <is>
          <t>VÄSTERBOTTENS LÄN</t>
        </is>
      </c>
      <c r="E338" t="inlineStr">
        <is>
          <t>BJURHOLM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729-2023</t>
        </is>
      </c>
      <c r="B339" s="1" t="n">
        <v>44930</v>
      </c>
      <c r="C339" s="1" t="n">
        <v>45272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779-2023</t>
        </is>
      </c>
      <c r="B340" s="1" t="n">
        <v>44931</v>
      </c>
      <c r="C340" s="1" t="n">
        <v>45272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3493-2023</t>
        </is>
      </c>
      <c r="B341" s="1" t="n">
        <v>44949</v>
      </c>
      <c r="C341" s="1" t="n">
        <v>45272</v>
      </c>
      <c r="D341" t="inlineStr">
        <is>
          <t>VÄSTERBOTTENS LÄN</t>
        </is>
      </c>
      <c r="E341" t="inlineStr">
        <is>
          <t>BJURHOLM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3705-2023</t>
        </is>
      </c>
      <c r="B342" s="1" t="n">
        <v>44950</v>
      </c>
      <c r="C342" s="1" t="n">
        <v>45272</v>
      </c>
      <c r="D342" t="inlineStr">
        <is>
          <t>VÄSTERBOTTENS LÄN</t>
        </is>
      </c>
      <c r="E342" t="inlineStr">
        <is>
          <t>BJURHOLM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5079-2023</t>
        </is>
      </c>
      <c r="B343" s="1" t="n">
        <v>44958</v>
      </c>
      <c r="C343" s="1" t="n">
        <v>45272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5098-2023</t>
        </is>
      </c>
      <c r="B344" s="1" t="n">
        <v>44958</v>
      </c>
      <c r="C344" s="1" t="n">
        <v>45272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6344-2023</t>
        </is>
      </c>
      <c r="B345" s="1" t="n">
        <v>44960</v>
      </c>
      <c r="C345" s="1" t="n">
        <v>45272</v>
      </c>
      <c r="D345" t="inlineStr">
        <is>
          <t>VÄSTERBOTTENS LÄN</t>
        </is>
      </c>
      <c r="E345" t="inlineStr">
        <is>
          <t>BJURHOLM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5590-2023</t>
        </is>
      </c>
      <c r="B346" s="1" t="n">
        <v>44960</v>
      </c>
      <c r="C346" s="1" t="n">
        <v>45272</v>
      </c>
      <c r="D346" t="inlineStr">
        <is>
          <t>VÄSTERBOTTENS LÄN</t>
        </is>
      </c>
      <c r="E346" t="inlineStr">
        <is>
          <t>BJURHOLM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6822-2023</t>
        </is>
      </c>
      <c r="B347" s="1" t="n">
        <v>44964</v>
      </c>
      <c r="C347" s="1" t="n">
        <v>45272</v>
      </c>
      <c r="D347" t="inlineStr">
        <is>
          <t>VÄSTERBOTTENS LÄN</t>
        </is>
      </c>
      <c r="E347" t="inlineStr">
        <is>
          <t>BJURHOLM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6699-2023</t>
        </is>
      </c>
      <c r="B348" s="1" t="n">
        <v>44966</v>
      </c>
      <c r="C348" s="1" t="n">
        <v>45272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8135-2023</t>
        </is>
      </c>
      <c r="B349" s="1" t="n">
        <v>44970</v>
      </c>
      <c r="C349" s="1" t="n">
        <v>45272</v>
      </c>
      <c r="D349" t="inlineStr">
        <is>
          <t>VÄSTERBOTTENS LÄN</t>
        </is>
      </c>
      <c r="E349" t="inlineStr">
        <is>
          <t>BJURHOLM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8132-2023</t>
        </is>
      </c>
      <c r="B350" s="1" t="n">
        <v>44970</v>
      </c>
      <c r="C350" s="1" t="n">
        <v>45272</v>
      </c>
      <c r="D350" t="inlineStr">
        <is>
          <t>VÄSTERBOTTENS LÄN</t>
        </is>
      </c>
      <c r="E350" t="inlineStr">
        <is>
          <t>BJURHOLM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8547-2023</t>
        </is>
      </c>
      <c r="B351" s="1" t="n">
        <v>44972</v>
      </c>
      <c r="C351" s="1" t="n">
        <v>45272</v>
      </c>
      <c r="D351" t="inlineStr">
        <is>
          <t>VÄSTERBOTTENS LÄN</t>
        </is>
      </c>
      <c r="E351" t="inlineStr">
        <is>
          <t>BJURHOLM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8644-2023</t>
        </is>
      </c>
      <c r="B352" s="1" t="n">
        <v>44977</v>
      </c>
      <c r="C352" s="1" t="n">
        <v>45272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8860-2023</t>
        </is>
      </c>
      <c r="B353" s="1" t="n">
        <v>44978</v>
      </c>
      <c r="C353" s="1" t="n">
        <v>45272</v>
      </c>
      <c r="D353" t="inlineStr">
        <is>
          <t>VÄSTERBOTTENS LÄN</t>
        </is>
      </c>
      <c r="E353" t="inlineStr">
        <is>
          <t>BJURHOLM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8863-2023</t>
        </is>
      </c>
      <c r="B354" s="1" t="n">
        <v>44978</v>
      </c>
      <c r="C354" s="1" t="n">
        <v>45272</v>
      </c>
      <c r="D354" t="inlineStr">
        <is>
          <t>VÄSTERBOTTENS LÄN</t>
        </is>
      </c>
      <c r="E354" t="inlineStr">
        <is>
          <t>BJURHOLM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8862-2023</t>
        </is>
      </c>
      <c r="B355" s="1" t="n">
        <v>44978</v>
      </c>
      <c r="C355" s="1" t="n">
        <v>45272</v>
      </c>
      <c r="D355" t="inlineStr">
        <is>
          <t>VÄSTERBOTTENS LÄN</t>
        </is>
      </c>
      <c r="E355" t="inlineStr">
        <is>
          <t>BJURHOLM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10343-2023</t>
        </is>
      </c>
      <c r="B356" s="1" t="n">
        <v>44980</v>
      </c>
      <c r="C356" s="1" t="n">
        <v>45272</v>
      </c>
      <c r="D356" t="inlineStr">
        <is>
          <t>VÄSTERBOTTENS LÄN</t>
        </is>
      </c>
      <c r="E356" t="inlineStr">
        <is>
          <t>BJURHOLM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10351-2023</t>
        </is>
      </c>
      <c r="B357" s="1" t="n">
        <v>44980</v>
      </c>
      <c r="C357" s="1" t="n">
        <v>45272</v>
      </c>
      <c r="D357" t="inlineStr">
        <is>
          <t>VÄSTERBOTTENS LÄN</t>
        </is>
      </c>
      <c r="E357" t="inlineStr">
        <is>
          <t>BJURHOLM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10984-2023</t>
        </is>
      </c>
      <c r="B358" s="1" t="n">
        <v>44985</v>
      </c>
      <c r="C358" s="1" t="n">
        <v>45272</v>
      </c>
      <c r="D358" t="inlineStr">
        <is>
          <t>VÄSTERBOTTENS LÄN</t>
        </is>
      </c>
      <c r="E358" t="inlineStr">
        <is>
          <t>BJURHOLM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10918-2023</t>
        </is>
      </c>
      <c r="B359" s="1" t="n">
        <v>44991</v>
      </c>
      <c r="C359" s="1" t="n">
        <v>45272</v>
      </c>
      <c r="D359" t="inlineStr">
        <is>
          <t>VÄSTERBOTTENS LÄN</t>
        </is>
      </c>
      <c r="E359" t="inlineStr">
        <is>
          <t>BJURHOLM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11927-2023</t>
        </is>
      </c>
      <c r="B360" s="1" t="n">
        <v>44994</v>
      </c>
      <c r="C360" s="1" t="n">
        <v>45272</v>
      </c>
      <c r="D360" t="inlineStr">
        <is>
          <t>VÄSTERBOTTENS LÄN</t>
        </is>
      </c>
      <c r="E360" t="inlineStr">
        <is>
          <t>BJURHOLM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11860-2023</t>
        </is>
      </c>
      <c r="B361" s="1" t="n">
        <v>44995</v>
      </c>
      <c r="C361" s="1" t="n">
        <v>45272</v>
      </c>
      <c r="D361" t="inlineStr">
        <is>
          <t>VÄSTERBOTTENS LÄN</t>
        </is>
      </c>
      <c r="E361" t="inlineStr">
        <is>
          <t>BJURHOLM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12197-2023</t>
        </is>
      </c>
      <c r="B362" s="1" t="n">
        <v>44998</v>
      </c>
      <c r="C362" s="1" t="n">
        <v>45272</v>
      </c>
      <c r="D362" t="inlineStr">
        <is>
          <t>VÄSTERBOTTENS LÄN</t>
        </is>
      </c>
      <c r="E362" t="inlineStr">
        <is>
          <t>BJURHOLM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14071-2023</t>
        </is>
      </c>
      <c r="B363" s="1" t="n">
        <v>45009</v>
      </c>
      <c r="C363" s="1" t="n">
        <v>45272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14431-2023</t>
        </is>
      </c>
      <c r="B364" s="1" t="n">
        <v>45009</v>
      </c>
      <c r="C364" s="1" t="n">
        <v>45272</v>
      </c>
      <c r="D364" t="inlineStr">
        <is>
          <t>VÄSTERBOTTENS LÄN</t>
        </is>
      </c>
      <c r="E364" t="inlineStr">
        <is>
          <t>BJURHOLM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15225-2023</t>
        </is>
      </c>
      <c r="B365" s="1" t="n">
        <v>45016</v>
      </c>
      <c r="C365" s="1" t="n">
        <v>45272</v>
      </c>
      <c r="D365" t="inlineStr">
        <is>
          <t>VÄSTERBOTTENS LÄN</t>
        </is>
      </c>
      <c r="E365" t="inlineStr">
        <is>
          <t>BJURHOLM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15561-2023</t>
        </is>
      </c>
      <c r="B366" s="1" t="n">
        <v>45019</v>
      </c>
      <c r="C366" s="1" t="n">
        <v>45272</v>
      </c>
      <c r="D366" t="inlineStr">
        <is>
          <t>VÄSTERBOTTENS LÄN</t>
        </is>
      </c>
      <c r="E366" t="inlineStr">
        <is>
          <t>BJURHOLM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15556-2023</t>
        </is>
      </c>
      <c r="B367" s="1" t="n">
        <v>45019</v>
      </c>
      <c r="C367" s="1" t="n">
        <v>45272</v>
      </c>
      <c r="D367" t="inlineStr">
        <is>
          <t>VÄSTERBOTTENS LÄN</t>
        </is>
      </c>
      <c r="E367" t="inlineStr">
        <is>
          <t>BJURHOLM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15575-2023</t>
        </is>
      </c>
      <c r="B368" s="1" t="n">
        <v>45019</v>
      </c>
      <c r="C368" s="1" t="n">
        <v>45272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15581-2023</t>
        </is>
      </c>
      <c r="B369" s="1" t="n">
        <v>45019</v>
      </c>
      <c r="C369" s="1" t="n">
        <v>45272</v>
      </c>
      <c r="D369" t="inlineStr">
        <is>
          <t>VÄSTERBOTTENS LÄN</t>
        </is>
      </c>
      <c r="E369" t="inlineStr">
        <is>
          <t>BJURHOLM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15887-2023</t>
        </is>
      </c>
      <c r="B370" s="1" t="n">
        <v>45021</v>
      </c>
      <c r="C370" s="1" t="n">
        <v>45272</v>
      </c>
      <c r="D370" t="inlineStr">
        <is>
          <t>VÄSTERBOTTENS LÄN</t>
        </is>
      </c>
      <c r="E370" t="inlineStr">
        <is>
          <t>BJURHOLM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15878-2023</t>
        </is>
      </c>
      <c r="B371" s="1" t="n">
        <v>45021</v>
      </c>
      <c r="C371" s="1" t="n">
        <v>45272</v>
      </c>
      <c r="D371" t="inlineStr">
        <is>
          <t>VÄSTERBOTTENS LÄN</t>
        </is>
      </c>
      <c r="E371" t="inlineStr">
        <is>
          <t>BJURHOLM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16368-2023</t>
        </is>
      </c>
      <c r="B372" s="1" t="n">
        <v>45029</v>
      </c>
      <c r="C372" s="1" t="n">
        <v>45272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16680-2023</t>
        </is>
      </c>
      <c r="B373" s="1" t="n">
        <v>45028</v>
      </c>
      <c r="C373" s="1" t="n">
        <v>45272</v>
      </c>
      <c r="D373" t="inlineStr">
        <is>
          <t>VÄSTERBOTTENS LÄN</t>
        </is>
      </c>
      <c r="E373" t="inlineStr">
        <is>
          <t>BJURHOLM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16367-2023</t>
        </is>
      </c>
      <c r="B374" s="1" t="n">
        <v>45028</v>
      </c>
      <c r="C374" s="1" t="n">
        <v>45272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18720-2023</t>
        </is>
      </c>
      <c r="B375" s="1" t="n">
        <v>45043</v>
      </c>
      <c r="C375" s="1" t="n">
        <v>45272</v>
      </c>
      <c r="D375" t="inlineStr">
        <is>
          <t>VÄSTERBOTTENS LÄN</t>
        </is>
      </c>
      <c r="E375" t="inlineStr">
        <is>
          <t>BJURHOLM</t>
        </is>
      </c>
      <c r="G375" t="n">
        <v>31.4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18757-2023</t>
        </is>
      </c>
      <c r="B376" s="1" t="n">
        <v>45044</v>
      </c>
      <c r="C376" s="1" t="n">
        <v>45272</v>
      </c>
      <c r="D376" t="inlineStr">
        <is>
          <t>VÄSTERBOTTENS LÄN</t>
        </is>
      </c>
      <c r="E376" t="inlineStr">
        <is>
          <t>BJURHOLM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18955-2023</t>
        </is>
      </c>
      <c r="B377" s="1" t="n">
        <v>45043</v>
      </c>
      <c r="C377" s="1" t="n">
        <v>45272</v>
      </c>
      <c r="D377" t="inlineStr">
        <is>
          <t>VÄSTERBOTTENS LÄN</t>
        </is>
      </c>
      <c r="E377" t="inlineStr">
        <is>
          <t>BJURHOLM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18824-2023</t>
        </is>
      </c>
      <c r="B378" s="1" t="n">
        <v>45044</v>
      </c>
      <c r="C378" s="1" t="n">
        <v>45272</v>
      </c>
      <c r="D378" t="inlineStr">
        <is>
          <t>VÄSTERBOTTENS LÄN</t>
        </is>
      </c>
      <c r="E378" t="inlineStr">
        <is>
          <t>BJURHOLM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19077-2023</t>
        </is>
      </c>
      <c r="B379" s="1" t="n">
        <v>45044</v>
      </c>
      <c r="C379" s="1" t="n">
        <v>45272</v>
      </c>
      <c r="D379" t="inlineStr">
        <is>
          <t>VÄSTERBOTTENS LÄN</t>
        </is>
      </c>
      <c r="E379" t="inlineStr">
        <is>
          <t>BJURHOLM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19456-2023</t>
        </is>
      </c>
      <c r="B380" s="1" t="n">
        <v>45050</v>
      </c>
      <c r="C380" s="1" t="n">
        <v>45272</v>
      </c>
      <c r="D380" t="inlineStr">
        <is>
          <t>VÄSTERBOTTENS LÄN</t>
        </is>
      </c>
      <c r="E380" t="inlineStr">
        <is>
          <t>BJURHOLM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19905-2023</t>
        </is>
      </c>
      <c r="B381" s="1" t="n">
        <v>45054</v>
      </c>
      <c r="C381" s="1" t="n">
        <v>45272</v>
      </c>
      <c r="D381" t="inlineStr">
        <is>
          <t>VÄSTERBOTTENS LÄN</t>
        </is>
      </c>
      <c r="E381" t="inlineStr">
        <is>
          <t>BJURHOLM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20273-2023</t>
        </is>
      </c>
      <c r="B382" s="1" t="n">
        <v>45055</v>
      </c>
      <c r="C382" s="1" t="n">
        <v>45272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20949-2023</t>
        </is>
      </c>
      <c r="B383" s="1" t="n">
        <v>45056</v>
      </c>
      <c r="C383" s="1" t="n">
        <v>45272</v>
      </c>
      <c r="D383" t="inlineStr">
        <is>
          <t>VÄSTERBOTTENS LÄN</t>
        </is>
      </c>
      <c r="E383" t="inlineStr">
        <is>
          <t>BJURHOLM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20594-2023</t>
        </is>
      </c>
      <c r="B384" s="1" t="n">
        <v>45058</v>
      </c>
      <c r="C384" s="1" t="n">
        <v>45272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21425-2023</t>
        </is>
      </c>
      <c r="B385" s="1" t="n">
        <v>45060</v>
      </c>
      <c r="C385" s="1" t="n">
        <v>45272</v>
      </c>
      <c r="D385" t="inlineStr">
        <is>
          <t>VÄSTERBOTTENS LÄN</t>
        </is>
      </c>
      <c r="E385" t="inlineStr">
        <is>
          <t>BJURHOLM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21688-2023</t>
        </is>
      </c>
      <c r="B386" s="1" t="n">
        <v>45063</v>
      </c>
      <c r="C386" s="1" t="n">
        <v>45272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29.4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21675-2023</t>
        </is>
      </c>
      <c r="B387" s="1" t="n">
        <v>45064</v>
      </c>
      <c r="C387" s="1" t="n">
        <v>45272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22006-2023</t>
        </is>
      </c>
      <c r="B388" s="1" t="n">
        <v>45068</v>
      </c>
      <c r="C388" s="1" t="n">
        <v>45272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54.7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22001-2023</t>
        </is>
      </c>
      <c r="B389" s="1" t="n">
        <v>45069</v>
      </c>
      <c r="C389" s="1" t="n">
        <v>45272</v>
      </c>
      <c r="D389" t="inlineStr">
        <is>
          <t>VÄSTERBOTTENS LÄN</t>
        </is>
      </c>
      <c r="E389" t="inlineStr">
        <is>
          <t>BJURHOLM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22103-2023</t>
        </is>
      </c>
      <c r="B390" s="1" t="n">
        <v>45068</v>
      </c>
      <c r="C390" s="1" t="n">
        <v>45272</v>
      </c>
      <c r="D390" t="inlineStr">
        <is>
          <t>VÄSTERBOTTENS LÄN</t>
        </is>
      </c>
      <c r="E390" t="inlineStr">
        <is>
          <t>BJURHOLM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22007-2023</t>
        </is>
      </c>
      <c r="B391" s="1" t="n">
        <v>45068</v>
      </c>
      <c r="C391" s="1" t="n">
        <v>45272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SCA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22036-2023</t>
        </is>
      </c>
      <c r="B392" s="1" t="n">
        <v>45069</v>
      </c>
      <c r="C392" s="1" t="n">
        <v>45272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22844-2023</t>
        </is>
      </c>
      <c r="B393" s="1" t="n">
        <v>45072</v>
      </c>
      <c r="C393" s="1" t="n">
        <v>45272</v>
      </c>
      <c r="D393" t="inlineStr">
        <is>
          <t>VÄSTERBOTTENS LÄN</t>
        </is>
      </c>
      <c r="E393" t="inlineStr">
        <is>
          <t>BJURHOLM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22852-2023</t>
        </is>
      </c>
      <c r="B394" s="1" t="n">
        <v>45072</v>
      </c>
      <c r="C394" s="1" t="n">
        <v>45272</v>
      </c>
      <c r="D394" t="inlineStr">
        <is>
          <t>VÄSTERBOTTENS LÄN</t>
        </is>
      </c>
      <c r="E394" t="inlineStr">
        <is>
          <t>BJURHOLM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23041-2023</t>
        </is>
      </c>
      <c r="B395" s="1" t="n">
        <v>45074</v>
      </c>
      <c r="C395" s="1" t="n">
        <v>45272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SCA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23294-2023</t>
        </is>
      </c>
      <c r="B396" s="1" t="n">
        <v>45075</v>
      </c>
      <c r="C396" s="1" t="n">
        <v>45272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SCA</t>
        </is>
      </c>
      <c r="G396" t="n">
        <v>109.4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23315-2023</t>
        </is>
      </c>
      <c r="B397" s="1" t="n">
        <v>45075</v>
      </c>
      <c r="C397" s="1" t="n">
        <v>45272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23314-2023</t>
        </is>
      </c>
      <c r="B398" s="1" t="n">
        <v>45075</v>
      </c>
      <c r="C398" s="1" t="n">
        <v>45272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23321-2023</t>
        </is>
      </c>
      <c r="B399" s="1" t="n">
        <v>45076</v>
      </c>
      <c r="C399" s="1" t="n">
        <v>45272</v>
      </c>
      <c r="D399" t="inlineStr">
        <is>
          <t>VÄSTERBOTTENS LÄN</t>
        </is>
      </c>
      <c r="E399" t="inlineStr">
        <is>
          <t>BJURHOLM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23325-2023</t>
        </is>
      </c>
      <c r="B400" s="1" t="n">
        <v>45076</v>
      </c>
      <c r="C400" s="1" t="n">
        <v>45272</v>
      </c>
      <c r="D400" t="inlineStr">
        <is>
          <t>VÄSTERBOTTENS LÄN</t>
        </is>
      </c>
      <c r="E400" t="inlineStr">
        <is>
          <t>BJURHOLM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23806-2023</t>
        </is>
      </c>
      <c r="B401" s="1" t="n">
        <v>45078</v>
      </c>
      <c r="C401" s="1" t="n">
        <v>45272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23852-2023</t>
        </is>
      </c>
      <c r="B402" s="1" t="n">
        <v>45078</v>
      </c>
      <c r="C402" s="1" t="n">
        <v>45272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24855-2023</t>
        </is>
      </c>
      <c r="B403" s="1" t="n">
        <v>45078</v>
      </c>
      <c r="C403" s="1" t="n">
        <v>45272</v>
      </c>
      <c r="D403" t="inlineStr">
        <is>
          <t>VÄSTERBOTTENS LÄN</t>
        </is>
      </c>
      <c r="E403" t="inlineStr">
        <is>
          <t>BJURHOLM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24854-2023</t>
        </is>
      </c>
      <c r="B404" s="1" t="n">
        <v>45085</v>
      </c>
      <c r="C404" s="1" t="n">
        <v>45272</v>
      </c>
      <c r="D404" t="inlineStr">
        <is>
          <t>VÄSTERBOTTENS LÄN</t>
        </is>
      </c>
      <c r="E404" t="inlineStr">
        <is>
          <t>BJURHOLM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24851-2023</t>
        </is>
      </c>
      <c r="B405" s="1" t="n">
        <v>45085</v>
      </c>
      <c r="C405" s="1" t="n">
        <v>45272</v>
      </c>
      <c r="D405" t="inlineStr">
        <is>
          <t>VÄSTERBOTTENS LÄN</t>
        </is>
      </c>
      <c r="E405" t="inlineStr">
        <is>
          <t>BJURHOLM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25944-2023</t>
        </is>
      </c>
      <c r="B406" s="1" t="n">
        <v>45090</v>
      </c>
      <c r="C406" s="1" t="n">
        <v>45272</v>
      </c>
      <c r="D406" t="inlineStr">
        <is>
          <t>VÄSTERBOTTENS LÄN</t>
        </is>
      </c>
      <c r="E406" t="inlineStr">
        <is>
          <t>BJURHOLM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26249-2023</t>
        </is>
      </c>
      <c r="B407" s="1" t="n">
        <v>45091</v>
      </c>
      <c r="C407" s="1" t="n">
        <v>45272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26267-2023</t>
        </is>
      </c>
      <c r="B408" s="1" t="n">
        <v>45091</v>
      </c>
      <c r="C408" s="1" t="n">
        <v>45272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26256-2023</t>
        </is>
      </c>
      <c r="B409" s="1" t="n">
        <v>45091</v>
      </c>
      <c r="C409" s="1" t="n">
        <v>45272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26047-2023</t>
        </is>
      </c>
      <c r="B410" s="1" t="n">
        <v>45091</v>
      </c>
      <c r="C410" s="1" t="n">
        <v>45272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26027-2023</t>
        </is>
      </c>
      <c r="B411" s="1" t="n">
        <v>45091</v>
      </c>
      <c r="C411" s="1" t="n">
        <v>45272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27663-2023</t>
        </is>
      </c>
      <c r="B412" s="1" t="n">
        <v>45097</v>
      </c>
      <c r="C412" s="1" t="n">
        <v>45272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27669-2023</t>
        </is>
      </c>
      <c r="B413" s="1" t="n">
        <v>45097</v>
      </c>
      <c r="C413" s="1" t="n">
        <v>45272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27808-2023</t>
        </is>
      </c>
      <c r="B414" s="1" t="n">
        <v>45098</v>
      </c>
      <c r="C414" s="1" t="n">
        <v>45272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Sveaskog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27876-2023</t>
        </is>
      </c>
      <c r="B415" s="1" t="n">
        <v>45098</v>
      </c>
      <c r="C415" s="1" t="n">
        <v>45272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30173-2023</t>
        </is>
      </c>
      <c r="B416" s="1" t="n">
        <v>45099</v>
      </c>
      <c r="C416" s="1" t="n">
        <v>45272</v>
      </c>
      <c r="D416" t="inlineStr">
        <is>
          <t>VÄSTERBOTTENS LÄN</t>
        </is>
      </c>
      <c r="E416" t="inlineStr">
        <is>
          <t>BJURHOLM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30182-2023</t>
        </is>
      </c>
      <c r="B417" s="1" t="n">
        <v>45099</v>
      </c>
      <c r="C417" s="1" t="n">
        <v>45272</v>
      </c>
      <c r="D417" t="inlineStr">
        <is>
          <t>VÄSTERBOTTENS LÄN</t>
        </is>
      </c>
      <c r="E417" t="inlineStr">
        <is>
          <t>BJURHOLM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28426-2023</t>
        </is>
      </c>
      <c r="B418" s="1" t="n">
        <v>45102</v>
      </c>
      <c r="C418" s="1" t="n">
        <v>45272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28424-2023</t>
        </is>
      </c>
      <c r="B419" s="1" t="n">
        <v>45102</v>
      </c>
      <c r="C419" s="1" t="n">
        <v>45272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28769-2023</t>
        </is>
      </c>
      <c r="B420" s="1" t="n">
        <v>45104</v>
      </c>
      <c r="C420" s="1" t="n">
        <v>45272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28768-2023</t>
        </is>
      </c>
      <c r="B421" s="1" t="n">
        <v>45104</v>
      </c>
      <c r="C421" s="1" t="n">
        <v>45272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29006-2023</t>
        </is>
      </c>
      <c r="B422" s="1" t="n">
        <v>45104</v>
      </c>
      <c r="C422" s="1" t="n">
        <v>45272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17.2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29240-2023</t>
        </is>
      </c>
      <c r="B423" s="1" t="n">
        <v>45105</v>
      </c>
      <c r="C423" s="1" t="n">
        <v>45272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Sveaskog</t>
        </is>
      </c>
      <c r="G423" t="n">
        <v>35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29455-2023</t>
        </is>
      </c>
      <c r="B424" s="1" t="n">
        <v>45106</v>
      </c>
      <c r="C424" s="1" t="n">
        <v>45272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31762-2023</t>
        </is>
      </c>
      <c r="B425" s="1" t="n">
        <v>45106</v>
      </c>
      <c r="C425" s="1" t="n">
        <v>45272</v>
      </c>
      <c r="D425" t="inlineStr">
        <is>
          <t>VÄSTERBOTTENS LÄN</t>
        </is>
      </c>
      <c r="E425" t="inlineStr">
        <is>
          <t>BJURHOLM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31807-2023</t>
        </is>
      </c>
      <c r="B426" s="1" t="n">
        <v>45106</v>
      </c>
      <c r="C426" s="1" t="n">
        <v>45272</v>
      </c>
      <c r="D426" t="inlineStr">
        <is>
          <t>VÄSTERBOTTENS LÄN</t>
        </is>
      </c>
      <c r="E426" t="inlineStr">
        <is>
          <t>BJURHOLM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29850-2023</t>
        </is>
      </c>
      <c r="B427" s="1" t="n">
        <v>45107</v>
      </c>
      <c r="C427" s="1" t="n">
        <v>45272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32393-2023</t>
        </is>
      </c>
      <c r="B428" s="1" t="n">
        <v>45110</v>
      </c>
      <c r="C428" s="1" t="n">
        <v>45272</v>
      </c>
      <c r="D428" t="inlineStr">
        <is>
          <t>VÄSTERBOTTENS LÄN</t>
        </is>
      </c>
      <c r="E428" t="inlineStr">
        <is>
          <t>BJURHOLM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30641-2023</t>
        </is>
      </c>
      <c r="B429" s="1" t="n">
        <v>45112</v>
      </c>
      <c r="C429" s="1" t="n">
        <v>45272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30715-2023</t>
        </is>
      </c>
      <c r="B430" s="1" t="n">
        <v>45112</v>
      </c>
      <c r="C430" s="1" t="n">
        <v>45272</v>
      </c>
      <c r="D430" t="inlineStr">
        <is>
          <t>VÄSTERBOTTENS LÄN</t>
        </is>
      </c>
      <c r="E430" t="inlineStr">
        <is>
          <t>BJURHOLM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30697-2023</t>
        </is>
      </c>
      <c r="B431" s="1" t="n">
        <v>45112</v>
      </c>
      <c r="C431" s="1" t="n">
        <v>45272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30738-2023</t>
        </is>
      </c>
      <c r="B432" s="1" t="n">
        <v>45112</v>
      </c>
      <c r="C432" s="1" t="n">
        <v>45272</v>
      </c>
      <c r="D432" t="inlineStr">
        <is>
          <t>VÄSTERBOTTENS LÄN</t>
        </is>
      </c>
      <c r="E432" t="inlineStr">
        <is>
          <t>BJURHOLM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31205-2023</t>
        </is>
      </c>
      <c r="B433" s="1" t="n">
        <v>45113</v>
      </c>
      <c r="C433" s="1" t="n">
        <v>45272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33017-2023</t>
        </is>
      </c>
      <c r="B434" s="1" t="n">
        <v>45113</v>
      </c>
      <c r="C434" s="1" t="n">
        <v>45272</v>
      </c>
      <c r="D434" t="inlineStr">
        <is>
          <t>VÄSTERBOTTENS LÄN</t>
        </is>
      </c>
      <c r="E434" t="inlineStr">
        <is>
          <t>BJURHOLM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31553-2023</t>
        </is>
      </c>
      <c r="B435" s="1" t="n">
        <v>45117</v>
      </c>
      <c r="C435" s="1" t="n">
        <v>45272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31738-2023</t>
        </is>
      </c>
      <c r="B436" s="1" t="n">
        <v>45118</v>
      </c>
      <c r="C436" s="1" t="n">
        <v>45272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32146-2023</t>
        </is>
      </c>
      <c r="B437" s="1" t="n">
        <v>45119</v>
      </c>
      <c r="C437" s="1" t="n">
        <v>45272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32508-2023</t>
        </is>
      </c>
      <c r="B438" s="1" t="n">
        <v>45121</v>
      </c>
      <c r="C438" s="1" t="n">
        <v>45272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Holmen skog AB</t>
        </is>
      </c>
      <c r="G438" t="n">
        <v>20.7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32793-2023</t>
        </is>
      </c>
      <c r="B439" s="1" t="n">
        <v>45124</v>
      </c>
      <c r="C439" s="1" t="n">
        <v>45272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34067-2023</t>
        </is>
      </c>
      <c r="B440" s="1" t="n">
        <v>45125</v>
      </c>
      <c r="C440" s="1" t="n">
        <v>45272</v>
      </c>
      <c r="D440" t="inlineStr">
        <is>
          <t>VÄSTERBOTTENS LÄN</t>
        </is>
      </c>
      <c r="E440" t="inlineStr">
        <is>
          <t>BJURHOLM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33395-2023</t>
        </is>
      </c>
      <c r="B441" s="1" t="n">
        <v>45128</v>
      </c>
      <c r="C441" s="1" t="n">
        <v>45272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33346-2023</t>
        </is>
      </c>
      <c r="B442" s="1" t="n">
        <v>45128</v>
      </c>
      <c r="C442" s="1" t="n">
        <v>45272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33711-2023</t>
        </is>
      </c>
      <c r="B443" s="1" t="n">
        <v>45132</v>
      </c>
      <c r="C443" s="1" t="n">
        <v>45272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70.09999999999999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34712-2023</t>
        </is>
      </c>
      <c r="B444" s="1" t="n">
        <v>45139</v>
      </c>
      <c r="C444" s="1" t="n">
        <v>45272</v>
      </c>
      <c r="D444" t="inlineStr">
        <is>
          <t>VÄSTERBOTTENS LÄN</t>
        </is>
      </c>
      <c r="E444" t="inlineStr">
        <is>
          <t>BJURHOLM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34710-2023</t>
        </is>
      </c>
      <c r="B445" s="1" t="n">
        <v>45141</v>
      </c>
      <c r="C445" s="1" t="n">
        <v>45272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34802-2023</t>
        </is>
      </c>
      <c r="B446" s="1" t="n">
        <v>45141</v>
      </c>
      <c r="C446" s="1" t="n">
        <v>45272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34714-2023</t>
        </is>
      </c>
      <c r="B447" s="1" t="n">
        <v>45141</v>
      </c>
      <c r="C447" s="1" t="n">
        <v>45272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34762-2023</t>
        </is>
      </c>
      <c r="B448" s="1" t="n">
        <v>45141</v>
      </c>
      <c r="C448" s="1" t="n">
        <v>45272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34761-2023</t>
        </is>
      </c>
      <c r="B449" s="1" t="n">
        <v>45141</v>
      </c>
      <c r="C449" s="1" t="n">
        <v>45272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34778-2023</t>
        </is>
      </c>
      <c r="B450" s="1" t="n">
        <v>45141</v>
      </c>
      <c r="C450" s="1" t="n">
        <v>45272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34784-2023</t>
        </is>
      </c>
      <c r="B451" s="1" t="n">
        <v>45141</v>
      </c>
      <c r="C451" s="1" t="n">
        <v>45272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35008-2023</t>
        </is>
      </c>
      <c r="B452" s="1" t="n">
        <v>45142</v>
      </c>
      <c r="C452" s="1" t="n">
        <v>45272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SCA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35251-2023</t>
        </is>
      </c>
      <c r="B453" s="1" t="n">
        <v>45146</v>
      </c>
      <c r="C453" s="1" t="n">
        <v>45272</v>
      </c>
      <c r="D453" t="inlineStr">
        <is>
          <t>VÄSTERBOTTENS LÄN</t>
        </is>
      </c>
      <c r="E453" t="inlineStr">
        <is>
          <t>BJURHOLM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35264-2023</t>
        </is>
      </c>
      <c r="B454" s="1" t="n">
        <v>45146</v>
      </c>
      <c r="C454" s="1" t="n">
        <v>45272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35268-2023</t>
        </is>
      </c>
      <c r="B455" s="1" t="n">
        <v>45145</v>
      </c>
      <c r="C455" s="1" t="n">
        <v>45272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SCA</t>
        </is>
      </c>
      <c r="G455" t="n">
        <v>18.3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35249-2023</t>
        </is>
      </c>
      <c r="B456" s="1" t="n">
        <v>45146</v>
      </c>
      <c r="C456" s="1" t="n">
        <v>45272</v>
      </c>
      <c r="D456" t="inlineStr">
        <is>
          <t>VÄSTERBOTTENS LÄN</t>
        </is>
      </c>
      <c r="E456" t="inlineStr">
        <is>
          <t>BJURHOLM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35269-2023</t>
        </is>
      </c>
      <c r="B457" s="1" t="n">
        <v>45145</v>
      </c>
      <c r="C457" s="1" t="n">
        <v>45272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35319-2023</t>
        </is>
      </c>
      <c r="B458" s="1" t="n">
        <v>45145</v>
      </c>
      <c r="C458" s="1" t="n">
        <v>45272</v>
      </c>
      <c r="D458" t="inlineStr">
        <is>
          <t>VÄSTERBOTTENS LÄN</t>
        </is>
      </c>
      <c r="E458" t="inlineStr">
        <is>
          <t>BJURHOLM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35835-2023</t>
        </is>
      </c>
      <c r="B459" s="1" t="n">
        <v>45148</v>
      </c>
      <c r="C459" s="1" t="n">
        <v>45272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35829-2023</t>
        </is>
      </c>
      <c r="B460" s="1" t="n">
        <v>45148</v>
      </c>
      <c r="C460" s="1" t="n">
        <v>45272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35936-2023</t>
        </is>
      </c>
      <c r="B461" s="1" t="n">
        <v>45148</v>
      </c>
      <c r="C461" s="1" t="n">
        <v>45272</v>
      </c>
      <c r="D461" t="inlineStr">
        <is>
          <t>VÄSTERBOTTENS LÄN</t>
        </is>
      </c>
      <c r="E461" t="inlineStr">
        <is>
          <t>BJURHOLM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35982-2023</t>
        </is>
      </c>
      <c r="B462" s="1" t="n">
        <v>45149</v>
      </c>
      <c r="C462" s="1" t="n">
        <v>45272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36004-2023</t>
        </is>
      </c>
      <c r="B463" s="1" t="n">
        <v>45149</v>
      </c>
      <c r="C463" s="1" t="n">
        <v>45272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36104-2023</t>
        </is>
      </c>
      <c r="B464" s="1" t="n">
        <v>45149</v>
      </c>
      <c r="C464" s="1" t="n">
        <v>45272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36486-2023</t>
        </is>
      </c>
      <c r="B465" s="1" t="n">
        <v>45152</v>
      </c>
      <c r="C465" s="1" t="n">
        <v>45272</v>
      </c>
      <c r="D465" t="inlineStr">
        <is>
          <t>VÄSTERBOTTENS LÄN</t>
        </is>
      </c>
      <c r="E465" t="inlineStr">
        <is>
          <t>BJURHOLM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36810-2023</t>
        </is>
      </c>
      <c r="B466" s="1" t="n">
        <v>45154</v>
      </c>
      <c r="C466" s="1" t="n">
        <v>45272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37312-2023</t>
        </is>
      </c>
      <c r="B467" s="1" t="n">
        <v>45155</v>
      </c>
      <c r="C467" s="1" t="n">
        <v>45272</v>
      </c>
      <c r="D467" t="inlineStr">
        <is>
          <t>VÄSTERBOTTENS LÄN</t>
        </is>
      </c>
      <c r="E467" t="inlineStr">
        <is>
          <t>BJURHOLM</t>
        </is>
      </c>
      <c r="G467" t="n">
        <v>14.6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37921-2023</t>
        </is>
      </c>
      <c r="B468" s="1" t="n">
        <v>45160</v>
      </c>
      <c r="C468" s="1" t="n">
        <v>45272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38077-2023</t>
        </is>
      </c>
      <c r="B469" s="1" t="n">
        <v>45160</v>
      </c>
      <c r="C469" s="1" t="n">
        <v>45272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38413-2023</t>
        </is>
      </c>
      <c r="B470" s="1" t="n">
        <v>45160</v>
      </c>
      <c r="C470" s="1" t="n">
        <v>45272</v>
      </c>
      <c r="D470" t="inlineStr">
        <is>
          <t>VÄSTERBOTTENS LÄN</t>
        </is>
      </c>
      <c r="E470" t="inlineStr">
        <is>
          <t>BJURHOLM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38178-2023</t>
        </is>
      </c>
      <c r="B471" s="1" t="n">
        <v>45161</v>
      </c>
      <c r="C471" s="1" t="n">
        <v>45272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38153-2023</t>
        </is>
      </c>
      <c r="B472" s="1" t="n">
        <v>45161</v>
      </c>
      <c r="C472" s="1" t="n">
        <v>45272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38303-2023</t>
        </is>
      </c>
      <c r="B473" s="1" t="n">
        <v>45161</v>
      </c>
      <c r="C473" s="1" t="n">
        <v>45272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38565-2023</t>
        </is>
      </c>
      <c r="B474" s="1" t="n">
        <v>45162</v>
      </c>
      <c r="C474" s="1" t="n">
        <v>45272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38635-2023</t>
        </is>
      </c>
      <c r="B475" s="1" t="n">
        <v>45162</v>
      </c>
      <c r="C475" s="1" t="n">
        <v>45272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38804-2023</t>
        </is>
      </c>
      <c r="B476" s="1" t="n">
        <v>45163</v>
      </c>
      <c r="C476" s="1" t="n">
        <v>45272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39266-2023</t>
        </is>
      </c>
      <c r="B477" s="1" t="n">
        <v>45166</v>
      </c>
      <c r="C477" s="1" t="n">
        <v>45272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9.9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39626-2023</t>
        </is>
      </c>
      <c r="B478" s="1" t="n">
        <v>45167</v>
      </c>
      <c r="C478" s="1" t="n">
        <v>45272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39610-2023</t>
        </is>
      </c>
      <c r="B479" s="1" t="n">
        <v>45167</v>
      </c>
      <c r="C479" s="1" t="n">
        <v>45272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Sveaskog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39769-2023</t>
        </is>
      </c>
      <c r="B480" s="1" t="n">
        <v>45167</v>
      </c>
      <c r="C480" s="1" t="n">
        <v>45272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39773-2023</t>
        </is>
      </c>
      <c r="B481" s="1" t="n">
        <v>45167</v>
      </c>
      <c r="C481" s="1" t="n">
        <v>45272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39768-2023</t>
        </is>
      </c>
      <c r="B482" s="1" t="n">
        <v>45167</v>
      </c>
      <c r="C482" s="1" t="n">
        <v>45272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39810-2023</t>
        </is>
      </c>
      <c r="B483" s="1" t="n">
        <v>45167</v>
      </c>
      <c r="C483" s="1" t="n">
        <v>45272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SCA</t>
        </is>
      </c>
      <c r="G483" t="n">
        <v>37.2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40142-2023</t>
        </is>
      </c>
      <c r="B484" s="1" t="n">
        <v>45168</v>
      </c>
      <c r="C484" s="1" t="n">
        <v>45272</v>
      </c>
      <c r="D484" t="inlineStr">
        <is>
          <t>VÄSTERBOTTENS LÄN</t>
        </is>
      </c>
      <c r="E484" t="inlineStr">
        <is>
          <t>BJURHOLM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40130-2023</t>
        </is>
      </c>
      <c r="B485" s="1" t="n">
        <v>45168</v>
      </c>
      <c r="C485" s="1" t="n">
        <v>45272</v>
      </c>
      <c r="D485" t="inlineStr">
        <is>
          <t>VÄSTERBOTTENS LÄN</t>
        </is>
      </c>
      <c r="E485" t="inlineStr">
        <is>
          <t>BJURHOLM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40409-2023</t>
        </is>
      </c>
      <c r="B486" s="1" t="n">
        <v>45170</v>
      </c>
      <c r="C486" s="1" t="n">
        <v>45272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41017-2023</t>
        </is>
      </c>
      <c r="B487" s="1" t="n">
        <v>45173</v>
      </c>
      <c r="C487" s="1" t="n">
        <v>45272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41063-2023</t>
        </is>
      </c>
      <c r="B488" s="1" t="n">
        <v>45173</v>
      </c>
      <c r="C488" s="1" t="n">
        <v>45272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41487-2023</t>
        </is>
      </c>
      <c r="B489" s="1" t="n">
        <v>45175</v>
      </c>
      <c r="C489" s="1" t="n">
        <v>45272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41592-2023</t>
        </is>
      </c>
      <c r="B490" s="1" t="n">
        <v>45175</v>
      </c>
      <c r="C490" s="1" t="n">
        <v>45272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43058-2023</t>
        </is>
      </c>
      <c r="B491" s="1" t="n">
        <v>45180</v>
      </c>
      <c r="C491" s="1" t="n">
        <v>45272</v>
      </c>
      <c r="D491" t="inlineStr">
        <is>
          <t>VÄSTERBOTTENS LÄN</t>
        </is>
      </c>
      <c r="E491" t="inlineStr">
        <is>
          <t>BJURHOLM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42557-2023</t>
        </is>
      </c>
      <c r="B492" s="1" t="n">
        <v>45181</v>
      </c>
      <c r="C492" s="1" t="n">
        <v>45272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43172-2023</t>
        </is>
      </c>
      <c r="B493" s="1" t="n">
        <v>45183</v>
      </c>
      <c r="C493" s="1" t="n">
        <v>45272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Holmen skog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44187-2023</t>
        </is>
      </c>
      <c r="B494" s="1" t="n">
        <v>45183</v>
      </c>
      <c r="C494" s="1" t="n">
        <v>45272</v>
      </c>
      <c r="D494" t="inlineStr">
        <is>
          <t>VÄSTERBOTTENS LÄN</t>
        </is>
      </c>
      <c r="E494" t="inlineStr">
        <is>
          <t>BJURHOLM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44198-2023</t>
        </is>
      </c>
      <c r="B495" s="1" t="n">
        <v>45183</v>
      </c>
      <c r="C495" s="1" t="n">
        <v>45272</v>
      </c>
      <c r="D495" t="inlineStr">
        <is>
          <t>VÄSTERBOTTENS LÄN</t>
        </is>
      </c>
      <c r="E495" t="inlineStr">
        <is>
          <t>BJURHOLM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44195-2023</t>
        </is>
      </c>
      <c r="B496" s="1" t="n">
        <v>45183</v>
      </c>
      <c r="C496" s="1" t="n">
        <v>45272</v>
      </c>
      <c r="D496" t="inlineStr">
        <is>
          <t>VÄSTERBOTTENS LÄN</t>
        </is>
      </c>
      <c r="E496" t="inlineStr">
        <is>
          <t>BJURHOLM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43992-2023</t>
        </is>
      </c>
      <c r="B497" s="1" t="n">
        <v>45187</v>
      </c>
      <c r="C497" s="1" t="n">
        <v>45272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SCA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44171-2023</t>
        </is>
      </c>
      <c r="B498" s="1" t="n">
        <v>45188</v>
      </c>
      <c r="C498" s="1" t="n">
        <v>45272</v>
      </c>
      <c r="D498" t="inlineStr">
        <is>
          <t>VÄSTERBOTTENS LÄN</t>
        </is>
      </c>
      <c r="E498" t="inlineStr">
        <is>
          <t>BJURHOLM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44175-2023</t>
        </is>
      </c>
      <c r="B499" s="1" t="n">
        <v>45188</v>
      </c>
      <c r="C499" s="1" t="n">
        <v>45272</v>
      </c>
      <c r="D499" t="inlineStr">
        <is>
          <t>VÄSTERBOTTENS LÄN</t>
        </is>
      </c>
      <c r="E499" t="inlineStr">
        <is>
          <t>BJURHOLM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44184-2023</t>
        </is>
      </c>
      <c r="B500" s="1" t="n">
        <v>45188</v>
      </c>
      <c r="C500" s="1" t="n">
        <v>45272</v>
      </c>
      <c r="D500" t="inlineStr">
        <is>
          <t>VÄSTERBOTTENS LÄN</t>
        </is>
      </c>
      <c r="E500" t="inlineStr">
        <is>
          <t>BJURHOLM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44274-2023</t>
        </is>
      </c>
      <c r="B501" s="1" t="n">
        <v>45188</v>
      </c>
      <c r="C501" s="1" t="n">
        <v>45272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44488-2023</t>
        </is>
      </c>
      <c r="B502" s="1" t="n">
        <v>45189</v>
      </c>
      <c r="C502" s="1" t="n">
        <v>45272</v>
      </c>
      <c r="D502" t="inlineStr">
        <is>
          <t>VÄSTERBOTTENS LÄN</t>
        </is>
      </c>
      <c r="E502" t="inlineStr">
        <is>
          <t>BJURHOLM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44575-2023</t>
        </is>
      </c>
      <c r="B503" s="1" t="n">
        <v>45189</v>
      </c>
      <c r="C503" s="1" t="n">
        <v>45272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44629-2023</t>
        </is>
      </c>
      <c r="B504" s="1" t="n">
        <v>45189</v>
      </c>
      <c r="C504" s="1" t="n">
        <v>45272</v>
      </c>
      <c r="D504" t="inlineStr">
        <is>
          <t>VÄSTERBOTTENS LÄN</t>
        </is>
      </c>
      <c r="E504" t="inlineStr">
        <is>
          <t>BJURHOLM</t>
        </is>
      </c>
      <c r="G504" t="n">
        <v>15.6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44769-2023</t>
        </is>
      </c>
      <c r="B505" s="1" t="n">
        <v>45190</v>
      </c>
      <c r="C505" s="1" t="n">
        <v>45272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Sveaskog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44777-2023</t>
        </is>
      </c>
      <c r="B506" s="1" t="n">
        <v>45190</v>
      </c>
      <c r="C506" s="1" t="n">
        <v>45272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44770-2023</t>
        </is>
      </c>
      <c r="B507" s="1" t="n">
        <v>45190</v>
      </c>
      <c r="C507" s="1" t="n">
        <v>45272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44812-2023</t>
        </is>
      </c>
      <c r="B508" s="1" t="n">
        <v>45190</v>
      </c>
      <c r="C508" s="1" t="n">
        <v>45272</v>
      </c>
      <c r="D508" t="inlineStr">
        <is>
          <t>VÄSTERBOTTENS LÄN</t>
        </is>
      </c>
      <c r="E508" t="inlineStr">
        <is>
          <t>BJURHOLM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44901-2023</t>
        </is>
      </c>
      <c r="B509" s="1" t="n">
        <v>45190</v>
      </c>
      <c r="C509" s="1" t="n">
        <v>45272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44790-2023</t>
        </is>
      </c>
      <c r="B510" s="1" t="n">
        <v>45190</v>
      </c>
      <c r="C510" s="1" t="n">
        <v>45272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44880-2023</t>
        </is>
      </c>
      <c r="B511" s="1" t="n">
        <v>45190</v>
      </c>
      <c r="C511" s="1" t="n">
        <v>45272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44855-2023</t>
        </is>
      </c>
      <c r="B512" s="1" t="n">
        <v>45190</v>
      </c>
      <c r="C512" s="1" t="n">
        <v>45272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22.9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46327-2023</t>
        </is>
      </c>
      <c r="B513" s="1" t="n">
        <v>45191</v>
      </c>
      <c r="C513" s="1" t="n">
        <v>45272</v>
      </c>
      <c r="D513" t="inlineStr">
        <is>
          <t>VÄSTERBOTTENS LÄN</t>
        </is>
      </c>
      <c r="E513" t="inlineStr">
        <is>
          <t>BJURHOLM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47306-2023</t>
        </is>
      </c>
      <c r="B514" s="1" t="n">
        <v>45196</v>
      </c>
      <c r="C514" s="1" t="n">
        <v>45272</v>
      </c>
      <c r="D514" t="inlineStr">
        <is>
          <t>VÄSTERBOTTENS LÄN</t>
        </is>
      </c>
      <c r="E514" t="inlineStr">
        <is>
          <t>BJURHOLM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46662-2023</t>
        </is>
      </c>
      <c r="B515" s="1" t="n">
        <v>45198</v>
      </c>
      <c r="C515" s="1" t="n">
        <v>45272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46614-2023</t>
        </is>
      </c>
      <c r="B516" s="1" t="n">
        <v>45198</v>
      </c>
      <c r="C516" s="1" t="n">
        <v>45272</v>
      </c>
      <c r="D516" t="inlineStr">
        <is>
          <t>VÄSTERBOTTENS LÄN</t>
        </is>
      </c>
      <c r="E516" t="inlineStr">
        <is>
          <t>BJURHOLM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48045-2023</t>
        </is>
      </c>
      <c r="B517" s="1" t="n">
        <v>45204</v>
      </c>
      <c r="C517" s="1" t="n">
        <v>45272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48356-2023</t>
        </is>
      </c>
      <c r="B518" s="1" t="n">
        <v>45205</v>
      </c>
      <c r="C518" s="1" t="n">
        <v>45272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50052-2023</t>
        </is>
      </c>
      <c r="B519" s="1" t="n">
        <v>45208</v>
      </c>
      <c r="C519" s="1" t="n">
        <v>45272</v>
      </c>
      <c r="D519" t="inlineStr">
        <is>
          <t>VÄSTERBOTTENS LÄN</t>
        </is>
      </c>
      <c r="E519" t="inlineStr">
        <is>
          <t>BJURHOLM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51833-2023</t>
        </is>
      </c>
      <c r="B520" s="1" t="n">
        <v>45222</v>
      </c>
      <c r="C520" s="1" t="n">
        <v>45272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52386-2023</t>
        </is>
      </c>
      <c r="B521" s="1" t="n">
        <v>45224</v>
      </c>
      <c r="C521" s="1" t="n">
        <v>45272</v>
      </c>
      <c r="D521" t="inlineStr">
        <is>
          <t>VÄSTERBOTTENS LÄN</t>
        </is>
      </c>
      <c r="E521" t="inlineStr">
        <is>
          <t>BJURHOLM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52375-2023</t>
        </is>
      </c>
      <c r="B522" s="1" t="n">
        <v>45224</v>
      </c>
      <c r="C522" s="1" t="n">
        <v>45272</v>
      </c>
      <c r="D522" t="inlineStr">
        <is>
          <t>VÄSTERBOTTENS LÄN</t>
        </is>
      </c>
      <c r="E522" t="inlineStr">
        <is>
          <t>BJURHOLM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52451-2023</t>
        </is>
      </c>
      <c r="B523" s="1" t="n">
        <v>45225</v>
      </c>
      <c r="C523" s="1" t="n">
        <v>45272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Sveaskog</t>
        </is>
      </c>
      <c r="G523" t="n">
        <v>37.6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54095-2023</t>
        </is>
      </c>
      <c r="B524" s="1" t="n">
        <v>45225</v>
      </c>
      <c r="C524" s="1" t="n">
        <v>45272</v>
      </c>
      <c r="D524" t="inlineStr">
        <is>
          <t>VÄSTERBOTTENS LÄN</t>
        </is>
      </c>
      <c r="E524" t="inlineStr">
        <is>
          <t>BJURHOLM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54868-2023</t>
        </is>
      </c>
      <c r="B525" s="1" t="n">
        <v>45229</v>
      </c>
      <c r="C525" s="1" t="n">
        <v>45272</v>
      </c>
      <c r="D525" t="inlineStr">
        <is>
          <t>VÄSTERBOTTENS LÄN</t>
        </is>
      </c>
      <c r="E525" t="inlineStr">
        <is>
          <t>BJURHOLM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54864-2023</t>
        </is>
      </c>
      <c r="B526" s="1" t="n">
        <v>45229</v>
      </c>
      <c r="C526" s="1" t="n">
        <v>45272</v>
      </c>
      <c r="D526" t="inlineStr">
        <is>
          <t>VÄSTERBOTTENS LÄN</t>
        </is>
      </c>
      <c r="E526" t="inlineStr">
        <is>
          <t>BJURHOLM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55512-2023</t>
        </is>
      </c>
      <c r="B527" s="1" t="n">
        <v>45232</v>
      </c>
      <c r="C527" s="1" t="n">
        <v>45272</v>
      </c>
      <c r="D527" t="inlineStr">
        <is>
          <t>VÄSTERBOTTENS LÄN</t>
        </is>
      </c>
      <c r="E527" t="inlineStr">
        <is>
          <t>BJURHOLM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56315-2023</t>
        </is>
      </c>
      <c r="B528" s="1" t="n">
        <v>45236</v>
      </c>
      <c r="C528" s="1" t="n">
        <v>45272</v>
      </c>
      <c r="D528" t="inlineStr">
        <is>
          <t>VÄSTERBOTTENS LÄN</t>
        </is>
      </c>
      <c r="E528" t="inlineStr">
        <is>
          <t>BJURHOLM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56121-2023</t>
        </is>
      </c>
      <c r="B529" s="1" t="n">
        <v>45236</v>
      </c>
      <c r="C529" s="1" t="n">
        <v>45272</v>
      </c>
      <c r="D529" t="inlineStr">
        <is>
          <t>VÄSTERBOTTENS LÄN</t>
        </is>
      </c>
      <c r="E529" t="inlineStr">
        <is>
          <t>BJURHOLM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55226-2023</t>
        </is>
      </c>
      <c r="B530" s="1" t="n">
        <v>45237</v>
      </c>
      <c r="C530" s="1" t="n">
        <v>45272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Holmen skog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55307-2023</t>
        </is>
      </c>
      <c r="B531" s="1" t="n">
        <v>45237</v>
      </c>
      <c r="C531" s="1" t="n">
        <v>45272</v>
      </c>
      <c r="D531" t="inlineStr">
        <is>
          <t>VÄSTERBOTTENS LÄN</t>
        </is>
      </c>
      <c r="E531" t="inlineStr">
        <is>
          <t>BJURHOLM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55308-2023</t>
        </is>
      </c>
      <c r="B532" s="1" t="n">
        <v>45237</v>
      </c>
      <c r="C532" s="1" t="n">
        <v>45272</v>
      </c>
      <c r="D532" t="inlineStr">
        <is>
          <t>VÄSTERBOTTENS LÄN</t>
        </is>
      </c>
      <c r="E532" t="inlineStr">
        <is>
          <t>BJURHOLM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55838-2023</t>
        </is>
      </c>
      <c r="B533" s="1" t="n">
        <v>45238</v>
      </c>
      <c r="C533" s="1" t="n">
        <v>45272</v>
      </c>
      <c r="D533" t="inlineStr">
        <is>
          <t>VÄSTERBOTTENS LÄN</t>
        </is>
      </c>
      <c r="E533" t="inlineStr">
        <is>
          <t>BJURHOLM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55877-2023</t>
        </is>
      </c>
      <c r="B534" s="1" t="n">
        <v>45239</v>
      </c>
      <c r="C534" s="1" t="n">
        <v>45272</v>
      </c>
      <c r="D534" t="inlineStr">
        <is>
          <t>VÄSTERBOTTENS LÄN</t>
        </is>
      </c>
      <c r="E534" t="inlineStr">
        <is>
          <t>BJURHOLM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55879-2023</t>
        </is>
      </c>
      <c r="B535" s="1" t="n">
        <v>45239</v>
      </c>
      <c r="C535" s="1" t="n">
        <v>45272</v>
      </c>
      <c r="D535" t="inlineStr">
        <is>
          <t>VÄSTERBOTTENS LÄN</t>
        </is>
      </c>
      <c r="E535" t="inlineStr">
        <is>
          <t>BJURHOLM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57890-2023</t>
        </is>
      </c>
      <c r="B536" s="1" t="n">
        <v>45244</v>
      </c>
      <c r="C536" s="1" t="n">
        <v>45272</v>
      </c>
      <c r="D536" t="inlineStr">
        <is>
          <t>VÄSTERBOTTENS LÄN</t>
        </is>
      </c>
      <c r="E536" t="inlineStr">
        <is>
          <t>BJURHOLM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57799-2023</t>
        </is>
      </c>
      <c r="B537" s="1" t="n">
        <v>45247</v>
      </c>
      <c r="C537" s="1" t="n">
        <v>45272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57801-2023</t>
        </is>
      </c>
      <c r="B538" s="1" t="n">
        <v>45247</v>
      </c>
      <c r="C538" s="1" t="n">
        <v>45272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11.5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57877-2023</t>
        </is>
      </c>
      <c r="B539" s="1" t="n">
        <v>45247</v>
      </c>
      <c r="C539" s="1" t="n">
        <v>45272</v>
      </c>
      <c r="D539" t="inlineStr">
        <is>
          <t>VÄSTERBOTTENS LÄN</t>
        </is>
      </c>
      <c r="E539" t="inlineStr">
        <is>
          <t>BJURHOLM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57886-2023</t>
        </is>
      </c>
      <c r="B540" s="1" t="n">
        <v>45247</v>
      </c>
      <c r="C540" s="1" t="n">
        <v>45272</v>
      </c>
      <c r="D540" t="inlineStr">
        <is>
          <t>VÄSTERBOTTENS LÄN</t>
        </is>
      </c>
      <c r="E540" t="inlineStr">
        <is>
          <t>BJURHOLM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58457-2023</t>
        </is>
      </c>
      <c r="B541" s="1" t="n">
        <v>45250</v>
      </c>
      <c r="C541" s="1" t="n">
        <v>45272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58489-2023</t>
        </is>
      </c>
      <c r="B542" s="1" t="n">
        <v>45251</v>
      </c>
      <c r="C542" s="1" t="n">
        <v>45272</v>
      </c>
      <c r="D542" t="inlineStr">
        <is>
          <t>VÄSTERBOTTENS LÄN</t>
        </is>
      </c>
      <c r="E542" t="inlineStr">
        <is>
          <t>BJURHOLM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59181-2023</t>
        </is>
      </c>
      <c r="B543" s="1" t="n">
        <v>45251</v>
      </c>
      <c r="C543" s="1" t="n">
        <v>45272</v>
      </c>
      <c r="D543" t="inlineStr">
        <is>
          <t>VÄSTERBOTTENS LÄN</t>
        </is>
      </c>
      <c r="E543" t="inlineStr">
        <is>
          <t>BJURHOLM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58948-2023</t>
        </is>
      </c>
      <c r="B544" s="1" t="n">
        <v>45252</v>
      </c>
      <c r="C544" s="1" t="n">
        <v>45272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Sveaskog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59382-2023</t>
        </is>
      </c>
      <c r="B545" s="1" t="n">
        <v>45253</v>
      </c>
      <c r="C545" s="1" t="n">
        <v>45272</v>
      </c>
      <c r="D545" t="inlineStr">
        <is>
          <t>VÄSTERBOTTENS LÄN</t>
        </is>
      </c>
      <c r="E545" t="inlineStr">
        <is>
          <t>BJURHOLM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59379-2023</t>
        </is>
      </c>
      <c r="B546" s="1" t="n">
        <v>45253</v>
      </c>
      <c r="C546" s="1" t="n">
        <v>45272</v>
      </c>
      <c r="D546" t="inlineStr">
        <is>
          <t>VÄSTERBOTTENS LÄN</t>
        </is>
      </c>
      <c r="E546" t="inlineStr">
        <is>
          <t>BJURHOLM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59381-2023</t>
        </is>
      </c>
      <c r="B547" s="1" t="n">
        <v>45253</v>
      </c>
      <c r="C547" s="1" t="n">
        <v>45272</v>
      </c>
      <c r="D547" t="inlineStr">
        <is>
          <t>VÄSTERBOTTENS LÄN</t>
        </is>
      </c>
      <c r="E547" t="inlineStr">
        <is>
          <t>BJURHOLM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59712-2023</t>
        </is>
      </c>
      <c r="B548" s="1" t="n">
        <v>45257</v>
      </c>
      <c r="C548" s="1" t="n">
        <v>45272</v>
      </c>
      <c r="D548" t="inlineStr">
        <is>
          <t>VÄSTERBOTTENS LÄN</t>
        </is>
      </c>
      <c r="E548" t="inlineStr">
        <is>
          <t>BJURHOLM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59711-2023</t>
        </is>
      </c>
      <c r="B549" s="1" t="n">
        <v>45257</v>
      </c>
      <c r="C549" s="1" t="n">
        <v>45272</v>
      </c>
      <c r="D549" t="inlineStr">
        <is>
          <t>VÄSTERBOTTENS LÄN</t>
        </is>
      </c>
      <c r="E549" t="inlineStr">
        <is>
          <t>BJURHOLM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60008-2023</t>
        </is>
      </c>
      <c r="B550" s="1" t="n">
        <v>45257</v>
      </c>
      <c r="C550" s="1" t="n">
        <v>45272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28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60624-2023</t>
        </is>
      </c>
      <c r="B551" s="1" t="n">
        <v>45259</v>
      </c>
      <c r="C551" s="1" t="n">
        <v>45272</v>
      </c>
      <c r="D551" t="inlineStr">
        <is>
          <t>VÄSTERBOTTENS LÄN</t>
        </is>
      </c>
      <c r="E551" t="inlineStr">
        <is>
          <t>BJURHOLM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60499-2023</t>
        </is>
      </c>
      <c r="B552" s="1" t="n">
        <v>45259</v>
      </c>
      <c r="C552" s="1" t="n">
        <v>45272</v>
      </c>
      <c r="D552" t="inlineStr">
        <is>
          <t>VÄSTERBOTTENS LÄN</t>
        </is>
      </c>
      <c r="E552" t="inlineStr">
        <is>
          <t>BJURHOLM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60659-2023</t>
        </is>
      </c>
      <c r="B553" s="1" t="n">
        <v>45259</v>
      </c>
      <c r="C553" s="1" t="n">
        <v>45272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60606-2023</t>
        </is>
      </c>
      <c r="B554" s="1" t="n">
        <v>45260</v>
      </c>
      <c r="C554" s="1" t="n">
        <v>45272</v>
      </c>
      <c r="D554" t="inlineStr">
        <is>
          <t>VÄSTERBOTTENS LÄN</t>
        </is>
      </c>
      <c r="E554" t="inlineStr">
        <is>
          <t>BJURHOLM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60862-2023</t>
        </is>
      </c>
      <c r="B555" s="1" t="n">
        <v>45261</v>
      </c>
      <c r="C555" s="1" t="n">
        <v>45272</v>
      </c>
      <c r="D555" t="inlineStr">
        <is>
          <t>VÄSTERBOTTENS LÄN</t>
        </is>
      </c>
      <c r="E555" t="inlineStr">
        <is>
          <t>BJURHOLM</t>
        </is>
      </c>
      <c r="F555" t="inlineStr">
        <is>
          <t>SCA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62392-2023</t>
        </is>
      </c>
      <c r="B556" s="1" t="n">
        <v>45266</v>
      </c>
      <c r="C556" s="1" t="n">
        <v>45272</v>
      </c>
      <c r="D556" t="inlineStr">
        <is>
          <t>VÄSTERBOTTENS LÄN</t>
        </is>
      </c>
      <c r="E556" t="inlineStr">
        <is>
          <t>BJURHOLM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2023-12-12T09:44:42Z</dcterms:created>
  <dcterms:modified xmlns:dcterms="http://purl.org/dc/terms/" xmlns:xsi="http://www.w3.org/2001/XMLSchema-instance" xsi:type="dcterms:W3CDTF">2023-12-12T09:44:42Z</dcterms:modified>
</cp:coreProperties>
</file>